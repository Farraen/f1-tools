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30" windowWidth="15315" windowHeight="6330" tabRatio="868" activeTab="1"/>
  </bookViews>
  <sheets>
    <sheet name="DOE" sheetId="1" r:id="rId1"/>
    <sheet name="Validation 1" sheetId="8" r:id="rId2"/>
    <sheet name="Validation 2" sheetId="25" r:id="rId3"/>
    <sheet name="Consistency check" sheetId="5" r:id="rId4"/>
    <sheet name="Vol Eff Test" sheetId="24" r:id="rId5"/>
    <sheet name="DOE Recheck" sheetId="20" r:id="rId6"/>
    <sheet name="DOE Remodel 20" sheetId="21" r:id="rId7"/>
    <sheet name="DOE Remodel 30" sheetId="22" r:id="rId8"/>
  </sheets>
  <calcPr calcId="145621"/>
</workbook>
</file>

<file path=xl/calcChain.xml><?xml version="1.0" encoding="utf-8"?>
<calcChain xmlns="http://schemas.openxmlformats.org/spreadsheetml/2006/main">
  <c r="CX3" i="25" l="1"/>
  <c r="CX4" i="25"/>
  <c r="CX5" i="25"/>
  <c r="CX6" i="25"/>
  <c r="CX7" i="25"/>
  <c r="CX8" i="25"/>
  <c r="CX9" i="25"/>
  <c r="CX10" i="25"/>
  <c r="CX11" i="25"/>
  <c r="CX12" i="25"/>
  <c r="CX13" i="25"/>
  <c r="CX14" i="25"/>
  <c r="CX15" i="25"/>
  <c r="CX16" i="25"/>
  <c r="CX17" i="25"/>
  <c r="CX18" i="25"/>
  <c r="CX19" i="25"/>
  <c r="CX20" i="25"/>
  <c r="CX21" i="25"/>
  <c r="CX2" i="25"/>
  <c r="G89" i="24" l="1"/>
  <c r="G83" i="24"/>
  <c r="G92" i="24"/>
  <c r="G95" i="24"/>
  <c r="G67" i="24"/>
  <c r="G74" i="24"/>
  <c r="G65" i="24"/>
  <c r="G71" i="24"/>
  <c r="G58" i="24"/>
  <c r="G69" i="24"/>
  <c r="G48" i="24"/>
  <c r="G86" i="24"/>
  <c r="G61" i="24"/>
  <c r="G57" i="24"/>
  <c r="G82" i="24"/>
  <c r="F85" i="24"/>
  <c r="G85" i="24" s="1"/>
  <c r="F93" i="24"/>
  <c r="G93" i="24" s="1"/>
  <c r="F101" i="24"/>
  <c r="G101" i="24" s="1"/>
  <c r="F89" i="24"/>
  <c r="F97" i="24"/>
  <c r="G97" i="24" s="1"/>
  <c r="F102" i="24"/>
  <c r="G102" i="24" s="1"/>
  <c r="F96" i="24"/>
  <c r="G96" i="24" s="1"/>
  <c r="F83" i="24"/>
  <c r="F78" i="24"/>
  <c r="G78" i="24" s="1"/>
  <c r="F98" i="24"/>
  <c r="G98" i="24" s="1"/>
  <c r="F76" i="24"/>
  <c r="G76" i="24" s="1"/>
  <c r="F92" i="24"/>
  <c r="F100" i="24"/>
  <c r="G100" i="24" s="1"/>
  <c r="F70" i="24"/>
  <c r="G70" i="24" s="1"/>
  <c r="F99" i="24"/>
  <c r="G99" i="24" s="1"/>
  <c r="F95" i="24"/>
  <c r="F84" i="24"/>
  <c r="G84" i="24" s="1"/>
  <c r="F73" i="24"/>
  <c r="G73" i="24" s="1"/>
  <c r="F53" i="24"/>
  <c r="G53" i="24" s="1"/>
  <c r="F67" i="24"/>
  <c r="F80" i="24"/>
  <c r="G80" i="24" s="1"/>
  <c r="F94" i="24"/>
  <c r="G94" i="24" s="1"/>
  <c r="F41" i="24"/>
  <c r="G41" i="24" s="1"/>
  <c r="F74" i="24"/>
  <c r="F72" i="24"/>
  <c r="G72" i="24" s="1"/>
  <c r="F64" i="24"/>
  <c r="G64" i="24" s="1"/>
  <c r="F60" i="24"/>
  <c r="G60" i="24" s="1"/>
  <c r="F65" i="24"/>
  <c r="F66" i="24"/>
  <c r="G66" i="24" s="1"/>
  <c r="F88" i="24"/>
  <c r="G88" i="24" s="1"/>
  <c r="F79" i="24"/>
  <c r="G79" i="24" s="1"/>
  <c r="F71" i="24"/>
  <c r="F81" i="24"/>
  <c r="G81" i="24" s="1"/>
  <c r="F63" i="24"/>
  <c r="G63" i="24" s="1"/>
  <c r="F47" i="24"/>
  <c r="G47" i="24" s="1"/>
  <c r="F58" i="24"/>
  <c r="F45" i="24"/>
  <c r="G45" i="24" s="1"/>
  <c r="F75" i="24"/>
  <c r="G75" i="24" s="1"/>
  <c r="F49" i="24"/>
  <c r="G49" i="24" s="1"/>
  <c r="F69" i="24"/>
  <c r="F44" i="24"/>
  <c r="G44" i="24" s="1"/>
  <c r="F50" i="24"/>
  <c r="G50" i="24" s="1"/>
  <c r="F90" i="24"/>
  <c r="G90" i="24" s="1"/>
  <c r="F48" i="24"/>
  <c r="F55" i="24"/>
  <c r="G55" i="24" s="1"/>
  <c r="F59" i="24"/>
  <c r="G59" i="24" s="1"/>
  <c r="F43" i="24"/>
  <c r="G43" i="24" s="1"/>
  <c r="F86" i="24"/>
  <c r="F54" i="24"/>
  <c r="G54" i="24" s="1"/>
  <c r="F52" i="24"/>
  <c r="G52" i="24" s="1"/>
  <c r="F56" i="24"/>
  <c r="G56" i="24" s="1"/>
  <c r="F61" i="24"/>
  <c r="F42" i="24"/>
  <c r="G42" i="24" s="1"/>
  <c r="F91" i="24"/>
  <c r="G91" i="24" s="1"/>
  <c r="F77" i="24"/>
  <c r="G77" i="24" s="1"/>
  <c r="F57" i="24"/>
  <c r="F62" i="24"/>
  <c r="G62" i="24" s="1"/>
  <c r="F46" i="24"/>
  <c r="G46" i="24" s="1"/>
  <c r="F51" i="24"/>
  <c r="G51" i="24" s="1"/>
  <c r="F82" i="24"/>
  <c r="F68" i="24"/>
  <c r="G68" i="24" s="1"/>
  <c r="F87" i="24"/>
  <c r="G87" i="24" s="1"/>
  <c r="AV6" i="24"/>
  <c r="AV7" i="24"/>
  <c r="AV8" i="24"/>
  <c r="AV9" i="24"/>
  <c r="AV10" i="24"/>
  <c r="AV11" i="24"/>
  <c r="AV12" i="24"/>
  <c r="AV13" i="24"/>
  <c r="AV14" i="24"/>
  <c r="AV15" i="24"/>
  <c r="AV16" i="24"/>
  <c r="AV17" i="24"/>
  <c r="AV18" i="24"/>
  <c r="AV19" i="24"/>
  <c r="AV20" i="24"/>
  <c r="AV21" i="24"/>
  <c r="AV22" i="24"/>
  <c r="AV23" i="24"/>
  <c r="AV24" i="24"/>
  <c r="AV25" i="24"/>
  <c r="AV26" i="24"/>
  <c r="AV27" i="24"/>
  <c r="AV28" i="24"/>
  <c r="AV29" i="24"/>
  <c r="AV30" i="24"/>
  <c r="AV31" i="24"/>
  <c r="AV32" i="24"/>
  <c r="AV33" i="24"/>
  <c r="AV34" i="24"/>
  <c r="AV5" i="24"/>
  <c r="AP6" i="24"/>
  <c r="AP7" i="24"/>
  <c r="AP8" i="24"/>
  <c r="AP9" i="24"/>
  <c r="AP10" i="24"/>
  <c r="AP11" i="24"/>
  <c r="AP12" i="24"/>
  <c r="AP13" i="24"/>
  <c r="AP14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5" i="24"/>
  <c r="AJ6" i="24"/>
  <c r="AJ7" i="24"/>
  <c r="AJ8" i="24"/>
  <c r="AJ9" i="24"/>
  <c r="AJ10" i="24"/>
  <c r="AJ11" i="24"/>
  <c r="AJ12" i="24"/>
  <c r="AJ13" i="24"/>
  <c r="AJ14" i="24"/>
  <c r="AJ15" i="24"/>
  <c r="AJ16" i="24"/>
  <c r="AJ17" i="24"/>
  <c r="AJ18" i="24"/>
  <c r="AJ19" i="24"/>
  <c r="AJ20" i="24"/>
  <c r="AJ21" i="24"/>
  <c r="AJ22" i="24"/>
  <c r="AJ23" i="24"/>
  <c r="AJ24" i="24"/>
  <c r="AJ25" i="24"/>
  <c r="AJ26" i="24"/>
  <c r="AJ27" i="24"/>
  <c r="AJ28" i="24"/>
  <c r="AJ29" i="24"/>
  <c r="AJ30" i="24"/>
  <c r="AJ31" i="24"/>
  <c r="AJ32" i="24"/>
  <c r="AJ33" i="24"/>
  <c r="AJ34" i="24"/>
  <c r="AJ5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25" i="24"/>
  <c r="AD26" i="24"/>
  <c r="AD27" i="24"/>
  <c r="AD28" i="24"/>
  <c r="AD29" i="24"/>
  <c r="AD30" i="24"/>
  <c r="AD31" i="24"/>
  <c r="AD32" i="24"/>
  <c r="AD33" i="24"/>
  <c r="AD34" i="24"/>
  <c r="AD5" i="24"/>
  <c r="X6" i="24"/>
  <c r="X7" i="24"/>
  <c r="X8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5" i="24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19" i="24"/>
  <c r="R20" i="24"/>
  <c r="R21" i="24"/>
  <c r="R22" i="24"/>
  <c r="R23" i="24"/>
  <c r="R24" i="24"/>
  <c r="R25" i="24"/>
  <c r="R26" i="24"/>
  <c r="R27" i="24"/>
  <c r="R28" i="24"/>
  <c r="R29" i="24"/>
  <c r="R30" i="24"/>
  <c r="R31" i="24"/>
  <c r="R32" i="24"/>
  <c r="R33" i="24"/>
  <c r="R34" i="24"/>
  <c r="R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5" i="24"/>
  <c r="N20" i="20" l="1"/>
  <c r="O20" i="20"/>
  <c r="P20" i="20"/>
  <c r="Q20" i="20"/>
  <c r="R20" i="20"/>
  <c r="S20" i="20"/>
  <c r="T20" i="20"/>
  <c r="N21" i="20"/>
  <c r="O21" i="20"/>
  <c r="P21" i="20"/>
  <c r="Q21" i="20"/>
  <c r="R21" i="20"/>
  <c r="S21" i="20"/>
  <c r="T21" i="20"/>
  <c r="N22" i="20"/>
  <c r="O22" i="20"/>
  <c r="P22" i="20"/>
  <c r="Q22" i="20"/>
  <c r="R22" i="20"/>
  <c r="S22" i="20"/>
  <c r="T22" i="20"/>
  <c r="N23" i="20"/>
  <c r="O23" i="20"/>
  <c r="P23" i="20"/>
  <c r="Q23" i="20"/>
  <c r="R23" i="20"/>
  <c r="S23" i="20"/>
  <c r="T23" i="20"/>
  <c r="N24" i="20"/>
  <c r="O24" i="20"/>
  <c r="P24" i="20"/>
  <c r="Q24" i="20"/>
  <c r="R24" i="20"/>
  <c r="S24" i="20"/>
  <c r="T24" i="20"/>
  <c r="N25" i="20"/>
  <c r="O25" i="20"/>
  <c r="P25" i="20"/>
  <c r="Q25" i="20"/>
  <c r="R25" i="20"/>
  <c r="S25" i="20"/>
  <c r="T25" i="20"/>
  <c r="M21" i="20"/>
  <c r="M22" i="20"/>
  <c r="M23" i="20"/>
  <c r="M24" i="20"/>
  <c r="M25" i="20"/>
  <c r="M20" i="20"/>
  <c r="N12" i="20"/>
  <c r="O12" i="20"/>
  <c r="P12" i="20"/>
  <c r="Q12" i="20"/>
  <c r="R12" i="20"/>
  <c r="S12" i="20"/>
  <c r="T12" i="20"/>
  <c r="N13" i="20"/>
  <c r="O13" i="20"/>
  <c r="P13" i="20"/>
  <c r="Q13" i="20"/>
  <c r="R13" i="20"/>
  <c r="S13" i="20"/>
  <c r="T13" i="20"/>
  <c r="N14" i="20"/>
  <c r="O14" i="20"/>
  <c r="P14" i="20"/>
  <c r="Q14" i="20"/>
  <c r="R14" i="20"/>
  <c r="S14" i="20"/>
  <c r="T14" i="20"/>
  <c r="N15" i="20"/>
  <c r="O15" i="20"/>
  <c r="P15" i="20"/>
  <c r="Q15" i="20"/>
  <c r="R15" i="20"/>
  <c r="S15" i="20"/>
  <c r="T15" i="20"/>
  <c r="N16" i="20"/>
  <c r="O16" i="20"/>
  <c r="P16" i="20"/>
  <c r="Q16" i="20"/>
  <c r="R16" i="20"/>
  <c r="S16" i="20"/>
  <c r="T16" i="20"/>
  <c r="N17" i="20"/>
  <c r="O17" i="20"/>
  <c r="P17" i="20"/>
  <c r="Q17" i="20"/>
  <c r="R17" i="20"/>
  <c r="S17" i="20"/>
  <c r="T17" i="20"/>
  <c r="M13" i="20"/>
  <c r="M14" i="20"/>
  <c r="M15" i="20"/>
  <c r="M16" i="20"/>
  <c r="M17" i="20"/>
  <c r="M12" i="20"/>
</calcChain>
</file>

<file path=xl/sharedStrings.xml><?xml version="1.0" encoding="utf-8"?>
<sst xmlns="http://schemas.openxmlformats.org/spreadsheetml/2006/main" count="1107" uniqueCount="138">
  <si>
    <t>Measurement Number</t>
  </si>
  <si>
    <t>DateTime</t>
  </si>
  <si>
    <t>DOE_TEST</t>
  </si>
  <si>
    <t>DOE_SEQ_No</t>
  </si>
  <si>
    <t>DOE_LOAD</t>
  </si>
  <si>
    <t>LBH_LOAD</t>
  </si>
  <si>
    <t>TORQUE_R</t>
  </si>
  <si>
    <t>DOE_SPEED_THROTTLE</t>
  </si>
  <si>
    <t>LBH_THROTTLE</t>
  </si>
  <si>
    <t>SPEED_A</t>
  </si>
  <si>
    <t>DOE_VGT</t>
  </si>
  <si>
    <t>BobOV_XPC_VGT</t>
  </si>
  <si>
    <t>DOE_EGR</t>
  </si>
  <si>
    <t>egr_vlv_position</t>
  </si>
  <si>
    <t>DOE_EGR_throttle</t>
  </si>
  <si>
    <t>thr_vlv_position</t>
  </si>
  <si>
    <t>DOE_ec_main_tim_ov</t>
  </si>
  <si>
    <t>EC_main_tim</t>
  </si>
  <si>
    <t>DOE_ec_soi_p_ov</t>
  </si>
  <si>
    <t>EC_soi_press</t>
  </si>
  <si>
    <t>DOE_ec_ccpilot_q_ov</t>
  </si>
  <si>
    <t>EC_ccpilot_q</t>
  </si>
  <si>
    <t>DOE_ec_ccpilot_dwl_ov</t>
  </si>
  <si>
    <t>EC_ccpilot_dwell_time</t>
  </si>
  <si>
    <t>DOE_ec_ccpost_q_ov</t>
  </si>
  <si>
    <t>EC_ccpost_q</t>
  </si>
  <si>
    <t>DOE_ec_ccpost_dwl_ov</t>
  </si>
  <si>
    <t>EC_ccpost_dwell_time</t>
  </si>
  <si>
    <t>DOE_ec_full_egr_smk_lim_ov</t>
  </si>
  <si>
    <t>ec_full_egr_smk_lim</t>
  </si>
  <si>
    <t>DOE_pm_lim_max_ov</t>
  </si>
  <si>
    <t>LIM_MAX</t>
  </si>
  <si>
    <t>DOE_VGT_SAFE</t>
  </si>
  <si>
    <t>DOE_EGR_SAFE</t>
  </si>
  <si>
    <t>pMAX</t>
  </si>
  <si>
    <t>TC1_TURBO_SPEED</t>
  </si>
  <si>
    <t>EXH_PRES_MANI_OUT</t>
  </si>
  <si>
    <t>EXH_PRES_EGR_COOL_IN</t>
  </si>
  <si>
    <t>EXH_TEMP_MANI_OUT</t>
  </si>
  <si>
    <t>INTAKE_MAN_AIR_PRES</t>
  </si>
  <si>
    <t>AIR_PRES_IN_MANI</t>
  </si>
  <si>
    <t>AIR_TEMP_TC2_OUT</t>
  </si>
  <si>
    <t>AIR_PRES_TC2</t>
  </si>
  <si>
    <t>Air_Mass_Flow_Cor</t>
  </si>
  <si>
    <t>MAN_DELTA_PRES</t>
  </si>
  <si>
    <t>AIR_TEMP_IN_MANI</t>
  </si>
  <si>
    <t>EXH_TEMP_EGR_COOL_OUT</t>
  </si>
  <si>
    <t>OC_Bearing_Reservoir</t>
  </si>
  <si>
    <t>AVL415S_SM_MeanValFSN</t>
  </si>
  <si>
    <t>AVL415_SM_MeanValSoot</t>
  </si>
  <si>
    <t>AVL483_MS_ConcentrationDilCorr</t>
  </si>
  <si>
    <t>CO_LOW</t>
  </si>
  <si>
    <t>THC</t>
  </si>
  <si>
    <t>CO2</t>
  </si>
  <si>
    <t>CO2_EGR</t>
  </si>
  <si>
    <t>NOx_gkwh</t>
  </si>
  <si>
    <t>NOX</t>
  </si>
  <si>
    <t>Percen_EGR</t>
  </si>
  <si>
    <t>AVL483_mgm3_to_FSN</t>
  </si>
  <si>
    <t>BSFC_ind</t>
  </si>
  <si>
    <t>Air_Fuel_Ratio</t>
  </si>
  <si>
    <t>Vol_Efficiency</t>
  </si>
  <si>
    <t>EGR_MASS_FLOW</t>
  </si>
  <si>
    <t>EST_IMAN_AIR_DENSITY</t>
  </si>
  <si>
    <t>Molar_Mass_Intake</t>
  </si>
  <si>
    <t>Molar_Mass_Exhaust</t>
  </si>
  <si>
    <t>Exhaust_Mass_Flow</t>
  </si>
  <si>
    <t>INTAKE_MAN_AIR_TEMP</t>
  </si>
  <si>
    <t>EGR_Inlet_Pressure_Val</t>
  </si>
  <si>
    <t>ec_as_des_OFR</t>
  </si>
  <si>
    <t>ec_est_OFR</t>
  </si>
  <si>
    <t>ec_des_corrected_ofr</t>
  </si>
  <si>
    <t>EC_des_CO2O</t>
  </si>
  <si>
    <t>ec_est_CO2O</t>
  </si>
  <si>
    <t>EC_main_q</t>
  </si>
  <si>
    <t>EC_pilot_tim</t>
  </si>
  <si>
    <t>EC_pilot_q</t>
  </si>
  <si>
    <t>ec_est_Vol_Efficiency</t>
  </si>
  <si>
    <t>EC_est_tmaf</t>
  </si>
  <si>
    <t>EC_est_eng_TMEF</t>
  </si>
  <si>
    <t>FUEL_CORR</t>
  </si>
  <si>
    <t>EXH_TEMP_EGR_COOL_IN</t>
  </si>
  <si>
    <t>EXH_TEMP_EGR_REED_OUT</t>
  </si>
  <si>
    <t>EXH_TEMP_EGR_VALVE_OUT</t>
  </si>
  <si>
    <t>EXH_TEMP_PORT_1</t>
  </si>
  <si>
    <t>EXH_TEMP_PORT_2</t>
  </si>
  <si>
    <t>EXH_TEMP_PORT_3</t>
  </si>
  <si>
    <t>EXH_TEMP_PORT_4</t>
  </si>
  <si>
    <t>EXH_TEMP_PORT_5</t>
  </si>
  <si>
    <t>EXH_TEMP_PORT_6</t>
  </si>
  <si>
    <t>EXH_TEMP_TC1_OUT</t>
  </si>
  <si>
    <t>EXH_TEMP_TC2_OUT</t>
  </si>
  <si>
    <t>TORQUE_CORRECT</t>
  </si>
  <si>
    <t>TORQUE</t>
  </si>
  <si>
    <t>BMEP_corr</t>
  </si>
  <si>
    <t>BMEP_ind</t>
  </si>
  <si>
    <t>DOE 1</t>
  </si>
  <si>
    <t>DOE 2</t>
  </si>
  <si>
    <t>DOE 3</t>
  </si>
  <si>
    <t>DOE 4</t>
  </si>
  <si>
    <t>DOE 5</t>
  </si>
  <si>
    <t>DOE 6</t>
  </si>
  <si>
    <t>DOE 7</t>
  </si>
  <si>
    <t>DOE 8</t>
  </si>
  <si>
    <t>DOE 9</t>
  </si>
  <si>
    <t>DOE 10</t>
  </si>
  <si>
    <t>DOE 11</t>
  </si>
  <si>
    <t>Consistency Check</t>
  </si>
  <si>
    <t>O2</t>
  </si>
  <si>
    <t>AIR_TEMP_AMB</t>
  </si>
  <si>
    <t>HUMIDITY_RELATIVE</t>
  </si>
  <si>
    <t>AIR_PRES_AMB</t>
  </si>
  <si>
    <t>NOx_gkwh (Wet)</t>
  </si>
  <si>
    <t>NOx Correction factor</t>
  </si>
  <si>
    <t>Notes</t>
  </si>
  <si>
    <t>HC measurement error</t>
  </si>
  <si>
    <t>O2 measurement</t>
  </si>
  <si>
    <t>Torque</t>
  </si>
  <si>
    <t>VGT</t>
  </si>
  <si>
    <t>EGR</t>
  </si>
  <si>
    <t>Pmax</t>
  </si>
  <si>
    <t>TXC Speed</t>
  </si>
  <si>
    <t>Exhaust Temp</t>
  </si>
  <si>
    <t>Man_delta</t>
  </si>
  <si>
    <t>Smoke</t>
  </si>
  <si>
    <t>Nox</t>
  </si>
  <si>
    <t>AFR</t>
  </si>
  <si>
    <t>BSFC</t>
  </si>
  <si>
    <t>Time</t>
  </si>
  <si>
    <t>Seq</t>
  </si>
  <si>
    <t>DOE 20 Model</t>
  </si>
  <si>
    <t>DOE 30 Model</t>
  </si>
  <si>
    <t>Percentage Difference</t>
  </si>
  <si>
    <t>John's vol eff</t>
  </si>
  <si>
    <t>DOE_1</t>
  </si>
  <si>
    <t>Difference</t>
  </si>
  <si>
    <t>Comparison between 20 and 30 DOEs based on Matlan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</si>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</sst>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 wrapText="1"/>
    </xf>
    <xf numFmtId="0" fontId="0" fillId="33" borderId="0" xfId="0" applyFill="1"/>
    <xf numFmtId="0" fontId="0" fillId="0" borderId="0" xfId="0"/>
    <xf numFmtId="47" fontId="0" fillId="33" borderId="0" xfId="0" applyNumberFormat="1" applyFill="1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34" borderId="0" xfId="0" applyFill="1"/>
    <xf numFmtId="47" fontId="0" fillId="34" borderId="0" xfId="0" applyNumberFormat="1" applyFill="1"/>
    <xf numFmtId="0" fontId="0" fillId="35" borderId="0" xfId="0" applyFill="1"/>
    <xf numFmtId="47" fontId="0" fillId="35" borderId="0" xfId="0" applyNumberFormat="1" applyFill="1"/>
    <xf numFmtId="0" fontId="0" fillId="36" borderId="0" xfId="0" applyFill="1"/>
    <xf numFmtId="47" fontId="0" fillId="36" borderId="0" xfId="0" applyNumberFormat="1" applyFill="1"/>
    <xf numFmtId="0" fontId="0" fillId="37" borderId="0" xfId="0" applyFill="1"/>
    <xf numFmtId="47" fontId="0" fillId="37" borderId="0" xfId="0" applyNumberFormat="1" applyFill="1"/>
    <xf numFmtId="0" fontId="0" fillId="38" borderId="0" xfId="0" applyFill="1"/>
    <xf numFmtId="47" fontId="0" fillId="38" borderId="0" xfId="0" applyNumberFormat="1" applyFill="1"/>
    <xf numFmtId="0" fontId="0" fillId="39" borderId="0" xfId="0" applyFill="1"/>
    <xf numFmtId="47" fontId="0" fillId="39" borderId="0" xfId="0" applyNumberFormat="1" applyFill="1"/>
    <xf numFmtId="0" fontId="0" fillId="40" borderId="0" xfId="0" applyFill="1"/>
    <xf numFmtId="47" fontId="0" fillId="40" borderId="0" xfId="0" applyNumberFormat="1" applyFill="1"/>
    <xf numFmtId="0" fontId="0" fillId="41" borderId="0" xfId="0" applyFill="1"/>
    <xf numFmtId="47" fontId="0" fillId="41" borderId="0" xfId="0" applyNumberFormat="1" applyFill="1"/>
    <xf numFmtId="47" fontId="0" fillId="0" borderId="0" xfId="0" applyNumberFormat="1" applyFill="1"/>
    <xf numFmtId="0" fontId="0" fillId="42" borderId="0" xfId="0" applyFill="1"/>
    <xf numFmtId="47" fontId="0" fillId="42" borderId="0" xfId="0" applyNumberFormat="1" applyFill="1"/>
    <xf numFmtId="0" fontId="18" fillId="0" borderId="0" xfId="0" applyFont="1"/>
    <xf numFmtId="0" fontId="0" fillId="43" borderId="0" xfId="0" applyFill="1"/>
    <xf numFmtId="47" fontId="0" fillId="43" borderId="0" xfId="0" applyNumberFormat="1" applyFill="1"/>
    <xf numFmtId="0" fontId="0" fillId="44" borderId="0" xfId="0" applyFill="1"/>
    <xf numFmtId="47" fontId="0" fillId="44" borderId="0" xfId="0" applyNumberFormat="1" applyFill="1"/>
    <xf numFmtId="0" fontId="0" fillId="45" borderId="0" xfId="0" applyFill="1"/>
    <xf numFmtId="47" fontId="0" fillId="45" borderId="0" xfId="0" applyNumberFormat="1" applyFill="1"/>
    <xf numFmtId="0" fontId="0" fillId="46" borderId="0" xfId="0" applyFill="1"/>
    <xf numFmtId="0" fontId="0" fillId="47" borderId="0" xfId="0" applyFill="1"/>
    <xf numFmtId="47" fontId="0" fillId="47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4" fillId="37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0" fillId="48" borderId="0" xfId="0" applyFill="1"/>
    <xf numFmtId="47" fontId="0" fillId="48" borderId="0" xfId="0" applyNumberFormat="1" applyFill="1"/>
    <xf numFmtId="0" fontId="0" fillId="49" borderId="0" xfId="0" applyFill="1"/>
    <xf numFmtId="47" fontId="0" fillId="49" borderId="0" xfId="0" applyNumberFormat="1" applyFill="1"/>
    <xf numFmtId="0" fontId="0" fillId="50" borderId="0" xfId="0" applyFill="1"/>
    <xf numFmtId="47" fontId="0" fillId="50" borderId="0" xfId="0" applyNumberFormat="1" applyFill="1"/>
    <xf numFmtId="0" fontId="0" fillId="51" borderId="0" xfId="0" applyFill="1"/>
    <xf numFmtId="47" fontId="0" fillId="51" borderId="0" xfId="0" applyNumberFormat="1" applyFill="1"/>
    <xf numFmtId="0" fontId="0" fillId="52" borderId="0" xfId="0" applyFill="1"/>
    <xf numFmtId="47" fontId="0" fillId="52" borderId="0" xfId="0" applyNumberFormat="1" applyFill="1"/>
    <xf numFmtId="0" fontId="14" fillId="48" borderId="0" xfId="0" applyFont="1" applyFill="1"/>
    <xf numFmtId="0" fontId="14" fillId="38" borderId="0" xfId="0" applyFont="1" applyFill="1"/>
    <xf numFmtId="0" fontId="14" fillId="49" borderId="0" xfId="0" applyFont="1" applyFill="1"/>
    <xf numFmtId="0" fontId="14" fillId="50" borderId="0" xfId="0" applyFont="1" applyFill="1"/>
    <xf numFmtId="0" fontId="14" fillId="52" borderId="0" xfId="0" applyFont="1" applyFill="1"/>
    <xf numFmtId="0" fontId="14" fillId="47" borderId="0" xfId="0" applyFont="1" applyFill="1"/>
    <xf numFmtId="0" fontId="14" fillId="0" borderId="0" xfId="0" applyFont="1" applyFill="1"/>
    <xf numFmtId="0" fontId="14" fillId="42" borderId="0" xfId="0" applyFont="1" applyFill="1"/>
    <xf numFmtId="0" fontId="14" fillId="39" borderId="0" xfId="0" applyFont="1" applyFill="1"/>
    <xf numFmtId="0" fontId="14" fillId="36" borderId="0" xfId="0" applyFont="1" applyFill="1"/>
    <xf numFmtId="0" fontId="14" fillId="40" borderId="0" xfId="0" applyFont="1" applyFill="1"/>
    <xf numFmtId="0" fontId="14" fillId="44" borderId="0" xfId="0" applyFont="1" applyFill="1"/>
    <xf numFmtId="0" fontId="14" fillId="35" borderId="0" xfId="0" applyFont="1" applyFill="1"/>
    <xf numFmtId="0" fontId="14" fillId="45" borderId="0" xfId="0" applyFont="1" applyFill="1"/>
    <xf numFmtId="0" fontId="14" fillId="41" borderId="0" xfId="0" applyFont="1" applyFill="1"/>
    <xf numFmtId="0" fontId="14" fillId="51" borderId="0" xfId="0" applyFont="1" applyFill="1"/>
    <xf numFmtId="0" fontId="14" fillId="43" borderId="0" xfId="0" applyFont="1" applyFill="1"/>
    <xf numFmtId="0" fontId="0" fillId="0" borderId="0" xfId="0" applyFont="1" applyFill="1"/>
    <xf numFmtId="47" fontId="0" fillId="0" borderId="0" xfId="0" applyNumberFormat="1" applyFont="1" applyFill="1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'Vol Eff Test'!$D$40</c:f>
              <c:strCache>
                <c:ptCount val="1"/>
                <c:pt idx="0">
                  <c:v>Vol_Efficiency</c:v>
                </c:pt>
              </c:strCache>
            </c:strRef>
          </c:tx>
          <c:marker>
            <c:symbol val="none"/>
          </c:marker>
          <c:val>
            <c:numRef>
              <c:f>'Vol Eff Test'!$D$41:$D$102</c:f>
              <c:numCache>
                <c:formatCode>General</c:formatCode>
                <c:ptCount val="62"/>
                <c:pt idx="0">
                  <c:v>88.2</c:v>
                </c:pt>
                <c:pt idx="1">
                  <c:v>87.6</c:v>
                </c:pt>
                <c:pt idx="2">
                  <c:v>87.4</c:v>
                </c:pt>
                <c:pt idx="3">
                  <c:v>87</c:v>
                </c:pt>
                <c:pt idx="4">
                  <c:v>86.9</c:v>
                </c:pt>
                <c:pt idx="5">
                  <c:v>87.3</c:v>
                </c:pt>
                <c:pt idx="6">
                  <c:v>86.9</c:v>
                </c:pt>
                <c:pt idx="7">
                  <c:v>86.7</c:v>
                </c:pt>
                <c:pt idx="8">
                  <c:v>86.5</c:v>
                </c:pt>
                <c:pt idx="9">
                  <c:v>86.5</c:v>
                </c:pt>
                <c:pt idx="10">
                  <c:v>86.9</c:v>
                </c:pt>
                <c:pt idx="11">
                  <c:v>86.4</c:v>
                </c:pt>
                <c:pt idx="12">
                  <c:v>87</c:v>
                </c:pt>
                <c:pt idx="13">
                  <c:v>86.3</c:v>
                </c:pt>
                <c:pt idx="14">
                  <c:v>86.1</c:v>
                </c:pt>
                <c:pt idx="15">
                  <c:v>86.1</c:v>
                </c:pt>
                <c:pt idx="16">
                  <c:v>86.2</c:v>
                </c:pt>
                <c:pt idx="17">
                  <c:v>85.8</c:v>
                </c:pt>
                <c:pt idx="18">
                  <c:v>85.8</c:v>
                </c:pt>
                <c:pt idx="19">
                  <c:v>86.3</c:v>
                </c:pt>
                <c:pt idx="20">
                  <c:v>85.7</c:v>
                </c:pt>
                <c:pt idx="21">
                  <c:v>85.7</c:v>
                </c:pt>
                <c:pt idx="22">
                  <c:v>85.4</c:v>
                </c:pt>
                <c:pt idx="23">
                  <c:v>85.8</c:v>
                </c:pt>
                <c:pt idx="24">
                  <c:v>85.7</c:v>
                </c:pt>
                <c:pt idx="25">
                  <c:v>85.6</c:v>
                </c:pt>
                <c:pt idx="26">
                  <c:v>85.7</c:v>
                </c:pt>
                <c:pt idx="27">
                  <c:v>85.4</c:v>
                </c:pt>
                <c:pt idx="28">
                  <c:v>84.9</c:v>
                </c:pt>
                <c:pt idx="29">
                  <c:v>85.3</c:v>
                </c:pt>
                <c:pt idx="30">
                  <c:v>84.8</c:v>
                </c:pt>
                <c:pt idx="31">
                  <c:v>85.1</c:v>
                </c:pt>
                <c:pt idx="32">
                  <c:v>85</c:v>
                </c:pt>
                <c:pt idx="33">
                  <c:v>84.9</c:v>
                </c:pt>
                <c:pt idx="34">
                  <c:v>84</c:v>
                </c:pt>
                <c:pt idx="35">
                  <c:v>84.5</c:v>
                </c:pt>
                <c:pt idx="36">
                  <c:v>84.2</c:v>
                </c:pt>
                <c:pt idx="37">
                  <c:v>84.2</c:v>
                </c:pt>
                <c:pt idx="38">
                  <c:v>84.1</c:v>
                </c:pt>
                <c:pt idx="39">
                  <c:v>84.4</c:v>
                </c:pt>
                <c:pt idx="40">
                  <c:v>83.6</c:v>
                </c:pt>
                <c:pt idx="41">
                  <c:v>83.8</c:v>
                </c:pt>
                <c:pt idx="42">
                  <c:v>83.5</c:v>
                </c:pt>
                <c:pt idx="43">
                  <c:v>83.7</c:v>
                </c:pt>
                <c:pt idx="44">
                  <c:v>82.9</c:v>
                </c:pt>
                <c:pt idx="45">
                  <c:v>83</c:v>
                </c:pt>
                <c:pt idx="46">
                  <c:v>82.6</c:v>
                </c:pt>
                <c:pt idx="47">
                  <c:v>83.3</c:v>
                </c:pt>
                <c:pt idx="48">
                  <c:v>82.6</c:v>
                </c:pt>
                <c:pt idx="49">
                  <c:v>82.1</c:v>
                </c:pt>
                <c:pt idx="50">
                  <c:v>82.2</c:v>
                </c:pt>
                <c:pt idx="51">
                  <c:v>82.4</c:v>
                </c:pt>
                <c:pt idx="52">
                  <c:v>81.7</c:v>
                </c:pt>
                <c:pt idx="53">
                  <c:v>82.3</c:v>
                </c:pt>
                <c:pt idx="54">
                  <c:v>82.2</c:v>
                </c:pt>
                <c:pt idx="55">
                  <c:v>81</c:v>
                </c:pt>
                <c:pt idx="56">
                  <c:v>80.7</c:v>
                </c:pt>
                <c:pt idx="57">
                  <c:v>80.099999999999994</c:v>
                </c:pt>
                <c:pt idx="58">
                  <c:v>80.3</c:v>
                </c:pt>
                <c:pt idx="59">
                  <c:v>79.599999999999994</c:v>
                </c:pt>
                <c:pt idx="60">
                  <c:v>77.2</c:v>
                </c:pt>
                <c:pt idx="61">
                  <c:v>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'Vol Eff Test'!$E$40</c:f>
              <c:strCache>
                <c:ptCount val="1"/>
                <c:pt idx="0">
                  <c:v>John's vol eff</c:v>
                </c:pt>
              </c:strCache>
            </c:strRef>
          </c:tx>
          <c:marker>
            <c:symbol val="none"/>
          </c:marker>
          <c:val>
            <c:numRef>
              <c:f>'Vol Eff Test'!$E$41:$E$102</c:f>
              <c:numCache>
                <c:formatCode>General</c:formatCode>
                <c:ptCount val="62"/>
                <c:pt idx="0">
                  <c:v>0.94030000000000002</c:v>
                </c:pt>
                <c:pt idx="1">
                  <c:v>0.93610000000000004</c:v>
                </c:pt>
                <c:pt idx="2">
                  <c:v>0.93440000000000001</c:v>
                </c:pt>
                <c:pt idx="3">
                  <c:v>0.93369999999999997</c:v>
                </c:pt>
                <c:pt idx="4">
                  <c:v>0.93389999999999995</c:v>
                </c:pt>
                <c:pt idx="5">
                  <c:v>0.93799999999999994</c:v>
                </c:pt>
                <c:pt idx="6">
                  <c:v>0.9345</c:v>
                </c:pt>
                <c:pt idx="7">
                  <c:v>0.93400000000000005</c:v>
                </c:pt>
                <c:pt idx="8">
                  <c:v>0.93369999999999997</c:v>
                </c:pt>
                <c:pt idx="9">
                  <c:v>0.93369999999999997</c:v>
                </c:pt>
                <c:pt idx="10">
                  <c:v>0.93820000000000003</c:v>
                </c:pt>
                <c:pt idx="11">
                  <c:v>0.93500000000000005</c:v>
                </c:pt>
                <c:pt idx="12">
                  <c:v>0.94110000000000005</c:v>
                </c:pt>
                <c:pt idx="13">
                  <c:v>0.93500000000000005</c:v>
                </c:pt>
                <c:pt idx="14">
                  <c:v>0.93400000000000005</c:v>
                </c:pt>
                <c:pt idx="15">
                  <c:v>0.93559999999999999</c:v>
                </c:pt>
                <c:pt idx="16">
                  <c:v>0.93730000000000002</c:v>
                </c:pt>
                <c:pt idx="17">
                  <c:v>0.93389999999999995</c:v>
                </c:pt>
                <c:pt idx="18">
                  <c:v>0.93420000000000003</c:v>
                </c:pt>
                <c:pt idx="19">
                  <c:v>0.93989999999999996</c:v>
                </c:pt>
                <c:pt idx="20">
                  <c:v>0.93579999999999997</c:v>
                </c:pt>
                <c:pt idx="21">
                  <c:v>0.93759999999999999</c:v>
                </c:pt>
                <c:pt idx="22">
                  <c:v>0.93520000000000003</c:v>
                </c:pt>
                <c:pt idx="23">
                  <c:v>0.94</c:v>
                </c:pt>
                <c:pt idx="24">
                  <c:v>0.93969999999999998</c:v>
                </c:pt>
                <c:pt idx="25">
                  <c:v>0.93930000000000002</c:v>
                </c:pt>
                <c:pt idx="26">
                  <c:v>0.94120000000000004</c:v>
                </c:pt>
                <c:pt idx="27">
                  <c:v>0.93859999999999999</c:v>
                </c:pt>
                <c:pt idx="28">
                  <c:v>0.93369999999999997</c:v>
                </c:pt>
                <c:pt idx="29">
                  <c:v>0.94040000000000001</c:v>
                </c:pt>
                <c:pt idx="30">
                  <c:v>0.93610000000000004</c:v>
                </c:pt>
                <c:pt idx="31">
                  <c:v>0.94020000000000004</c:v>
                </c:pt>
                <c:pt idx="32">
                  <c:v>0.94099999999999995</c:v>
                </c:pt>
                <c:pt idx="33">
                  <c:v>0.94030000000000002</c:v>
                </c:pt>
                <c:pt idx="34">
                  <c:v>0.93379999999999996</c:v>
                </c:pt>
                <c:pt idx="35">
                  <c:v>0.93920000000000003</c:v>
                </c:pt>
                <c:pt idx="36">
                  <c:v>0.93730000000000002</c:v>
                </c:pt>
                <c:pt idx="37">
                  <c:v>0.93799999999999994</c:v>
                </c:pt>
                <c:pt idx="38">
                  <c:v>0.93720000000000003</c:v>
                </c:pt>
                <c:pt idx="39">
                  <c:v>0.94079999999999997</c:v>
                </c:pt>
                <c:pt idx="40">
                  <c:v>0.93540000000000001</c:v>
                </c:pt>
                <c:pt idx="41">
                  <c:v>0.93859999999999999</c:v>
                </c:pt>
                <c:pt idx="42">
                  <c:v>0.93689999999999996</c:v>
                </c:pt>
                <c:pt idx="43">
                  <c:v>0.94089999999999996</c:v>
                </c:pt>
                <c:pt idx="44">
                  <c:v>0.93330000000000002</c:v>
                </c:pt>
                <c:pt idx="45">
                  <c:v>0.93459999999999999</c:v>
                </c:pt>
                <c:pt idx="46">
                  <c:v>0.93220000000000003</c:v>
                </c:pt>
                <c:pt idx="47">
                  <c:v>0.93930000000000002</c:v>
                </c:pt>
                <c:pt idx="48">
                  <c:v>0.93569999999999998</c:v>
                </c:pt>
                <c:pt idx="49">
                  <c:v>0.93369999999999997</c:v>
                </c:pt>
                <c:pt idx="50">
                  <c:v>0.93659999999999999</c:v>
                </c:pt>
                <c:pt idx="51">
                  <c:v>0.93930000000000002</c:v>
                </c:pt>
                <c:pt idx="52">
                  <c:v>0.93379999999999996</c:v>
                </c:pt>
                <c:pt idx="53">
                  <c:v>0.94069999999999998</c:v>
                </c:pt>
                <c:pt idx="54">
                  <c:v>0.94089999999999996</c:v>
                </c:pt>
                <c:pt idx="55">
                  <c:v>0.93640000000000001</c:v>
                </c:pt>
                <c:pt idx="56">
                  <c:v>0.93600000000000005</c:v>
                </c:pt>
                <c:pt idx="57">
                  <c:v>0.9385</c:v>
                </c:pt>
                <c:pt idx="58">
                  <c:v>0.94069999999999998</c:v>
                </c:pt>
                <c:pt idx="59">
                  <c:v>0.94020000000000004</c:v>
                </c:pt>
                <c:pt idx="60">
                  <c:v>0.93459999999999999</c:v>
                </c:pt>
                <c:pt idx="61">
                  <c:v>0.93620000000000003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24256"/>
        <c:axId val="106226048"/>
      </c:lineChart>
      <c:catAx>
        <c:axId val="106224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06226048"/>
        <c:crosses val="autoZero"/>
        <c:auto val="1"/>
        <c:lblAlgn val="ctr"/>
        <c:lblOffset val="100"/>
        <c:noMultiLvlLbl val="0"/>
      </c:catAx>
      <c:valAx>
        <c:axId val="106226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2242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133349</xdr:colOff>
      <xdr:row>83</xdr:row>
      <xdr:rowOff>157162</xdr:rowOff>
    </xdr:from>
    <xdr:to>
      <xdr:col>20</xdr:col>
      <xdr:colOff>352424</xdr:colOff>
      <xdr:row>98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27"/>
  <sheetViews>
    <sheetView topLeftCell="A265" workbookViewId="0">
      <selection activeCell="G290" sqref="G290"/>
    </sheetView>
  </sheetViews>
  <sheetFormatPr defaultRowHeight="15" x14ac:dyDescent="0.25"/>
  <cols>
    <col min="1" max="16384" width="9.140625" style="5"/>
  </cols>
  <sheetData>
    <row r="1" spans="1:102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108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109</v>
      </c>
      <c r="CU1" s="6" t="s">
        <v>110</v>
      </c>
      <c r="CV1" s="6" t="s">
        <v>111</v>
      </c>
      <c r="CW1" s="6" t="s">
        <v>113</v>
      </c>
      <c r="CX1" s="6" t="s">
        <v>112</v>
      </c>
    </row>
    <row r="2" spans="1:102" x14ac:dyDescent="0.25">
      <c r="A2" s="5">
        <v>34</v>
      </c>
      <c r="B2" s="23">
        <v>3.8200231481481481E-2</v>
      </c>
      <c r="C2" s="5">
        <v>1</v>
      </c>
      <c r="D2" s="5">
        <v>43</v>
      </c>
      <c r="E2" s="5">
        <v>248</v>
      </c>
      <c r="F2" s="5">
        <v>248</v>
      </c>
      <c r="G2" s="5">
        <v>248.1</v>
      </c>
      <c r="H2" s="5">
        <v>82.6</v>
      </c>
      <c r="I2" s="5">
        <v>82.6</v>
      </c>
      <c r="J2" s="5">
        <v>1701</v>
      </c>
      <c r="K2" s="5">
        <v>67</v>
      </c>
      <c r="L2" s="5">
        <v>67</v>
      </c>
      <c r="M2" s="5">
        <v>0.09</v>
      </c>
      <c r="N2" s="5">
        <v>9.0059E-2</v>
      </c>
      <c r="O2" s="5">
        <v>1</v>
      </c>
      <c r="P2" s="5">
        <v>1.0691820000000001</v>
      </c>
      <c r="Q2" s="5">
        <v>-1.73</v>
      </c>
      <c r="R2" s="5">
        <v>-1.7248540000000001</v>
      </c>
      <c r="S2" s="5">
        <v>113.65</v>
      </c>
      <c r="T2" s="5">
        <v>113.6563</v>
      </c>
      <c r="U2" s="5">
        <v>3.5</v>
      </c>
      <c r="V2" s="5">
        <v>3.5</v>
      </c>
      <c r="W2" s="5">
        <v>300</v>
      </c>
      <c r="X2" s="5">
        <v>300</v>
      </c>
      <c r="Y2" s="5">
        <v>3.5</v>
      </c>
      <c r="Z2" s="5">
        <v>3.5</v>
      </c>
      <c r="AA2" s="5">
        <v>300</v>
      </c>
      <c r="AB2" s="5">
        <v>300</v>
      </c>
      <c r="AC2" s="5">
        <v>0</v>
      </c>
      <c r="AD2" s="5">
        <v>133.2116</v>
      </c>
      <c r="AE2" s="5">
        <v>0</v>
      </c>
      <c r="AF2" s="5">
        <v>133.2116</v>
      </c>
      <c r="AG2" s="5">
        <v>40.549999999999997</v>
      </c>
      <c r="AH2" s="5">
        <v>0.21</v>
      </c>
      <c r="AI2" s="5">
        <v>75.61</v>
      </c>
      <c r="AJ2" s="5">
        <v>104.11</v>
      </c>
      <c r="AK2" s="5">
        <v>217.11</v>
      </c>
      <c r="AL2" s="5">
        <v>218.23</v>
      </c>
      <c r="AM2" s="5">
        <v>373.8</v>
      </c>
      <c r="AN2" s="5">
        <v>201.0771</v>
      </c>
      <c r="AO2" s="5">
        <v>100.28</v>
      </c>
      <c r="AP2" s="5">
        <v>124.1</v>
      </c>
      <c r="AQ2" s="5">
        <v>113.46</v>
      </c>
      <c r="AR2" s="5">
        <v>547.01</v>
      </c>
      <c r="AS2" s="5">
        <v>116.83</v>
      </c>
      <c r="AT2" s="5">
        <v>62.38</v>
      </c>
      <c r="AU2" s="5">
        <v>100.93</v>
      </c>
      <c r="AV2" s="5">
        <v>116.02</v>
      </c>
      <c r="AW2" s="5">
        <v>0.182</v>
      </c>
      <c r="AX2" s="5">
        <v>2.5299999999999998</v>
      </c>
      <c r="AY2" s="5">
        <v>2.0447000000000002</v>
      </c>
      <c r="AZ2" s="5">
        <v>63.86</v>
      </c>
      <c r="BA2" s="5">
        <v>25.88</v>
      </c>
      <c r="BB2" s="5">
        <v>5.0199999999999996</v>
      </c>
      <c r="BC2" s="5">
        <v>0.74</v>
      </c>
      <c r="BD2" s="5">
        <v>13.58</v>
      </c>
      <c r="BE2" s="5">
        <v>5.19</v>
      </c>
      <c r="BF2" s="5">
        <v>299.33</v>
      </c>
      <c r="BG2" s="5">
        <v>14.81</v>
      </c>
      <c r="BH2" s="5">
        <v>0.14000000000000001</v>
      </c>
      <c r="BI2" s="5">
        <v>287</v>
      </c>
      <c r="BJ2" s="5">
        <v>43.1</v>
      </c>
      <c r="BK2" s="5">
        <v>84.1</v>
      </c>
      <c r="BL2" s="5">
        <v>95.07</v>
      </c>
      <c r="BM2" s="5">
        <v>2.13</v>
      </c>
      <c r="BN2" s="5">
        <v>29.65</v>
      </c>
      <c r="BO2" s="5">
        <v>33.590000000000003</v>
      </c>
      <c r="BP2" s="5">
        <v>559.63</v>
      </c>
      <c r="BQ2" s="5">
        <v>63.048070000000003</v>
      </c>
      <c r="BR2" s="5">
        <v>317.73950000000002</v>
      </c>
      <c r="BS2" s="5">
        <v>72.702060000000003</v>
      </c>
      <c r="BT2" s="5">
        <v>88.98415</v>
      </c>
      <c r="BU2" s="5">
        <v>86.688640000000007</v>
      </c>
      <c r="BV2" s="5">
        <v>6.6558000000000006E-2</v>
      </c>
      <c r="BW2" s="5">
        <v>5.6209000000000002E-2</v>
      </c>
      <c r="BX2" s="5">
        <v>36.989530000000002</v>
      </c>
      <c r="BY2" s="5">
        <v>18.995360000000002</v>
      </c>
      <c r="BZ2" s="5">
        <v>0</v>
      </c>
      <c r="CA2" s="5">
        <v>0.93857900000000005</v>
      </c>
      <c r="CB2" s="5">
        <v>697.03420000000006</v>
      </c>
      <c r="CC2" s="5">
        <v>707.98689999999999</v>
      </c>
      <c r="CD2" s="5">
        <v>43.990209999999998</v>
      </c>
      <c r="CE2" s="5">
        <v>339.97</v>
      </c>
      <c r="CF2" s="5">
        <v>81.73</v>
      </c>
      <c r="CG2" s="5">
        <v>93.3</v>
      </c>
      <c r="CH2" s="5">
        <v>348.51</v>
      </c>
      <c r="CI2" s="5">
        <v>336.12</v>
      </c>
      <c r="CJ2" s="5">
        <v>344.76</v>
      </c>
      <c r="CK2" s="5">
        <v>372.19</v>
      </c>
      <c r="CL2" s="5">
        <v>349.27</v>
      </c>
      <c r="CM2" s="5">
        <v>356.43</v>
      </c>
      <c r="CN2" s="5">
        <v>255.62</v>
      </c>
      <c r="CO2" s="5">
        <v>26.54</v>
      </c>
      <c r="CP2" s="5">
        <v>247.7</v>
      </c>
      <c r="CQ2" s="5">
        <v>248.05</v>
      </c>
      <c r="CR2" s="5">
        <v>4.4000000000000004</v>
      </c>
      <c r="CS2" s="5">
        <v>4.4000000000000004</v>
      </c>
      <c r="CT2" s="5">
        <v>22.74</v>
      </c>
      <c r="CU2" s="5">
        <v>13.29</v>
      </c>
      <c r="CV2" s="5">
        <v>100.42</v>
      </c>
      <c r="CW2" s="5">
        <v>0.83381998700000004</v>
      </c>
      <c r="CX2" s="5">
        <v>4.3275257329999999</v>
      </c>
    </row>
    <row r="3" spans="1:102" x14ac:dyDescent="0.25">
      <c r="A3" s="5">
        <v>27</v>
      </c>
      <c r="B3" s="23">
        <v>2.0833333333333335E-4</v>
      </c>
      <c r="C3" s="5">
        <v>1</v>
      </c>
      <c r="D3" s="5">
        <v>36</v>
      </c>
      <c r="E3" s="5">
        <v>224</v>
      </c>
      <c r="F3" s="5">
        <v>224</v>
      </c>
      <c r="G3" s="5">
        <v>224</v>
      </c>
      <c r="H3" s="5">
        <v>82.6</v>
      </c>
      <c r="I3" s="5">
        <v>82.6</v>
      </c>
      <c r="J3" s="5">
        <v>1701</v>
      </c>
      <c r="K3" s="5">
        <v>63</v>
      </c>
      <c r="L3" s="5">
        <v>63</v>
      </c>
      <c r="M3" s="5">
        <v>0.08</v>
      </c>
      <c r="N3" s="5">
        <v>7.9990000000000006E-2</v>
      </c>
      <c r="O3" s="5">
        <v>1</v>
      </c>
      <c r="P3" s="5">
        <v>1.0690850000000001</v>
      </c>
      <c r="Q3" s="5">
        <v>-1.04</v>
      </c>
      <c r="R3" s="5">
        <v>-1.043701</v>
      </c>
      <c r="S3" s="5">
        <v>110.83</v>
      </c>
      <c r="T3" s="5">
        <v>110.82810000000001</v>
      </c>
      <c r="U3" s="5">
        <v>3.5</v>
      </c>
      <c r="V3" s="5">
        <v>3.5</v>
      </c>
      <c r="W3" s="5">
        <v>300</v>
      </c>
      <c r="X3" s="5">
        <v>300</v>
      </c>
      <c r="Y3" s="5">
        <v>3.5</v>
      </c>
      <c r="Z3" s="5">
        <v>3.5</v>
      </c>
      <c r="AA3" s="5">
        <v>300</v>
      </c>
      <c r="AB3" s="5">
        <v>300</v>
      </c>
      <c r="AC3" s="5">
        <v>0</v>
      </c>
      <c r="AD3" s="5">
        <v>123.8565</v>
      </c>
      <c r="AE3" s="5">
        <v>0</v>
      </c>
      <c r="AF3" s="5">
        <v>123.8565</v>
      </c>
      <c r="AG3" s="5">
        <v>44.91</v>
      </c>
      <c r="AH3" s="5">
        <v>0.21</v>
      </c>
      <c r="AI3" s="5">
        <v>70.37</v>
      </c>
      <c r="AJ3" s="5">
        <v>98.5</v>
      </c>
      <c r="AK3" s="5">
        <v>177.81</v>
      </c>
      <c r="AL3" s="5">
        <v>179.17</v>
      </c>
      <c r="AM3" s="5">
        <v>350.2</v>
      </c>
      <c r="AN3" s="5">
        <v>185.83260000000001</v>
      </c>
      <c r="AO3" s="5">
        <v>84.71</v>
      </c>
      <c r="AP3" s="5">
        <v>112.04</v>
      </c>
      <c r="AQ3" s="5">
        <v>97.59</v>
      </c>
      <c r="AR3" s="5">
        <v>530.41999999999996</v>
      </c>
      <c r="AS3" s="5">
        <v>93.11</v>
      </c>
      <c r="AT3" s="5">
        <v>59.88</v>
      </c>
      <c r="AU3" s="5">
        <v>97.34</v>
      </c>
      <c r="AV3" s="5">
        <v>112.85</v>
      </c>
      <c r="AW3" s="5">
        <v>0.2</v>
      </c>
      <c r="AX3" s="5">
        <v>2.79</v>
      </c>
      <c r="AY3" s="5">
        <v>2.4636999999999998</v>
      </c>
      <c r="AZ3" s="5">
        <v>64.31</v>
      </c>
      <c r="BA3" s="5">
        <v>44.12</v>
      </c>
      <c r="BB3" s="5">
        <v>4.6399999999999997</v>
      </c>
      <c r="BC3" s="5">
        <v>0.56999999999999995</v>
      </c>
      <c r="BD3" s="5">
        <v>14.12</v>
      </c>
      <c r="BE3" s="5">
        <v>6.01</v>
      </c>
      <c r="BF3" s="5">
        <v>319.86</v>
      </c>
      <c r="BG3" s="5">
        <v>12.27</v>
      </c>
      <c r="BH3" s="5">
        <v>0.17</v>
      </c>
      <c r="BI3" s="5">
        <v>284.8</v>
      </c>
      <c r="BJ3" s="5">
        <v>46.7</v>
      </c>
      <c r="BK3" s="5">
        <v>85.6</v>
      </c>
      <c r="BL3" s="5">
        <v>74.16</v>
      </c>
      <c r="BM3" s="5">
        <v>1.97</v>
      </c>
      <c r="BN3" s="5">
        <v>29.5</v>
      </c>
      <c r="BO3" s="5">
        <v>33.25</v>
      </c>
      <c r="BP3" s="5">
        <v>541.80999999999995</v>
      </c>
      <c r="BQ3" s="5">
        <v>60.616619999999998</v>
      </c>
      <c r="BR3" s="5">
        <v>279.37549999999999</v>
      </c>
      <c r="BS3" s="5">
        <v>81.993989999999997</v>
      </c>
      <c r="BT3" s="5">
        <v>93.976900000000001</v>
      </c>
      <c r="BU3" s="5">
        <v>92.012860000000003</v>
      </c>
      <c r="BV3" s="5">
        <v>4.9272000000000003E-2</v>
      </c>
      <c r="BW3" s="5">
        <v>4.3462000000000001E-2</v>
      </c>
      <c r="BX3" s="5">
        <v>32.53349</v>
      </c>
      <c r="BY3" s="5">
        <v>18.995360000000002</v>
      </c>
      <c r="BZ3" s="5">
        <v>0</v>
      </c>
      <c r="CA3" s="5">
        <v>0.93957999999999997</v>
      </c>
      <c r="CB3" s="5">
        <v>649.57000000000005</v>
      </c>
      <c r="CC3" s="5">
        <v>659.40369999999996</v>
      </c>
      <c r="CD3" s="5">
        <v>39.533749999999998</v>
      </c>
      <c r="CE3" s="5">
        <v>317.10000000000002</v>
      </c>
      <c r="CF3" s="5">
        <v>77.459999999999994</v>
      </c>
      <c r="CG3" s="5">
        <v>88.42</v>
      </c>
      <c r="CH3" s="5">
        <v>334.07</v>
      </c>
      <c r="CI3" s="5">
        <v>318.43</v>
      </c>
      <c r="CJ3" s="5">
        <v>323.76</v>
      </c>
      <c r="CK3" s="5">
        <v>348.24</v>
      </c>
      <c r="CL3" s="5">
        <v>330.15</v>
      </c>
      <c r="CM3" s="5">
        <v>335.97</v>
      </c>
      <c r="CN3" s="5">
        <v>243.76</v>
      </c>
      <c r="CO3" s="5">
        <v>25.94</v>
      </c>
      <c r="CP3" s="5">
        <v>223.6</v>
      </c>
      <c r="CQ3" s="5">
        <v>224.05</v>
      </c>
      <c r="CR3" s="5">
        <v>4</v>
      </c>
      <c r="CS3" s="5">
        <v>4</v>
      </c>
      <c r="CT3" s="5">
        <v>23.04</v>
      </c>
      <c r="CU3" s="5">
        <v>12.88</v>
      </c>
      <c r="CV3" s="5">
        <v>100.49</v>
      </c>
      <c r="CW3" s="5">
        <v>0.83540441399999998</v>
      </c>
      <c r="CX3" s="5">
        <v>5.0207805280000004</v>
      </c>
    </row>
    <row r="4" spans="1:102" x14ac:dyDescent="0.25">
      <c r="A4" s="5">
        <v>28</v>
      </c>
      <c r="B4" s="23">
        <v>5.6307870370370357E-3</v>
      </c>
      <c r="C4" s="5">
        <v>1</v>
      </c>
      <c r="D4" s="5">
        <v>37</v>
      </c>
      <c r="E4" s="5">
        <v>230</v>
      </c>
      <c r="F4" s="5">
        <v>230</v>
      </c>
      <c r="G4" s="5">
        <v>230</v>
      </c>
      <c r="H4" s="5">
        <v>82.6</v>
      </c>
      <c r="I4" s="5">
        <v>82.6</v>
      </c>
      <c r="J4" s="5">
        <v>1701</v>
      </c>
      <c r="K4" s="5">
        <v>40</v>
      </c>
      <c r="L4" s="5">
        <v>40</v>
      </c>
      <c r="M4" s="5">
        <v>7.0000000000000007E-2</v>
      </c>
      <c r="N4" s="5">
        <v>6.9985000000000006E-2</v>
      </c>
      <c r="O4" s="5">
        <v>1</v>
      </c>
      <c r="P4" s="5">
        <v>1.0691079999999999</v>
      </c>
      <c r="Q4" s="5">
        <v>-1.21</v>
      </c>
      <c r="R4" s="5">
        <v>-1.208496</v>
      </c>
      <c r="S4" s="5">
        <v>111.54</v>
      </c>
      <c r="T4" s="5">
        <v>111.54689999999999</v>
      </c>
      <c r="U4" s="5">
        <v>3.5</v>
      </c>
      <c r="V4" s="5">
        <v>3.5</v>
      </c>
      <c r="W4" s="5">
        <v>300</v>
      </c>
      <c r="X4" s="5">
        <v>300</v>
      </c>
      <c r="Y4" s="5">
        <v>3.5</v>
      </c>
      <c r="Z4" s="5">
        <v>3.5</v>
      </c>
      <c r="AA4" s="5">
        <v>300</v>
      </c>
      <c r="AB4" s="5">
        <v>300</v>
      </c>
      <c r="AC4" s="5">
        <v>0</v>
      </c>
      <c r="AD4" s="5">
        <v>97.753280000000004</v>
      </c>
      <c r="AE4" s="5">
        <v>0</v>
      </c>
      <c r="AF4" s="5">
        <v>97.753280000000004</v>
      </c>
      <c r="AG4" s="5">
        <v>43.82</v>
      </c>
      <c r="AH4" s="5">
        <v>0.21</v>
      </c>
      <c r="AI4" s="5">
        <v>54.98</v>
      </c>
      <c r="AJ4" s="5">
        <v>79.25</v>
      </c>
      <c r="AK4" s="5">
        <v>77.2</v>
      </c>
      <c r="AL4" s="5">
        <v>78.760000000000005</v>
      </c>
      <c r="AM4" s="5">
        <v>354.62</v>
      </c>
      <c r="AN4" s="5">
        <v>143.51089999999999</v>
      </c>
      <c r="AO4" s="5">
        <v>42.4</v>
      </c>
      <c r="AP4" s="5">
        <v>80.16</v>
      </c>
      <c r="AQ4" s="5">
        <v>53.45</v>
      </c>
      <c r="AR4" s="5">
        <v>450.51</v>
      </c>
      <c r="AS4" s="5">
        <v>34.799999999999997</v>
      </c>
      <c r="AT4" s="5">
        <v>54.48</v>
      </c>
      <c r="AU4" s="5">
        <v>94.68</v>
      </c>
      <c r="AV4" s="5">
        <v>110.56</v>
      </c>
      <c r="AW4" s="5">
        <v>0.26200000000000001</v>
      </c>
      <c r="AX4" s="5">
        <v>3.72</v>
      </c>
      <c r="AY4" s="5">
        <v>3.2462</v>
      </c>
      <c r="AZ4" s="5">
        <v>95.43</v>
      </c>
      <c r="BA4" s="5">
        <v>54.68</v>
      </c>
      <c r="BB4" s="5">
        <v>5.09</v>
      </c>
      <c r="BC4" s="5">
        <v>0.36</v>
      </c>
      <c r="BD4" s="5">
        <v>13.49</v>
      </c>
      <c r="BE4" s="5">
        <v>6.08</v>
      </c>
      <c r="BF4" s="5">
        <v>395.05</v>
      </c>
      <c r="BG4" s="5">
        <v>7.15</v>
      </c>
      <c r="BH4" s="5">
        <v>0.22</v>
      </c>
      <c r="BI4" s="5">
        <v>256.7</v>
      </c>
      <c r="BJ4" s="5">
        <v>42.8</v>
      </c>
      <c r="BK4" s="5">
        <v>88.2</v>
      </c>
      <c r="BL4" s="5">
        <v>34.71</v>
      </c>
      <c r="BM4" s="5">
        <v>1.54</v>
      </c>
      <c r="BN4" s="5">
        <v>29.3</v>
      </c>
      <c r="BO4" s="5">
        <v>33.619999999999997</v>
      </c>
      <c r="BP4" s="5">
        <v>461.02</v>
      </c>
      <c r="BQ4" s="5">
        <v>56.21031</v>
      </c>
      <c r="BR4" s="5">
        <v>179.64060000000001</v>
      </c>
      <c r="BS4" s="5">
        <v>85.590900000000005</v>
      </c>
      <c r="BT4" s="5">
        <v>78.076980000000006</v>
      </c>
      <c r="BU4" s="5">
        <v>77.22739</v>
      </c>
      <c r="BV4" s="5">
        <v>4.3272999999999999E-2</v>
      </c>
      <c r="BW4" s="5">
        <v>4.4722999999999999E-2</v>
      </c>
      <c r="BX4" s="5">
        <v>30.139430000000001</v>
      </c>
      <c r="BY4" s="5">
        <v>18.995360000000002</v>
      </c>
      <c r="BZ4" s="5">
        <v>0</v>
      </c>
      <c r="CA4" s="5">
        <v>0.93895300000000004</v>
      </c>
      <c r="CB4" s="5">
        <v>507.99689999999998</v>
      </c>
      <c r="CC4" s="5">
        <v>517.23289999999997</v>
      </c>
      <c r="CD4" s="5">
        <v>37.138330000000003</v>
      </c>
      <c r="CE4" s="5">
        <v>303.60000000000002</v>
      </c>
      <c r="CF4" s="5">
        <v>71.760000000000005</v>
      </c>
      <c r="CG4" s="5">
        <v>82.75</v>
      </c>
      <c r="CH4" s="5">
        <v>332.43</v>
      </c>
      <c r="CI4" s="5">
        <v>328.56</v>
      </c>
      <c r="CJ4" s="5">
        <v>333.82</v>
      </c>
      <c r="CK4" s="5">
        <v>353.67</v>
      </c>
      <c r="CL4" s="5">
        <v>338.57</v>
      </c>
      <c r="CM4" s="5">
        <v>338.33</v>
      </c>
      <c r="CN4" s="5">
        <v>283.12</v>
      </c>
      <c r="CO4" s="5">
        <v>25.11</v>
      </c>
      <c r="CP4" s="5">
        <v>229.7</v>
      </c>
      <c r="CQ4" s="5">
        <v>230.05</v>
      </c>
      <c r="CR4" s="5">
        <v>4.0999999999999996</v>
      </c>
      <c r="CS4" s="5">
        <v>4.0999999999999996</v>
      </c>
      <c r="CT4" s="5">
        <v>23.13</v>
      </c>
      <c r="CU4" s="5">
        <v>13.05</v>
      </c>
      <c r="CV4" s="5">
        <v>100.49</v>
      </c>
      <c r="CW4" s="5">
        <v>0.83291817599999995</v>
      </c>
      <c r="CX4" s="5">
        <v>5.0641425099999999</v>
      </c>
    </row>
    <row r="5" spans="1:102" x14ac:dyDescent="0.25">
      <c r="A5" s="5">
        <v>10</v>
      </c>
      <c r="B5" s="23">
        <v>4.0630787037037035E-2</v>
      </c>
      <c r="C5" s="5">
        <v>1</v>
      </c>
      <c r="D5" s="5">
        <v>10</v>
      </c>
      <c r="E5" s="5">
        <v>102</v>
      </c>
      <c r="F5" s="5">
        <v>102</v>
      </c>
      <c r="G5" s="5">
        <v>102</v>
      </c>
      <c r="H5" s="5">
        <v>82.6</v>
      </c>
      <c r="I5" s="5">
        <v>82.6</v>
      </c>
      <c r="J5" s="5">
        <v>1701</v>
      </c>
      <c r="K5" s="5">
        <v>56</v>
      </c>
      <c r="L5" s="5">
        <v>56</v>
      </c>
      <c r="M5" s="5">
        <v>0.25</v>
      </c>
      <c r="N5" s="5">
        <v>0.24995899999999999</v>
      </c>
      <c r="O5" s="5">
        <v>1</v>
      </c>
      <c r="P5" s="5">
        <v>1.0691470000000001</v>
      </c>
      <c r="Q5" s="5">
        <v>2.15</v>
      </c>
      <c r="R5" s="5">
        <v>2.1533199999999999</v>
      </c>
      <c r="S5" s="5">
        <v>101.97</v>
      </c>
      <c r="T5" s="5">
        <v>101.9688</v>
      </c>
      <c r="U5" s="5">
        <v>3.5</v>
      </c>
      <c r="V5" s="5">
        <v>3.5</v>
      </c>
      <c r="W5" s="5">
        <v>300</v>
      </c>
      <c r="X5" s="5">
        <v>300</v>
      </c>
      <c r="Y5" s="5">
        <v>3.5</v>
      </c>
      <c r="Z5" s="5">
        <v>3.5</v>
      </c>
      <c r="AA5" s="5">
        <v>300</v>
      </c>
      <c r="AB5" s="5">
        <v>300</v>
      </c>
      <c r="AC5" s="5">
        <v>0</v>
      </c>
      <c r="AD5" s="5">
        <v>85.26849</v>
      </c>
      <c r="AE5" s="5">
        <v>0</v>
      </c>
      <c r="AF5" s="5">
        <v>85.26849</v>
      </c>
      <c r="AG5" s="5">
        <v>67.09</v>
      </c>
      <c r="AH5" s="5">
        <v>0.24</v>
      </c>
      <c r="AI5" s="5">
        <v>48.42</v>
      </c>
      <c r="AJ5" s="5">
        <v>57.86</v>
      </c>
      <c r="AK5" s="5">
        <v>53.65</v>
      </c>
      <c r="AL5" s="5">
        <v>52.9</v>
      </c>
      <c r="AM5" s="5">
        <v>262.66000000000003</v>
      </c>
      <c r="AN5" s="5">
        <v>122.8683</v>
      </c>
      <c r="AO5" s="5">
        <v>21.63</v>
      </c>
      <c r="AP5" s="5">
        <v>54.87</v>
      </c>
      <c r="AQ5" s="5">
        <v>28.34</v>
      </c>
      <c r="AR5" s="5">
        <v>292.49</v>
      </c>
      <c r="AS5" s="5">
        <v>32.020000000000003</v>
      </c>
      <c r="AT5" s="5">
        <v>51.76</v>
      </c>
      <c r="AU5" s="5">
        <v>98.94</v>
      </c>
      <c r="AV5" s="5">
        <v>110.33</v>
      </c>
      <c r="AW5" s="5">
        <v>0.316</v>
      </c>
      <c r="AX5" s="5">
        <v>4.57</v>
      </c>
      <c r="AY5" s="5">
        <v>3.1227</v>
      </c>
      <c r="AZ5" s="5">
        <v>155.69</v>
      </c>
      <c r="BA5" s="5">
        <v>79.47</v>
      </c>
      <c r="BB5" s="5">
        <v>4.5999999999999996</v>
      </c>
      <c r="BC5" s="5">
        <v>1.27</v>
      </c>
      <c r="BD5" s="5">
        <v>14.3</v>
      </c>
      <c r="BE5" s="5">
        <v>3.99</v>
      </c>
      <c r="BF5" s="5">
        <v>174.93</v>
      </c>
      <c r="BG5" s="5">
        <v>27.69</v>
      </c>
      <c r="BH5" s="5">
        <v>0.22</v>
      </c>
      <c r="BI5" s="5">
        <v>337.5</v>
      </c>
      <c r="BJ5" s="5">
        <v>47.7</v>
      </c>
      <c r="BK5" s="5">
        <v>82.9</v>
      </c>
      <c r="BL5" s="5">
        <v>112.08</v>
      </c>
      <c r="BM5" s="5">
        <v>1.36</v>
      </c>
      <c r="BN5" s="5">
        <v>30.13</v>
      </c>
      <c r="BO5" s="5">
        <v>33.159999999999997</v>
      </c>
      <c r="BP5" s="5">
        <v>298.75</v>
      </c>
      <c r="BQ5" s="5">
        <v>52.465629999999997</v>
      </c>
      <c r="BR5" s="5">
        <v>150.67400000000001</v>
      </c>
      <c r="BS5" s="5">
        <v>144.8424</v>
      </c>
      <c r="BT5" s="5">
        <v>134.5898</v>
      </c>
      <c r="BU5" s="5">
        <v>133.0949</v>
      </c>
      <c r="BV5" s="5">
        <v>3.9213999999999999E-2</v>
      </c>
      <c r="BW5" s="5">
        <v>4.0693E-2</v>
      </c>
      <c r="BX5" s="5">
        <v>11.69276</v>
      </c>
      <c r="BY5" s="5">
        <v>18.995360000000002</v>
      </c>
      <c r="BZ5" s="5">
        <v>0</v>
      </c>
      <c r="CA5" s="5">
        <v>0.93300700000000003</v>
      </c>
      <c r="CB5" s="5">
        <v>437.13099999999997</v>
      </c>
      <c r="CC5" s="5">
        <v>441.74189999999999</v>
      </c>
      <c r="CD5" s="5">
        <v>18.6938</v>
      </c>
      <c r="CE5" s="5">
        <v>252.46</v>
      </c>
      <c r="CF5" s="5">
        <v>77.63</v>
      </c>
      <c r="CG5" s="5">
        <v>91</v>
      </c>
      <c r="CH5" s="5">
        <v>252.54</v>
      </c>
      <c r="CI5" s="5">
        <v>247.2</v>
      </c>
      <c r="CJ5" s="5">
        <v>250.94</v>
      </c>
      <c r="CK5" s="5">
        <v>265.72000000000003</v>
      </c>
      <c r="CL5" s="5">
        <v>256.27</v>
      </c>
      <c r="CM5" s="5">
        <v>255.44</v>
      </c>
      <c r="CN5" s="5">
        <v>212.01</v>
      </c>
      <c r="CO5" s="5">
        <v>22.32</v>
      </c>
      <c r="CP5" s="5">
        <v>101.7</v>
      </c>
      <c r="CQ5" s="5">
        <v>102.05</v>
      </c>
      <c r="CR5" s="5">
        <v>1.8</v>
      </c>
      <c r="CS5" s="5">
        <v>1.8</v>
      </c>
      <c r="CT5" s="5">
        <v>21.22</v>
      </c>
      <c r="CU5" s="5">
        <v>23.08</v>
      </c>
      <c r="CV5" s="5">
        <v>100.72</v>
      </c>
      <c r="CW5" s="5">
        <v>0.85257174199999997</v>
      </c>
      <c r="CX5" s="5">
        <v>3.4017612509999999</v>
      </c>
    </row>
    <row r="6" spans="1:102" x14ac:dyDescent="0.25">
      <c r="A6" s="5">
        <v>19</v>
      </c>
      <c r="B6" s="23">
        <v>3.876157407407408E-2</v>
      </c>
      <c r="C6" s="5">
        <v>1</v>
      </c>
      <c r="D6" s="5">
        <v>29</v>
      </c>
      <c r="E6" s="5">
        <v>198</v>
      </c>
      <c r="F6" s="5">
        <v>198</v>
      </c>
      <c r="G6" s="5">
        <v>198.1</v>
      </c>
      <c r="H6" s="5">
        <v>82.6</v>
      </c>
      <c r="I6" s="5">
        <v>82.6</v>
      </c>
      <c r="J6" s="5">
        <v>1701</v>
      </c>
      <c r="K6" s="5">
        <v>32</v>
      </c>
      <c r="L6" s="5">
        <v>32</v>
      </c>
      <c r="M6" s="5">
        <v>0.1</v>
      </c>
      <c r="N6" s="5">
        <v>0.10004399999999999</v>
      </c>
      <c r="O6" s="5">
        <v>1</v>
      </c>
      <c r="P6" s="5">
        <v>1.0691729999999999</v>
      </c>
      <c r="Q6" s="5">
        <v>-0.28999999999999998</v>
      </c>
      <c r="R6" s="5">
        <v>-0.28564499999999998</v>
      </c>
      <c r="S6" s="5">
        <v>107.89</v>
      </c>
      <c r="T6" s="5">
        <v>107.89060000000001</v>
      </c>
      <c r="U6" s="5">
        <v>3.5</v>
      </c>
      <c r="V6" s="5">
        <v>3.5</v>
      </c>
      <c r="W6" s="5">
        <v>300</v>
      </c>
      <c r="X6" s="5">
        <v>300</v>
      </c>
      <c r="Y6" s="5">
        <v>3.5</v>
      </c>
      <c r="Z6" s="5">
        <v>3.5</v>
      </c>
      <c r="AA6" s="5">
        <v>300</v>
      </c>
      <c r="AB6" s="5">
        <v>300</v>
      </c>
      <c r="AC6" s="5">
        <v>0</v>
      </c>
      <c r="AD6" s="5">
        <v>89.88937</v>
      </c>
      <c r="AE6" s="5">
        <v>0</v>
      </c>
      <c r="AF6" s="5">
        <v>89.88937</v>
      </c>
      <c r="AG6" s="5">
        <v>49.64</v>
      </c>
      <c r="AH6" s="5">
        <v>0.22</v>
      </c>
      <c r="AI6" s="5">
        <v>49.52</v>
      </c>
      <c r="AJ6" s="5">
        <v>67.94</v>
      </c>
      <c r="AK6" s="5">
        <v>53.66</v>
      </c>
      <c r="AL6" s="5">
        <v>54.77</v>
      </c>
      <c r="AM6" s="5">
        <v>331.71</v>
      </c>
      <c r="AN6" s="5">
        <v>127.87479999999999</v>
      </c>
      <c r="AO6" s="5">
        <v>26.44</v>
      </c>
      <c r="AP6" s="5">
        <v>64.67</v>
      </c>
      <c r="AQ6" s="5">
        <v>36.07</v>
      </c>
      <c r="AR6" s="5">
        <v>395.01</v>
      </c>
      <c r="AS6" s="5">
        <v>27.23</v>
      </c>
      <c r="AT6" s="5">
        <v>45.18</v>
      </c>
      <c r="AU6" s="5">
        <v>94.55</v>
      </c>
      <c r="AV6" s="5">
        <v>116.48</v>
      </c>
      <c r="AW6" s="5">
        <v>0.317</v>
      </c>
      <c r="AX6" s="5">
        <v>4.5999999999999996</v>
      </c>
      <c r="AY6" s="5">
        <v>3.0259999999999998</v>
      </c>
      <c r="AZ6" s="5">
        <v>117.21</v>
      </c>
      <c r="BA6" s="5">
        <v>67.459999999999994</v>
      </c>
      <c r="BB6" s="5">
        <v>5.07</v>
      </c>
      <c r="BC6" s="5">
        <v>0.52</v>
      </c>
      <c r="BD6" s="5">
        <v>13.56</v>
      </c>
      <c r="BE6" s="5">
        <v>5.14</v>
      </c>
      <c r="BF6" s="5">
        <v>327.82</v>
      </c>
      <c r="BG6" s="5">
        <v>10.19</v>
      </c>
      <c r="BH6" s="5">
        <v>0.21</v>
      </c>
      <c r="BI6" s="5">
        <v>260.39999999999998</v>
      </c>
      <c r="BJ6" s="5">
        <v>43</v>
      </c>
      <c r="BK6" s="5">
        <v>87</v>
      </c>
      <c r="BL6" s="5">
        <v>44.78</v>
      </c>
      <c r="BM6" s="5">
        <v>1.41</v>
      </c>
      <c r="BN6" s="5">
        <v>29.44</v>
      </c>
      <c r="BO6" s="5">
        <v>33.61</v>
      </c>
      <c r="BP6" s="5">
        <v>403.96</v>
      </c>
      <c r="BQ6" s="5">
        <v>47.39188</v>
      </c>
      <c r="BR6" s="5">
        <v>155.01259999999999</v>
      </c>
      <c r="BS6" s="5">
        <v>94.435779999999994</v>
      </c>
      <c r="BT6" s="5">
        <v>85.423349999999999</v>
      </c>
      <c r="BU6" s="5">
        <v>84.480779999999996</v>
      </c>
      <c r="BV6" s="5">
        <v>3.8751000000000001E-2</v>
      </c>
      <c r="BW6" s="5">
        <v>4.0460000000000003E-2</v>
      </c>
      <c r="BX6" s="5">
        <v>24.24427</v>
      </c>
      <c r="BY6" s="5">
        <v>18.995360000000002</v>
      </c>
      <c r="BZ6" s="5">
        <v>0</v>
      </c>
      <c r="CA6" s="5">
        <v>0.93740900000000005</v>
      </c>
      <c r="CB6" s="5">
        <v>464.31979999999999</v>
      </c>
      <c r="CC6" s="5">
        <v>472.07479999999998</v>
      </c>
      <c r="CD6" s="5">
        <v>31.243020000000001</v>
      </c>
      <c r="CE6" s="5">
        <v>305.5</v>
      </c>
      <c r="CF6" s="5">
        <v>70.05</v>
      </c>
      <c r="CG6" s="5">
        <v>84.62</v>
      </c>
      <c r="CH6" s="5">
        <v>313.69</v>
      </c>
      <c r="CI6" s="5">
        <v>307.10000000000002</v>
      </c>
      <c r="CJ6" s="5">
        <v>312.60000000000002</v>
      </c>
      <c r="CK6" s="5">
        <v>329.67</v>
      </c>
      <c r="CL6" s="5">
        <v>318.02999999999997</v>
      </c>
      <c r="CM6" s="5">
        <v>324.64999999999998</v>
      </c>
      <c r="CN6" s="5">
        <v>274.56</v>
      </c>
      <c r="CO6" s="5">
        <v>24.65</v>
      </c>
      <c r="CP6" s="5">
        <v>197.6</v>
      </c>
      <c r="CQ6" s="5">
        <v>198.05</v>
      </c>
      <c r="CR6" s="5">
        <v>3.5</v>
      </c>
      <c r="CS6" s="5">
        <v>3.5</v>
      </c>
      <c r="CT6" s="5">
        <v>22.62</v>
      </c>
      <c r="CU6" s="5">
        <v>16.059999999999999</v>
      </c>
      <c r="CV6" s="5">
        <v>100.54</v>
      </c>
      <c r="CW6" s="5">
        <v>0.83789037200000005</v>
      </c>
      <c r="CX6" s="5">
        <v>4.3067565119999998</v>
      </c>
    </row>
    <row r="7" spans="1:102" x14ac:dyDescent="0.25">
      <c r="A7" s="5">
        <v>32</v>
      </c>
      <c r="B7" s="23">
        <v>2.7320601851851853E-2</v>
      </c>
      <c r="C7" s="5">
        <v>1</v>
      </c>
      <c r="D7" s="5">
        <v>41</v>
      </c>
      <c r="E7" s="5">
        <v>241</v>
      </c>
      <c r="F7" s="5">
        <v>241</v>
      </c>
      <c r="G7" s="5">
        <v>241</v>
      </c>
      <c r="H7" s="5">
        <v>82.6</v>
      </c>
      <c r="I7" s="5">
        <v>82.6</v>
      </c>
      <c r="J7" s="5">
        <v>1701</v>
      </c>
      <c r="K7" s="5">
        <v>5</v>
      </c>
      <c r="L7" s="5">
        <v>5</v>
      </c>
      <c r="M7" s="5">
        <v>0.05</v>
      </c>
      <c r="N7" s="5">
        <v>5.0084999999999998E-2</v>
      </c>
      <c r="O7" s="5">
        <v>1</v>
      </c>
      <c r="P7" s="5">
        <v>1.069075</v>
      </c>
      <c r="Q7" s="5">
        <v>-1.53</v>
      </c>
      <c r="R7" s="5">
        <v>-1.5270999999999999</v>
      </c>
      <c r="S7" s="5">
        <v>112.83</v>
      </c>
      <c r="T7" s="5">
        <v>112.82810000000001</v>
      </c>
      <c r="U7" s="5">
        <v>3.5</v>
      </c>
      <c r="V7" s="5">
        <v>3.5</v>
      </c>
      <c r="W7" s="5">
        <v>300</v>
      </c>
      <c r="X7" s="5">
        <v>300</v>
      </c>
      <c r="Y7" s="5">
        <v>3.5</v>
      </c>
      <c r="Z7" s="5">
        <v>3.5</v>
      </c>
      <c r="AA7" s="5">
        <v>300</v>
      </c>
      <c r="AB7" s="5">
        <v>300</v>
      </c>
      <c r="AC7" s="5">
        <v>0</v>
      </c>
      <c r="AD7" s="5">
        <v>83.484480000000005</v>
      </c>
      <c r="AE7" s="5">
        <v>0</v>
      </c>
      <c r="AF7" s="5">
        <v>83.484480000000005</v>
      </c>
      <c r="AG7" s="5">
        <v>41.82</v>
      </c>
      <c r="AH7" s="5">
        <v>0.21</v>
      </c>
      <c r="AI7" s="5">
        <v>45.4</v>
      </c>
      <c r="AJ7" s="5">
        <v>59.99</v>
      </c>
      <c r="AK7" s="5">
        <v>37.03</v>
      </c>
      <c r="AL7" s="5">
        <v>38.82</v>
      </c>
      <c r="AM7" s="5">
        <v>397.66</v>
      </c>
      <c r="AN7" s="5">
        <v>115.714</v>
      </c>
      <c r="AO7" s="5">
        <v>14.04</v>
      </c>
      <c r="AP7" s="5">
        <v>54.81</v>
      </c>
      <c r="AQ7" s="5">
        <v>23.47</v>
      </c>
      <c r="AR7" s="5">
        <v>383.06</v>
      </c>
      <c r="AS7" s="5">
        <v>22.98</v>
      </c>
      <c r="AT7" s="5">
        <v>37.659999999999997</v>
      </c>
      <c r="AU7" s="5">
        <v>94.26</v>
      </c>
      <c r="AV7" s="5">
        <v>110.82</v>
      </c>
      <c r="AW7" s="5">
        <v>0.34300000000000003</v>
      </c>
      <c r="AX7" s="5">
        <v>5.01</v>
      </c>
      <c r="AY7" s="5">
        <v>2.9582999999999999</v>
      </c>
      <c r="AZ7" s="5">
        <v>145.66</v>
      </c>
      <c r="BA7" s="5">
        <v>47.62</v>
      </c>
      <c r="BB7" s="5">
        <v>6.04</v>
      </c>
      <c r="BC7" s="5">
        <v>0.25</v>
      </c>
      <c r="BD7" s="5">
        <v>12.2</v>
      </c>
      <c r="BE7" s="5">
        <v>5.42</v>
      </c>
      <c r="BF7" s="5">
        <v>443.35</v>
      </c>
      <c r="BG7" s="5">
        <v>4.17</v>
      </c>
      <c r="BH7" s="5">
        <v>0.2</v>
      </c>
      <c r="BI7" s="5">
        <v>250.3</v>
      </c>
      <c r="BJ7" s="5">
        <v>35.700000000000003</v>
      </c>
      <c r="BK7" s="5">
        <v>86.3</v>
      </c>
      <c r="BL7" s="5">
        <v>16.68</v>
      </c>
      <c r="BM7" s="5">
        <v>1.29</v>
      </c>
      <c r="BN7" s="5">
        <v>29.2</v>
      </c>
      <c r="BO7" s="5">
        <v>34.54</v>
      </c>
      <c r="BP7" s="5">
        <v>393.87</v>
      </c>
      <c r="BQ7" s="5">
        <v>40.388440000000003</v>
      </c>
      <c r="BR7" s="5">
        <v>140.40280000000001</v>
      </c>
      <c r="BS7" s="5">
        <v>83.948040000000006</v>
      </c>
      <c r="BT7" s="5">
        <v>63.450870000000002</v>
      </c>
      <c r="BU7" s="5">
        <v>63.336039999999997</v>
      </c>
      <c r="BV7" s="5">
        <v>4.6019999999999998E-2</v>
      </c>
      <c r="BW7" s="5">
        <v>5.3272E-2</v>
      </c>
      <c r="BX7" s="5">
        <v>31.23245</v>
      </c>
      <c r="BY7" s="5">
        <v>18.995360000000002</v>
      </c>
      <c r="BZ7" s="5">
        <v>0</v>
      </c>
      <c r="CA7" s="5">
        <v>0.93923999999999996</v>
      </c>
      <c r="CB7" s="5">
        <v>430.3877</v>
      </c>
      <c r="CC7" s="5">
        <v>439.8888</v>
      </c>
      <c r="CD7" s="5">
        <v>38.2301</v>
      </c>
      <c r="CE7" s="5">
        <v>279.54000000000002</v>
      </c>
      <c r="CF7" s="5">
        <v>59.08</v>
      </c>
      <c r="CG7" s="5">
        <v>73.63</v>
      </c>
      <c r="CH7" s="5">
        <v>356.55</v>
      </c>
      <c r="CI7" s="5">
        <v>352.23</v>
      </c>
      <c r="CJ7" s="5">
        <v>362.84</v>
      </c>
      <c r="CK7" s="5">
        <v>392.52</v>
      </c>
      <c r="CL7" s="5">
        <v>370.75</v>
      </c>
      <c r="CM7" s="5">
        <v>358.14</v>
      </c>
      <c r="CN7" s="5">
        <v>344.53</v>
      </c>
      <c r="CO7" s="5">
        <v>24.24</v>
      </c>
      <c r="CP7" s="5">
        <v>240.5</v>
      </c>
      <c r="CQ7" s="5">
        <v>241.05</v>
      </c>
      <c r="CR7" s="5">
        <v>4.3</v>
      </c>
      <c r="CS7" s="5">
        <v>4.3</v>
      </c>
      <c r="CT7" s="5">
        <v>22.59</v>
      </c>
      <c r="CU7" s="5">
        <v>13.57</v>
      </c>
      <c r="CV7" s="5">
        <v>100.45</v>
      </c>
      <c r="CW7" s="5">
        <v>0.826451928</v>
      </c>
      <c r="CX7" s="5">
        <v>4.4793694500000001</v>
      </c>
    </row>
    <row r="8" spans="1:102" x14ac:dyDescent="0.25">
      <c r="A8" s="5">
        <v>8</v>
      </c>
      <c r="B8" s="23">
        <v>1.9344907407407404E-2</v>
      </c>
      <c r="C8" s="5">
        <v>1</v>
      </c>
      <c r="D8" s="5">
        <v>19</v>
      </c>
      <c r="E8" s="5">
        <v>149</v>
      </c>
      <c r="F8" s="5">
        <v>149</v>
      </c>
      <c r="G8" s="5">
        <v>149.1</v>
      </c>
      <c r="H8" s="5">
        <v>82.6</v>
      </c>
      <c r="I8" s="5">
        <v>82.6</v>
      </c>
      <c r="J8" s="5">
        <v>1701</v>
      </c>
      <c r="K8" s="5">
        <v>45</v>
      </c>
      <c r="L8" s="5">
        <v>45</v>
      </c>
      <c r="M8" s="5">
        <v>0.18</v>
      </c>
      <c r="N8" s="5">
        <v>0.180062</v>
      </c>
      <c r="O8" s="5">
        <v>1</v>
      </c>
      <c r="P8" s="5">
        <v>1.069142</v>
      </c>
      <c r="Q8" s="5">
        <v>0.95</v>
      </c>
      <c r="R8" s="5">
        <v>0.944824</v>
      </c>
      <c r="S8" s="5">
        <v>104.82</v>
      </c>
      <c r="T8" s="5">
        <v>104.8125</v>
      </c>
      <c r="U8" s="5">
        <v>3.5</v>
      </c>
      <c r="V8" s="5">
        <v>3.5</v>
      </c>
      <c r="W8" s="5">
        <v>300</v>
      </c>
      <c r="X8" s="5">
        <v>300</v>
      </c>
      <c r="Y8" s="5">
        <v>3.5</v>
      </c>
      <c r="Z8" s="5">
        <v>3.5</v>
      </c>
      <c r="AA8" s="5">
        <v>300</v>
      </c>
      <c r="AB8" s="5">
        <v>300</v>
      </c>
      <c r="AC8" s="5">
        <v>0</v>
      </c>
      <c r="AD8" s="5">
        <v>88.234949999999998</v>
      </c>
      <c r="AE8" s="5">
        <v>0</v>
      </c>
      <c r="AF8" s="5">
        <v>88.23115</v>
      </c>
      <c r="AG8" s="5">
        <v>58.55</v>
      </c>
      <c r="AH8" s="5">
        <v>0.23</v>
      </c>
      <c r="AI8" s="5">
        <v>48.92</v>
      </c>
      <c r="AJ8" s="5">
        <v>63.35</v>
      </c>
      <c r="AK8" s="5">
        <v>53.65</v>
      </c>
      <c r="AL8" s="5">
        <v>53.87</v>
      </c>
      <c r="AM8" s="5">
        <v>293.45</v>
      </c>
      <c r="AN8" s="5">
        <v>126.06480000000001</v>
      </c>
      <c r="AO8" s="5">
        <v>24.72</v>
      </c>
      <c r="AP8" s="5">
        <v>60.34</v>
      </c>
      <c r="AQ8" s="5">
        <v>32.83</v>
      </c>
      <c r="AR8" s="5">
        <v>344.09</v>
      </c>
      <c r="AS8" s="5">
        <v>28.93</v>
      </c>
      <c r="AT8" s="5">
        <v>47.33</v>
      </c>
      <c r="AU8" s="5">
        <v>97.34</v>
      </c>
      <c r="AV8" s="5">
        <v>112.46</v>
      </c>
      <c r="AW8" s="5">
        <v>0.374</v>
      </c>
      <c r="AX8" s="5">
        <v>5.51</v>
      </c>
      <c r="AY8" s="5">
        <v>3.8792</v>
      </c>
      <c r="AZ8" s="5">
        <v>135.97999999999999</v>
      </c>
      <c r="BA8" s="5">
        <v>75.66</v>
      </c>
      <c r="BB8" s="5">
        <v>4.8099999999999996</v>
      </c>
      <c r="BC8" s="5">
        <v>0.9</v>
      </c>
      <c r="BD8" s="5">
        <v>13.93</v>
      </c>
      <c r="BE8" s="5">
        <v>4.24</v>
      </c>
      <c r="BF8" s="5">
        <v>232.09</v>
      </c>
      <c r="BG8" s="5">
        <v>18.760000000000002</v>
      </c>
      <c r="BH8" s="5">
        <v>0.26</v>
      </c>
      <c r="BI8" s="5">
        <v>285.60000000000002</v>
      </c>
      <c r="BJ8" s="5">
        <v>45.4</v>
      </c>
      <c r="BK8" s="5">
        <v>84.5</v>
      </c>
      <c r="BL8" s="5">
        <v>79.5</v>
      </c>
      <c r="BM8" s="5">
        <v>1.4</v>
      </c>
      <c r="BN8" s="5">
        <v>29.8</v>
      </c>
      <c r="BO8" s="5">
        <v>33.369999999999997</v>
      </c>
      <c r="BP8" s="5">
        <v>351.75</v>
      </c>
      <c r="BQ8" s="5">
        <v>49.079320000000003</v>
      </c>
      <c r="BR8" s="5">
        <v>152.77670000000001</v>
      </c>
      <c r="BS8" s="5">
        <v>111.0819</v>
      </c>
      <c r="BT8" s="5">
        <v>102.1224</v>
      </c>
      <c r="BU8" s="5">
        <v>101.018</v>
      </c>
      <c r="BV8" s="5">
        <v>3.9086999999999997E-2</v>
      </c>
      <c r="BW8" s="5">
        <v>4.0597000000000001E-2</v>
      </c>
      <c r="BX8" s="5">
        <v>18.584060000000001</v>
      </c>
      <c r="BY8" s="5">
        <v>18.995360000000002</v>
      </c>
      <c r="BZ8" s="5">
        <v>0</v>
      </c>
      <c r="CA8" s="5">
        <v>0.93592699999999995</v>
      </c>
      <c r="CB8" s="5">
        <v>454.6377</v>
      </c>
      <c r="CC8" s="5">
        <v>460.98869999999999</v>
      </c>
      <c r="CD8" s="5">
        <v>25.58474</v>
      </c>
      <c r="CE8" s="5">
        <v>282.08</v>
      </c>
      <c r="CF8" s="5">
        <v>74.569999999999993</v>
      </c>
      <c r="CG8" s="5">
        <v>88</v>
      </c>
      <c r="CH8" s="5">
        <v>280.47000000000003</v>
      </c>
      <c r="CI8" s="5">
        <v>276.47000000000003</v>
      </c>
      <c r="CJ8" s="5">
        <v>280.75</v>
      </c>
      <c r="CK8" s="5">
        <v>298.89</v>
      </c>
      <c r="CL8" s="5">
        <v>283.52999999999997</v>
      </c>
      <c r="CM8" s="5">
        <v>285.67</v>
      </c>
      <c r="CN8" s="5">
        <v>240.96</v>
      </c>
      <c r="CO8" s="5">
        <v>22.74</v>
      </c>
      <c r="CP8" s="5">
        <v>148.69999999999999</v>
      </c>
      <c r="CQ8" s="5">
        <v>149.05000000000001</v>
      </c>
      <c r="CR8" s="5">
        <v>2.7</v>
      </c>
      <c r="CS8" s="5">
        <v>2.7</v>
      </c>
      <c r="CT8" s="5">
        <v>21.24</v>
      </c>
      <c r="CU8" s="5">
        <v>19</v>
      </c>
      <c r="CV8" s="5">
        <v>100.59</v>
      </c>
      <c r="CW8" s="5">
        <v>0.841767822</v>
      </c>
      <c r="CX8" s="5">
        <v>3.569095565</v>
      </c>
    </row>
    <row r="9" spans="1:102" x14ac:dyDescent="0.25">
      <c r="A9" s="5">
        <v>31</v>
      </c>
      <c r="B9" s="23">
        <v>2.1896990740740741E-2</v>
      </c>
      <c r="C9" s="5">
        <v>1</v>
      </c>
      <c r="D9" s="5">
        <v>40</v>
      </c>
      <c r="E9" s="5">
        <v>240</v>
      </c>
      <c r="F9" s="5">
        <v>240</v>
      </c>
      <c r="G9" s="5">
        <v>240</v>
      </c>
      <c r="H9" s="5">
        <v>82.6</v>
      </c>
      <c r="I9" s="5">
        <v>82.6</v>
      </c>
      <c r="J9" s="5">
        <v>1701</v>
      </c>
      <c r="K9" s="5">
        <v>14</v>
      </c>
      <c r="L9" s="5">
        <v>14</v>
      </c>
      <c r="M9" s="5">
        <v>0.1</v>
      </c>
      <c r="N9" s="5">
        <v>9.9985000000000004E-2</v>
      </c>
      <c r="O9" s="5">
        <v>1</v>
      </c>
      <c r="P9" s="5">
        <v>1.0691139999999999</v>
      </c>
      <c r="Q9" s="5">
        <v>-1.5</v>
      </c>
      <c r="R9" s="5">
        <v>-1.5051270000000001</v>
      </c>
      <c r="S9" s="5">
        <v>112.71</v>
      </c>
      <c r="T9" s="5">
        <v>112.70310000000001</v>
      </c>
      <c r="U9" s="5">
        <v>3.5</v>
      </c>
      <c r="V9" s="5">
        <v>3.5</v>
      </c>
      <c r="W9" s="5">
        <v>300</v>
      </c>
      <c r="X9" s="5">
        <v>300</v>
      </c>
      <c r="Y9" s="5">
        <v>3.5</v>
      </c>
      <c r="Z9" s="5">
        <v>3.5</v>
      </c>
      <c r="AA9" s="5">
        <v>300</v>
      </c>
      <c r="AB9" s="5">
        <v>300</v>
      </c>
      <c r="AC9" s="5">
        <v>0</v>
      </c>
      <c r="AD9" s="5">
        <v>84.388120000000001</v>
      </c>
      <c r="AE9" s="5">
        <v>0</v>
      </c>
      <c r="AF9" s="5">
        <v>84.388120000000001</v>
      </c>
      <c r="AG9" s="5">
        <v>42</v>
      </c>
      <c r="AH9" s="5">
        <v>0.21</v>
      </c>
      <c r="AI9" s="5">
        <v>46.28</v>
      </c>
      <c r="AJ9" s="5">
        <v>60.6</v>
      </c>
      <c r="AK9" s="5">
        <v>37.44</v>
      </c>
      <c r="AL9" s="5">
        <v>38.840000000000003</v>
      </c>
      <c r="AM9" s="5">
        <v>392.58</v>
      </c>
      <c r="AN9" s="5">
        <v>118.13939999999999</v>
      </c>
      <c r="AO9" s="5">
        <v>16.600000000000001</v>
      </c>
      <c r="AP9" s="5">
        <v>56.38</v>
      </c>
      <c r="AQ9" s="5">
        <v>25.7</v>
      </c>
      <c r="AR9" s="5">
        <v>370.54</v>
      </c>
      <c r="AS9" s="5">
        <v>20.84</v>
      </c>
      <c r="AT9" s="5">
        <v>40.86</v>
      </c>
      <c r="AU9" s="5">
        <v>94.97</v>
      </c>
      <c r="AV9" s="5">
        <v>116.89</v>
      </c>
      <c r="AW9" s="5">
        <v>0.38300000000000001</v>
      </c>
      <c r="AX9" s="5">
        <v>5.66</v>
      </c>
      <c r="AY9" s="5">
        <v>3.9376000000000002</v>
      </c>
      <c r="AZ9" s="5">
        <v>153.87</v>
      </c>
      <c r="BA9" s="5">
        <v>49.9</v>
      </c>
      <c r="BB9" s="5">
        <v>6.19</v>
      </c>
      <c r="BC9" s="5">
        <v>0.53</v>
      </c>
      <c r="BD9" s="5">
        <v>12.01</v>
      </c>
      <c r="BE9" s="5">
        <v>4.3899999999999997</v>
      </c>
      <c r="BF9" s="5">
        <v>371.35</v>
      </c>
      <c r="BG9" s="5">
        <v>8.6199999999999992</v>
      </c>
      <c r="BH9" s="5">
        <v>0.27</v>
      </c>
      <c r="BI9" s="5">
        <v>249.3</v>
      </c>
      <c r="BJ9" s="5">
        <v>34.799999999999997</v>
      </c>
      <c r="BK9" s="5">
        <v>85.8</v>
      </c>
      <c r="BL9" s="5">
        <v>34.950000000000003</v>
      </c>
      <c r="BM9" s="5">
        <v>1.32</v>
      </c>
      <c r="BN9" s="5">
        <v>29.46</v>
      </c>
      <c r="BO9" s="5">
        <v>34.68</v>
      </c>
      <c r="BP9" s="5">
        <v>381.08</v>
      </c>
      <c r="BQ9" s="5">
        <v>43.384999999999998</v>
      </c>
      <c r="BR9" s="5">
        <v>139.00839999999999</v>
      </c>
      <c r="BS9" s="5">
        <v>84.496639999999999</v>
      </c>
      <c r="BT9" s="5">
        <v>64.940380000000005</v>
      </c>
      <c r="BU9" s="5">
        <v>64.733620000000002</v>
      </c>
      <c r="BV9" s="5">
        <v>4.5093000000000001E-2</v>
      </c>
      <c r="BW9" s="5">
        <v>5.1813999999999999E-2</v>
      </c>
      <c r="BX9" s="5">
        <v>30.868539999999999</v>
      </c>
      <c r="BY9" s="5">
        <v>18.995360000000002</v>
      </c>
      <c r="BZ9" s="5">
        <v>0</v>
      </c>
      <c r="CA9" s="5">
        <v>0.93914399999999998</v>
      </c>
      <c r="CB9" s="5">
        <v>435.20769999999999</v>
      </c>
      <c r="CC9" s="5">
        <v>444.62079999999997</v>
      </c>
      <c r="CD9" s="5">
        <v>37.867190000000001</v>
      </c>
      <c r="CE9" s="5">
        <v>334.64</v>
      </c>
      <c r="CF9" s="5">
        <v>67.47</v>
      </c>
      <c r="CG9" s="5">
        <v>83.56</v>
      </c>
      <c r="CH9" s="5">
        <v>351.39</v>
      </c>
      <c r="CI9" s="5">
        <v>346.98</v>
      </c>
      <c r="CJ9" s="5">
        <v>356.84</v>
      </c>
      <c r="CK9" s="5">
        <v>387.47</v>
      </c>
      <c r="CL9" s="5">
        <v>366.2</v>
      </c>
      <c r="CM9" s="5">
        <v>362.93</v>
      </c>
      <c r="CN9" s="5">
        <v>338.65</v>
      </c>
      <c r="CO9" s="5">
        <v>24.02</v>
      </c>
      <c r="CP9" s="5">
        <v>239.5</v>
      </c>
      <c r="CQ9" s="5">
        <v>240.05</v>
      </c>
      <c r="CR9" s="5">
        <v>4.3</v>
      </c>
      <c r="CS9" s="5">
        <v>4.3</v>
      </c>
      <c r="CT9" s="5">
        <v>22.67</v>
      </c>
      <c r="CU9" s="5">
        <v>14.26</v>
      </c>
      <c r="CV9" s="5">
        <v>100.45</v>
      </c>
      <c r="CW9" s="5">
        <v>0.826922775</v>
      </c>
      <c r="CX9" s="5">
        <v>3.6301909819999998</v>
      </c>
    </row>
    <row r="10" spans="1:102" x14ac:dyDescent="0.25">
      <c r="A10" s="5">
        <v>4</v>
      </c>
      <c r="B10" s="23">
        <v>3.9320601851851857E-2</v>
      </c>
      <c r="C10" s="5">
        <v>1</v>
      </c>
      <c r="D10" s="5">
        <v>15</v>
      </c>
      <c r="E10" s="5">
        <v>134</v>
      </c>
      <c r="F10" s="5">
        <v>134</v>
      </c>
      <c r="G10" s="5">
        <v>134</v>
      </c>
      <c r="H10" s="5">
        <v>82.6</v>
      </c>
      <c r="I10" s="5">
        <v>82.6</v>
      </c>
      <c r="J10" s="5">
        <v>1701</v>
      </c>
      <c r="K10" s="5">
        <v>75</v>
      </c>
      <c r="L10" s="5">
        <v>75</v>
      </c>
      <c r="M10" s="5">
        <v>0.12</v>
      </c>
      <c r="N10" s="5">
        <v>0.12001000000000001</v>
      </c>
      <c r="O10" s="5">
        <v>1</v>
      </c>
      <c r="P10" s="5">
        <v>1.0691889999999999</v>
      </c>
      <c r="Q10" s="5">
        <v>1.33</v>
      </c>
      <c r="R10" s="5">
        <v>1.3293459999999999</v>
      </c>
      <c r="S10" s="5">
        <v>103.91</v>
      </c>
      <c r="T10" s="5">
        <v>103.9063</v>
      </c>
      <c r="U10" s="5">
        <v>3.5</v>
      </c>
      <c r="V10" s="5">
        <v>3.5</v>
      </c>
      <c r="W10" s="5">
        <v>300</v>
      </c>
      <c r="X10" s="5">
        <v>300</v>
      </c>
      <c r="Y10" s="5">
        <v>3.5</v>
      </c>
      <c r="Z10" s="5">
        <v>3.5</v>
      </c>
      <c r="AA10" s="5">
        <v>300</v>
      </c>
      <c r="AB10" s="5">
        <v>300</v>
      </c>
      <c r="AC10" s="5">
        <v>0</v>
      </c>
      <c r="AD10" s="5">
        <v>113.4725</v>
      </c>
      <c r="AE10" s="5">
        <v>0</v>
      </c>
      <c r="AF10" s="5">
        <v>113.4725</v>
      </c>
      <c r="AG10" s="5">
        <v>61.27</v>
      </c>
      <c r="AH10" s="5">
        <v>0.24</v>
      </c>
      <c r="AI10" s="5">
        <v>63.96</v>
      </c>
      <c r="AJ10" s="5">
        <v>87.24</v>
      </c>
      <c r="AK10" s="5">
        <v>191.84</v>
      </c>
      <c r="AL10" s="5">
        <v>191.96</v>
      </c>
      <c r="AM10" s="5">
        <v>326.42</v>
      </c>
      <c r="AN10" s="5">
        <v>169.0506</v>
      </c>
      <c r="AO10" s="5">
        <v>68.099999999999994</v>
      </c>
      <c r="AP10" s="5">
        <v>95.55</v>
      </c>
      <c r="AQ10" s="5">
        <v>77.599999999999994</v>
      </c>
      <c r="AR10" s="5">
        <v>412.79</v>
      </c>
      <c r="AS10" s="5">
        <v>123.74</v>
      </c>
      <c r="AT10" s="5">
        <v>59.05</v>
      </c>
      <c r="AU10" s="5">
        <v>103.99</v>
      </c>
      <c r="AV10" s="5">
        <v>112.47</v>
      </c>
      <c r="AW10" s="5">
        <v>0.40300000000000002</v>
      </c>
      <c r="AX10" s="5">
        <v>5.99</v>
      </c>
      <c r="AY10" s="5">
        <v>4.3963999999999999</v>
      </c>
      <c r="AZ10" s="5">
        <v>86.7</v>
      </c>
      <c r="BA10" s="5">
        <v>54.03</v>
      </c>
      <c r="BB10" s="5">
        <v>4.71</v>
      </c>
      <c r="BC10" s="5">
        <v>1.1000000000000001</v>
      </c>
      <c r="BD10" s="5">
        <v>14.08</v>
      </c>
      <c r="BE10" s="5">
        <v>5.27</v>
      </c>
      <c r="BF10" s="5">
        <v>215.51</v>
      </c>
      <c r="BG10" s="5">
        <v>23.34</v>
      </c>
      <c r="BH10" s="5">
        <v>0.3</v>
      </c>
      <c r="BI10" s="5">
        <v>371.3</v>
      </c>
      <c r="BJ10" s="5">
        <v>46.6</v>
      </c>
      <c r="BK10" s="5">
        <v>82.2</v>
      </c>
      <c r="BL10" s="5">
        <v>125.74</v>
      </c>
      <c r="BM10" s="5">
        <v>1.83</v>
      </c>
      <c r="BN10" s="5">
        <v>29.97</v>
      </c>
      <c r="BO10" s="5">
        <v>33.26</v>
      </c>
      <c r="BP10" s="5">
        <v>421.8</v>
      </c>
      <c r="BQ10" s="5">
        <v>59.363379999999999</v>
      </c>
      <c r="BR10" s="5">
        <v>290.9468</v>
      </c>
      <c r="BS10" s="5">
        <v>97.681349999999995</v>
      </c>
      <c r="BT10" s="5">
        <v>116.1236</v>
      </c>
      <c r="BU10" s="5">
        <v>113.5972</v>
      </c>
      <c r="BV10" s="5">
        <v>3.9023000000000002E-2</v>
      </c>
      <c r="BW10" s="5">
        <v>3.3364999999999999E-2</v>
      </c>
      <c r="BX10" s="5">
        <v>22.58661</v>
      </c>
      <c r="BY10" s="5">
        <v>18.995360000000002</v>
      </c>
      <c r="BZ10" s="5">
        <v>0</v>
      </c>
      <c r="CA10" s="5">
        <v>0.936975</v>
      </c>
      <c r="CB10" s="5">
        <v>591.4796</v>
      </c>
      <c r="CC10" s="5">
        <v>598.83150000000001</v>
      </c>
      <c r="CD10" s="5">
        <v>29.588280000000001</v>
      </c>
      <c r="CE10" s="5">
        <v>314.39</v>
      </c>
      <c r="CF10" s="5">
        <v>81.5</v>
      </c>
      <c r="CG10" s="5">
        <v>96.56</v>
      </c>
      <c r="CH10" s="5">
        <v>311.29000000000002</v>
      </c>
      <c r="CI10" s="5">
        <v>308</v>
      </c>
      <c r="CJ10" s="5">
        <v>315.63</v>
      </c>
      <c r="CK10" s="5">
        <v>325.25</v>
      </c>
      <c r="CL10" s="5">
        <v>319.08</v>
      </c>
      <c r="CM10" s="5">
        <v>319.7</v>
      </c>
      <c r="CN10" s="5">
        <v>230.68</v>
      </c>
      <c r="CO10" s="5">
        <v>23.46</v>
      </c>
      <c r="CP10" s="5">
        <v>133.69999999999999</v>
      </c>
      <c r="CQ10" s="5">
        <v>134.05000000000001</v>
      </c>
      <c r="CR10" s="5">
        <v>2.4</v>
      </c>
      <c r="CS10" s="5">
        <v>2.4</v>
      </c>
      <c r="CT10" s="5">
        <v>21.32</v>
      </c>
      <c r="CU10" s="5">
        <v>21.86</v>
      </c>
      <c r="CV10" s="5">
        <v>100.65</v>
      </c>
      <c r="CW10" s="5">
        <v>0.84910847099999998</v>
      </c>
      <c r="CX10" s="5">
        <v>4.4748016420000001</v>
      </c>
    </row>
    <row r="11" spans="1:102" x14ac:dyDescent="0.25">
      <c r="A11" s="5">
        <v>14</v>
      </c>
      <c r="B11" s="23">
        <v>1.1613425925925925E-2</v>
      </c>
      <c r="C11" s="5">
        <v>1</v>
      </c>
      <c r="D11" s="5">
        <v>24</v>
      </c>
      <c r="E11" s="5">
        <v>174</v>
      </c>
      <c r="F11" s="5">
        <v>174</v>
      </c>
      <c r="G11" s="5">
        <v>174</v>
      </c>
      <c r="H11" s="5">
        <v>82.6</v>
      </c>
      <c r="I11" s="5">
        <v>82.6</v>
      </c>
      <c r="J11" s="5">
        <v>1701</v>
      </c>
      <c r="K11" s="5">
        <v>27</v>
      </c>
      <c r="L11" s="5">
        <v>27</v>
      </c>
      <c r="M11" s="5">
        <v>0.19</v>
      </c>
      <c r="N11" s="5">
        <v>0.18998899999999999</v>
      </c>
      <c r="O11" s="5">
        <v>1</v>
      </c>
      <c r="P11" s="5">
        <v>1.069161</v>
      </c>
      <c r="Q11" s="5">
        <v>0.32</v>
      </c>
      <c r="R11" s="5">
        <v>0.318604</v>
      </c>
      <c r="S11" s="5">
        <v>106.39</v>
      </c>
      <c r="T11" s="5">
        <v>106.39060000000001</v>
      </c>
      <c r="U11" s="5">
        <v>3.5</v>
      </c>
      <c r="V11" s="5">
        <v>3.5</v>
      </c>
      <c r="W11" s="5">
        <v>300</v>
      </c>
      <c r="X11" s="5">
        <v>300</v>
      </c>
      <c r="Y11" s="5">
        <v>3.5</v>
      </c>
      <c r="Z11" s="5">
        <v>3.5</v>
      </c>
      <c r="AA11" s="5">
        <v>300</v>
      </c>
      <c r="AB11" s="5">
        <v>300</v>
      </c>
      <c r="AC11" s="5">
        <v>0</v>
      </c>
      <c r="AD11" s="5">
        <v>83.369010000000003</v>
      </c>
      <c r="AE11" s="5">
        <v>0</v>
      </c>
      <c r="AF11" s="5">
        <v>83.369010000000003</v>
      </c>
      <c r="AG11" s="5">
        <v>54</v>
      </c>
      <c r="AH11" s="5">
        <v>0.23</v>
      </c>
      <c r="AI11" s="5">
        <v>45.47</v>
      </c>
      <c r="AJ11" s="5">
        <v>57.58</v>
      </c>
      <c r="AK11" s="5">
        <v>37.94</v>
      </c>
      <c r="AL11" s="5">
        <v>38.24</v>
      </c>
      <c r="AM11" s="5">
        <v>318.63</v>
      </c>
      <c r="AN11" s="5">
        <v>117.9272</v>
      </c>
      <c r="AO11" s="5">
        <v>16.53</v>
      </c>
      <c r="AP11" s="5">
        <v>53.63</v>
      </c>
      <c r="AQ11" s="5">
        <v>24.54</v>
      </c>
      <c r="AR11" s="5">
        <v>334.97</v>
      </c>
      <c r="AS11" s="5">
        <v>21.41</v>
      </c>
      <c r="AT11" s="5">
        <v>44.84</v>
      </c>
      <c r="AU11" s="5">
        <v>96.51</v>
      </c>
      <c r="AV11" s="5">
        <v>112.26</v>
      </c>
      <c r="AW11" s="5">
        <v>0.434</v>
      </c>
      <c r="AX11" s="5">
        <v>6.51</v>
      </c>
      <c r="AY11" s="5">
        <v>4.3803999999999998</v>
      </c>
      <c r="AZ11" s="5">
        <v>154.94999999999999</v>
      </c>
      <c r="BA11" s="5">
        <v>83.72</v>
      </c>
      <c r="BB11" s="5">
        <v>5.35</v>
      </c>
      <c r="BC11" s="5">
        <v>0.91</v>
      </c>
      <c r="BD11" s="5">
        <v>13.18</v>
      </c>
      <c r="BE11" s="5">
        <v>3.76</v>
      </c>
      <c r="BF11" s="5">
        <v>250.15</v>
      </c>
      <c r="BG11" s="5">
        <v>16.96</v>
      </c>
      <c r="BH11" s="5">
        <v>0.3</v>
      </c>
      <c r="BI11" s="5">
        <v>266.7</v>
      </c>
      <c r="BJ11" s="5">
        <v>40.5</v>
      </c>
      <c r="BK11" s="5">
        <v>85.3</v>
      </c>
      <c r="BL11" s="5">
        <v>68.39</v>
      </c>
      <c r="BM11" s="5">
        <v>1.32</v>
      </c>
      <c r="BN11" s="5">
        <v>29.8</v>
      </c>
      <c r="BO11" s="5">
        <v>33.89</v>
      </c>
      <c r="BP11" s="5">
        <v>343.1</v>
      </c>
      <c r="BQ11" s="5">
        <v>46.931510000000003</v>
      </c>
      <c r="BR11" s="5">
        <v>137.23390000000001</v>
      </c>
      <c r="BS11" s="5">
        <v>103.0095</v>
      </c>
      <c r="BT11" s="5">
        <v>87.679500000000004</v>
      </c>
      <c r="BU11" s="5">
        <v>86.985240000000005</v>
      </c>
      <c r="BV11" s="5">
        <v>3.9049E-2</v>
      </c>
      <c r="BW11" s="5">
        <v>4.2674999999999998E-2</v>
      </c>
      <c r="BX11" s="5">
        <v>20.99568</v>
      </c>
      <c r="BY11" s="5">
        <v>18.995360000000002</v>
      </c>
      <c r="BZ11" s="5">
        <v>0</v>
      </c>
      <c r="CA11" s="5">
        <v>0.936558</v>
      </c>
      <c r="CB11" s="5">
        <v>428.42689999999999</v>
      </c>
      <c r="CC11" s="5">
        <v>435.36770000000001</v>
      </c>
      <c r="CD11" s="5">
        <v>27.99531</v>
      </c>
      <c r="CE11" s="5">
        <v>309.81</v>
      </c>
      <c r="CF11" s="5">
        <v>73.239999999999995</v>
      </c>
      <c r="CG11" s="5">
        <v>86.48</v>
      </c>
      <c r="CH11" s="5">
        <v>293.62</v>
      </c>
      <c r="CI11" s="5">
        <v>294.68</v>
      </c>
      <c r="CJ11" s="5">
        <v>303.69</v>
      </c>
      <c r="CK11" s="5">
        <v>320.22000000000003</v>
      </c>
      <c r="CL11" s="5">
        <v>308.13</v>
      </c>
      <c r="CM11" s="5">
        <v>312.70999999999998</v>
      </c>
      <c r="CN11" s="5">
        <v>268.76</v>
      </c>
      <c r="CO11" s="5">
        <v>23.37</v>
      </c>
      <c r="CP11" s="5">
        <v>173.6</v>
      </c>
      <c r="CQ11" s="5">
        <v>174.05</v>
      </c>
      <c r="CR11" s="5">
        <v>3.1</v>
      </c>
      <c r="CS11" s="5">
        <v>3.1</v>
      </c>
      <c r="CT11" s="5">
        <v>21.9</v>
      </c>
      <c r="CU11" s="5">
        <v>18.350000000000001</v>
      </c>
      <c r="CV11" s="5">
        <v>100.6</v>
      </c>
      <c r="CW11" s="5">
        <v>0.83804948499999998</v>
      </c>
      <c r="CX11" s="5">
        <v>3.1510660640000001</v>
      </c>
    </row>
    <row r="12" spans="1:102" x14ac:dyDescent="0.25">
      <c r="A12" s="5">
        <v>9</v>
      </c>
      <c r="B12" s="23">
        <v>2.4769675925925928E-2</v>
      </c>
      <c r="C12" s="5">
        <v>1</v>
      </c>
      <c r="D12" s="5">
        <v>20</v>
      </c>
      <c r="E12" s="5">
        <v>154</v>
      </c>
      <c r="F12" s="5">
        <v>154</v>
      </c>
      <c r="G12" s="5">
        <v>154</v>
      </c>
      <c r="H12" s="5">
        <v>82.6</v>
      </c>
      <c r="I12" s="5">
        <v>82.6</v>
      </c>
      <c r="J12" s="5">
        <v>1701</v>
      </c>
      <c r="K12" s="5">
        <v>71</v>
      </c>
      <c r="L12" s="5">
        <v>71</v>
      </c>
      <c r="M12" s="5">
        <v>0.14000000000000001</v>
      </c>
      <c r="N12" s="5">
        <v>0.139984</v>
      </c>
      <c r="O12" s="5">
        <v>1</v>
      </c>
      <c r="P12" s="5">
        <v>1.0691379999999999</v>
      </c>
      <c r="Q12" s="5">
        <v>0.82</v>
      </c>
      <c r="R12" s="5">
        <v>0.82397500000000001</v>
      </c>
      <c r="S12" s="5">
        <v>105.13</v>
      </c>
      <c r="T12" s="5">
        <v>105.125</v>
      </c>
      <c r="U12" s="5">
        <v>3.5</v>
      </c>
      <c r="V12" s="5">
        <v>3.5</v>
      </c>
      <c r="W12" s="5">
        <v>300</v>
      </c>
      <c r="X12" s="5">
        <v>300</v>
      </c>
      <c r="Y12" s="5">
        <v>3.5</v>
      </c>
      <c r="Z12" s="5">
        <v>3.5</v>
      </c>
      <c r="AA12" s="5">
        <v>300</v>
      </c>
      <c r="AB12" s="5">
        <v>300</v>
      </c>
      <c r="AC12" s="5">
        <v>0</v>
      </c>
      <c r="AD12" s="5">
        <v>110.0633</v>
      </c>
      <c r="AE12" s="5">
        <v>0</v>
      </c>
      <c r="AF12" s="5">
        <v>110.0629</v>
      </c>
      <c r="AG12" s="5">
        <v>57.64</v>
      </c>
      <c r="AH12" s="5">
        <v>0.23</v>
      </c>
      <c r="AI12" s="5">
        <v>62.05</v>
      </c>
      <c r="AJ12" s="5">
        <v>84.83</v>
      </c>
      <c r="AK12" s="5">
        <v>156.69</v>
      </c>
      <c r="AL12" s="5">
        <v>156.58000000000001</v>
      </c>
      <c r="AM12" s="5">
        <v>321.29000000000002</v>
      </c>
      <c r="AN12" s="5">
        <v>163.69749999999999</v>
      </c>
      <c r="AO12" s="5">
        <v>62.67</v>
      </c>
      <c r="AP12" s="5">
        <v>92.68</v>
      </c>
      <c r="AQ12" s="5">
        <v>72.069999999999993</v>
      </c>
      <c r="AR12" s="5">
        <v>404.28</v>
      </c>
      <c r="AS12" s="5">
        <v>94.02</v>
      </c>
      <c r="AT12" s="5">
        <v>58.88</v>
      </c>
      <c r="AU12" s="5">
        <v>104.59</v>
      </c>
      <c r="AV12" s="5">
        <v>119.38</v>
      </c>
      <c r="AW12" s="5">
        <v>0.438</v>
      </c>
      <c r="AX12" s="5">
        <v>6.58</v>
      </c>
      <c r="AY12" s="5">
        <v>4.9543999999999997</v>
      </c>
      <c r="AZ12" s="5">
        <v>92.79</v>
      </c>
      <c r="BA12" s="5">
        <v>57.67</v>
      </c>
      <c r="BB12" s="5">
        <v>4.8499999999999996</v>
      </c>
      <c r="BC12" s="5">
        <v>1.17</v>
      </c>
      <c r="BD12" s="5">
        <v>13.88</v>
      </c>
      <c r="BE12" s="5">
        <v>4.29</v>
      </c>
      <c r="BF12" s="5">
        <v>206.6</v>
      </c>
      <c r="BG12" s="5">
        <v>24.05</v>
      </c>
      <c r="BH12" s="5">
        <v>0.33</v>
      </c>
      <c r="BI12" s="5">
        <v>326.39999999999998</v>
      </c>
      <c r="BJ12" s="5">
        <v>45.2</v>
      </c>
      <c r="BK12" s="5">
        <v>83.7</v>
      </c>
      <c r="BL12" s="5">
        <v>128.06</v>
      </c>
      <c r="BM12" s="5">
        <v>1.78</v>
      </c>
      <c r="BN12" s="5">
        <v>30.03</v>
      </c>
      <c r="BO12" s="5">
        <v>33.39</v>
      </c>
      <c r="BP12" s="5">
        <v>413.3</v>
      </c>
      <c r="BQ12" s="5">
        <v>59.18094</v>
      </c>
      <c r="BR12" s="5">
        <v>254.99780000000001</v>
      </c>
      <c r="BS12" s="5">
        <v>96.823130000000006</v>
      </c>
      <c r="BT12" s="5">
        <v>111.40779999999999</v>
      </c>
      <c r="BU12" s="5">
        <v>109.11579999999999</v>
      </c>
      <c r="BV12" s="5">
        <v>3.9014E-2</v>
      </c>
      <c r="BW12" s="5">
        <v>3.4203999999999998E-2</v>
      </c>
      <c r="BX12" s="5">
        <v>22.849170000000001</v>
      </c>
      <c r="BY12" s="5">
        <v>18.995360000000002</v>
      </c>
      <c r="BZ12" s="5">
        <v>0</v>
      </c>
      <c r="CA12" s="5">
        <v>0.93704399999999999</v>
      </c>
      <c r="CB12" s="5">
        <v>573.11210000000005</v>
      </c>
      <c r="CC12" s="5">
        <v>580.50869999999998</v>
      </c>
      <c r="CD12" s="5">
        <v>29.851040000000001</v>
      </c>
      <c r="CE12" s="5">
        <v>308.7</v>
      </c>
      <c r="CF12" s="5">
        <v>82.3</v>
      </c>
      <c r="CG12" s="5">
        <v>97.22</v>
      </c>
      <c r="CH12" s="5">
        <v>302.77</v>
      </c>
      <c r="CI12" s="5">
        <v>297.12</v>
      </c>
      <c r="CJ12" s="5">
        <v>304.31</v>
      </c>
      <c r="CK12" s="5">
        <v>317.23</v>
      </c>
      <c r="CL12" s="5">
        <v>311.19</v>
      </c>
      <c r="CM12" s="5">
        <v>314.79000000000002</v>
      </c>
      <c r="CN12" s="5">
        <v>231.13</v>
      </c>
      <c r="CO12" s="5">
        <v>22.68</v>
      </c>
      <c r="CP12" s="5">
        <v>153.69999999999999</v>
      </c>
      <c r="CQ12" s="5">
        <v>154.05000000000001</v>
      </c>
      <c r="CR12" s="5">
        <v>2.8</v>
      </c>
      <c r="CS12" s="5">
        <v>2.8</v>
      </c>
      <c r="CT12" s="5">
        <v>20.69</v>
      </c>
      <c r="CU12" s="5">
        <v>20.16</v>
      </c>
      <c r="CV12" s="5">
        <v>100.62</v>
      </c>
      <c r="CW12" s="5">
        <v>0.84275507800000005</v>
      </c>
      <c r="CX12" s="5">
        <v>3.6154192850000002</v>
      </c>
    </row>
    <row r="13" spans="1:102" x14ac:dyDescent="0.25">
      <c r="A13" s="5">
        <v>3</v>
      </c>
      <c r="B13" s="23">
        <v>2.6770833333333334E-3</v>
      </c>
      <c r="C13" s="5">
        <v>1</v>
      </c>
      <c r="D13" s="5">
        <v>3</v>
      </c>
      <c r="E13" s="5">
        <v>65</v>
      </c>
      <c r="F13" s="5">
        <v>65</v>
      </c>
      <c r="G13" s="5">
        <v>65</v>
      </c>
      <c r="H13" s="5">
        <v>82.6</v>
      </c>
      <c r="I13" s="5">
        <v>82.6</v>
      </c>
      <c r="J13" s="5">
        <v>1701</v>
      </c>
      <c r="K13" s="5">
        <v>64</v>
      </c>
      <c r="L13" s="5">
        <v>64</v>
      </c>
      <c r="M13" s="5">
        <v>0.24</v>
      </c>
      <c r="N13" s="5">
        <v>0.24005899999999999</v>
      </c>
      <c r="O13" s="5">
        <v>1</v>
      </c>
      <c r="P13" s="5">
        <v>1.0692600000000001</v>
      </c>
      <c r="Q13" s="5">
        <v>2.1800000000000002</v>
      </c>
      <c r="R13" s="5">
        <v>2.1752929999999999</v>
      </c>
      <c r="S13" s="5">
        <v>100.69</v>
      </c>
      <c r="T13" s="5">
        <v>100.6875</v>
      </c>
      <c r="U13" s="5">
        <v>3.5</v>
      </c>
      <c r="V13" s="5">
        <v>3.5</v>
      </c>
      <c r="W13" s="5">
        <v>333.61</v>
      </c>
      <c r="X13" s="5">
        <v>334</v>
      </c>
      <c r="Y13" s="5">
        <v>0</v>
      </c>
      <c r="Z13" s="5">
        <v>0</v>
      </c>
      <c r="AA13" s="5">
        <v>300</v>
      </c>
      <c r="AB13" s="5">
        <v>300</v>
      </c>
      <c r="AC13" s="5">
        <v>0</v>
      </c>
      <c r="AD13" s="5">
        <v>86.223489999999998</v>
      </c>
      <c r="AE13" s="5">
        <v>0</v>
      </c>
      <c r="AF13" s="5">
        <v>86.223489999999998</v>
      </c>
      <c r="AG13" s="5">
        <v>73.819999999999993</v>
      </c>
      <c r="AH13" s="5">
        <v>0.25</v>
      </c>
      <c r="AI13" s="5">
        <v>48.78</v>
      </c>
      <c r="AJ13" s="5">
        <v>58.86</v>
      </c>
      <c r="AK13" s="5">
        <v>64.92</v>
      </c>
      <c r="AL13" s="5">
        <v>63.92</v>
      </c>
      <c r="AM13" s="5">
        <v>239.24</v>
      </c>
      <c r="AN13" s="5">
        <v>124.8381</v>
      </c>
      <c r="AO13" s="5">
        <v>23.75</v>
      </c>
      <c r="AP13" s="5">
        <v>55</v>
      </c>
      <c r="AQ13" s="5">
        <v>30.32</v>
      </c>
      <c r="AR13" s="5">
        <v>287.47000000000003</v>
      </c>
      <c r="AS13" s="5">
        <v>41.17</v>
      </c>
      <c r="AT13" s="5">
        <v>53.59</v>
      </c>
      <c r="AU13" s="5">
        <v>98.46</v>
      </c>
      <c r="AV13" s="5">
        <v>114.15</v>
      </c>
      <c r="AW13" s="5">
        <v>0.47899999999999998</v>
      </c>
      <c r="AX13" s="5">
        <v>7.28</v>
      </c>
      <c r="AY13" s="5">
        <v>5.1327999999999996</v>
      </c>
      <c r="AZ13" s="5">
        <v>196.86</v>
      </c>
      <c r="BA13" s="5">
        <v>62.02</v>
      </c>
      <c r="BB13" s="5">
        <v>3.94</v>
      </c>
      <c r="BC13" s="5">
        <v>1.1599999999999999</v>
      </c>
      <c r="BD13" s="5">
        <v>15.15</v>
      </c>
      <c r="BE13" s="5">
        <v>6.23</v>
      </c>
      <c r="BF13" s="5">
        <v>174.52</v>
      </c>
      <c r="BG13" s="5">
        <v>29.34</v>
      </c>
      <c r="BH13" s="5">
        <v>0.34</v>
      </c>
      <c r="BI13" s="5">
        <v>444.6</v>
      </c>
      <c r="BJ13" s="5">
        <v>55.8</v>
      </c>
      <c r="BK13" s="5">
        <v>82.6</v>
      </c>
      <c r="BL13" s="5">
        <v>119.38</v>
      </c>
      <c r="BM13" s="5">
        <v>1.38</v>
      </c>
      <c r="BN13" s="5">
        <v>30.02</v>
      </c>
      <c r="BO13" s="5">
        <v>32.56</v>
      </c>
      <c r="BP13" s="5">
        <v>292.67</v>
      </c>
      <c r="BQ13" s="5">
        <v>53.842759999999998</v>
      </c>
      <c r="BR13" s="5">
        <v>161.8467</v>
      </c>
      <c r="BS13" s="5">
        <v>149.37309999999999</v>
      </c>
      <c r="BT13" s="5">
        <v>143.4761</v>
      </c>
      <c r="BU13" s="5">
        <v>141.6644</v>
      </c>
      <c r="BV13" s="5">
        <v>3.9211999999999997E-2</v>
      </c>
      <c r="BW13" s="5">
        <v>3.9627000000000002E-2</v>
      </c>
      <c r="BX13" s="5">
        <v>14.24755</v>
      </c>
      <c r="BY13" s="5">
        <v>18.995360000000002</v>
      </c>
      <c r="BZ13" s="5">
        <v>0</v>
      </c>
      <c r="CA13" s="5">
        <v>0.93195300000000003</v>
      </c>
      <c r="CB13" s="5">
        <v>441.7706</v>
      </c>
      <c r="CC13" s="5">
        <v>446.14060000000001</v>
      </c>
      <c r="CD13" s="5">
        <v>17.748069999999998</v>
      </c>
      <c r="CE13" s="5">
        <v>226.14</v>
      </c>
      <c r="CF13" s="5">
        <v>78.72</v>
      </c>
      <c r="CG13" s="5">
        <v>91.48</v>
      </c>
      <c r="CH13" s="5">
        <v>218.53</v>
      </c>
      <c r="CI13" s="5">
        <v>215.74</v>
      </c>
      <c r="CJ13" s="5">
        <v>220.48</v>
      </c>
      <c r="CK13" s="5">
        <v>235.76</v>
      </c>
      <c r="CL13" s="5">
        <v>231.13</v>
      </c>
      <c r="CM13" s="5">
        <v>225.55</v>
      </c>
      <c r="CN13" s="5">
        <v>188.26</v>
      </c>
      <c r="CO13" s="5">
        <v>20.51</v>
      </c>
      <c r="CP13" s="5">
        <v>64.8</v>
      </c>
      <c r="CQ13" s="5">
        <v>65.05</v>
      </c>
      <c r="CR13" s="5">
        <v>1.2</v>
      </c>
      <c r="CS13" s="5">
        <v>1.2</v>
      </c>
      <c r="CT13" s="5">
        <v>19.64</v>
      </c>
      <c r="CU13" s="5">
        <v>26.11</v>
      </c>
      <c r="CV13" s="5">
        <v>100.8</v>
      </c>
      <c r="CW13" s="5">
        <v>0.85931814299999998</v>
      </c>
      <c r="CX13" s="5">
        <v>5.3535520310000004</v>
      </c>
    </row>
    <row r="14" spans="1:102" x14ac:dyDescent="0.25">
      <c r="A14" s="5">
        <v>5</v>
      </c>
      <c r="B14" s="23">
        <v>3.0763888888888889E-3</v>
      </c>
      <c r="C14" s="5">
        <v>1</v>
      </c>
      <c r="D14" s="5">
        <v>16</v>
      </c>
      <c r="E14" s="5">
        <v>137</v>
      </c>
      <c r="F14" s="5">
        <v>137</v>
      </c>
      <c r="G14" s="5">
        <v>137.1</v>
      </c>
      <c r="H14" s="5">
        <v>82.6</v>
      </c>
      <c r="I14" s="5">
        <v>82.6</v>
      </c>
      <c r="J14" s="5">
        <v>1701</v>
      </c>
      <c r="K14" s="5">
        <v>35</v>
      </c>
      <c r="L14" s="5">
        <v>35</v>
      </c>
      <c r="M14" s="5">
        <v>0.3</v>
      </c>
      <c r="N14" s="5">
        <v>0.300016</v>
      </c>
      <c r="O14" s="5">
        <v>1</v>
      </c>
      <c r="P14" s="5">
        <v>1.06917</v>
      </c>
      <c r="Q14" s="5">
        <v>1.25</v>
      </c>
      <c r="R14" s="5">
        <v>1.2524409999999999</v>
      </c>
      <c r="S14" s="5">
        <v>104.09</v>
      </c>
      <c r="T14" s="5">
        <v>104.0938</v>
      </c>
      <c r="U14" s="5">
        <v>3.5</v>
      </c>
      <c r="V14" s="5">
        <v>3.5</v>
      </c>
      <c r="W14" s="5">
        <v>300</v>
      </c>
      <c r="X14" s="5">
        <v>300</v>
      </c>
      <c r="Y14" s="5">
        <v>3.5</v>
      </c>
      <c r="Z14" s="5">
        <v>3.5</v>
      </c>
      <c r="AA14" s="5">
        <v>300</v>
      </c>
      <c r="AB14" s="5">
        <v>300</v>
      </c>
      <c r="AC14" s="5">
        <v>0</v>
      </c>
      <c r="AD14" s="5">
        <v>80.058750000000003</v>
      </c>
      <c r="AE14" s="5">
        <v>0</v>
      </c>
      <c r="AF14" s="5">
        <v>80.058750000000003</v>
      </c>
      <c r="AG14" s="5">
        <v>60.73</v>
      </c>
      <c r="AH14" s="5">
        <v>0.24</v>
      </c>
      <c r="AI14" s="5">
        <v>44.95</v>
      </c>
      <c r="AJ14" s="5">
        <v>53.59</v>
      </c>
      <c r="AK14" s="5">
        <v>34.700000000000003</v>
      </c>
      <c r="AL14" s="5">
        <v>34.340000000000003</v>
      </c>
      <c r="AM14" s="5">
        <v>289.60000000000002</v>
      </c>
      <c r="AN14" s="5">
        <v>115.59610000000001</v>
      </c>
      <c r="AO14" s="5">
        <v>14.52</v>
      </c>
      <c r="AP14" s="5">
        <v>51.33</v>
      </c>
      <c r="AQ14" s="5">
        <v>21.47</v>
      </c>
      <c r="AR14" s="5">
        <v>293.88</v>
      </c>
      <c r="AS14" s="5">
        <v>20.170000000000002</v>
      </c>
      <c r="AT14" s="5">
        <v>52.35</v>
      </c>
      <c r="AU14" s="5">
        <v>98.42</v>
      </c>
      <c r="AV14" s="5">
        <v>118.59</v>
      </c>
      <c r="AW14" s="5">
        <v>0.49299999999999999</v>
      </c>
      <c r="AX14" s="5">
        <v>7.54</v>
      </c>
      <c r="AY14" s="5">
        <v>4.5644</v>
      </c>
      <c r="AZ14" s="5">
        <v>180.89</v>
      </c>
      <c r="BA14" s="5">
        <v>83.82</v>
      </c>
      <c r="BB14" s="5">
        <v>5.21</v>
      </c>
      <c r="BC14" s="5">
        <v>1.24</v>
      </c>
      <c r="BD14" s="5">
        <v>13.36</v>
      </c>
      <c r="BE14" s="5">
        <v>3.27</v>
      </c>
      <c r="BF14" s="5">
        <v>194.38</v>
      </c>
      <c r="BG14" s="5">
        <v>23.83</v>
      </c>
      <c r="BH14" s="5">
        <v>0.31</v>
      </c>
      <c r="BI14" s="5">
        <v>289.39999999999998</v>
      </c>
      <c r="BJ14" s="5">
        <v>41.6</v>
      </c>
      <c r="BK14" s="5">
        <v>84.2</v>
      </c>
      <c r="BL14" s="5">
        <v>91.94</v>
      </c>
      <c r="BM14" s="5">
        <v>1.28</v>
      </c>
      <c r="BN14" s="5">
        <v>30.11</v>
      </c>
      <c r="BO14" s="5">
        <v>33.76</v>
      </c>
      <c r="BP14" s="5">
        <v>301.01</v>
      </c>
      <c r="BQ14" s="5">
        <v>53.684010000000001</v>
      </c>
      <c r="BR14" s="5">
        <v>132.21270000000001</v>
      </c>
      <c r="BS14" s="5">
        <v>119.3716</v>
      </c>
      <c r="BT14" s="5">
        <v>99.532520000000005</v>
      </c>
      <c r="BU14" s="5">
        <v>98.308300000000003</v>
      </c>
      <c r="BV14" s="5">
        <v>3.9129999999999998E-2</v>
      </c>
      <c r="BW14" s="5">
        <v>3.9813000000000001E-2</v>
      </c>
      <c r="BX14" s="5">
        <v>16.75948</v>
      </c>
      <c r="BY14" s="5">
        <v>18.995360000000002</v>
      </c>
      <c r="BZ14" s="5">
        <v>0</v>
      </c>
      <c r="CA14" s="5">
        <v>0.93544899999999997</v>
      </c>
      <c r="CB14" s="5">
        <v>410.79770000000002</v>
      </c>
      <c r="CC14" s="5">
        <v>416.67399999999998</v>
      </c>
      <c r="CD14" s="5">
        <v>23.761199999999999</v>
      </c>
      <c r="CE14" s="5">
        <v>287.55</v>
      </c>
      <c r="CF14" s="5">
        <v>77.989999999999995</v>
      </c>
      <c r="CG14" s="5">
        <v>90.93</v>
      </c>
      <c r="CH14" s="5">
        <v>271.2</v>
      </c>
      <c r="CI14" s="5">
        <v>271.7</v>
      </c>
      <c r="CJ14" s="5">
        <v>276.99</v>
      </c>
      <c r="CK14" s="5">
        <v>295.07</v>
      </c>
      <c r="CL14" s="5">
        <v>285.92</v>
      </c>
      <c r="CM14" s="5">
        <v>287.63</v>
      </c>
      <c r="CN14" s="5">
        <v>247.1</v>
      </c>
      <c r="CO14" s="5">
        <v>23.18</v>
      </c>
      <c r="CP14" s="5">
        <v>136.69999999999999</v>
      </c>
      <c r="CQ14" s="5">
        <v>137.05000000000001</v>
      </c>
      <c r="CR14" s="5">
        <v>2.4</v>
      </c>
      <c r="CS14" s="5">
        <v>2.5</v>
      </c>
      <c r="CT14" s="5">
        <v>21.4</v>
      </c>
      <c r="CU14" s="5">
        <v>19.170000000000002</v>
      </c>
      <c r="CV14" s="5">
        <v>100.63</v>
      </c>
      <c r="CW14" s="5">
        <v>0.83875902899999999</v>
      </c>
      <c r="CX14" s="5">
        <v>2.7427420250000001</v>
      </c>
    </row>
    <row r="15" spans="1:102" x14ac:dyDescent="0.25">
      <c r="A15" s="5">
        <v>11</v>
      </c>
      <c r="B15" s="23">
        <v>4.3877314814814812E-3</v>
      </c>
      <c r="C15" s="5">
        <v>1</v>
      </c>
      <c r="D15" s="5">
        <v>11</v>
      </c>
      <c r="E15" s="5">
        <v>112</v>
      </c>
      <c r="F15" s="5">
        <v>112</v>
      </c>
      <c r="G15" s="5">
        <v>112.1</v>
      </c>
      <c r="H15" s="5">
        <v>82.6</v>
      </c>
      <c r="I15" s="5">
        <v>82.6</v>
      </c>
      <c r="J15" s="5">
        <v>1701</v>
      </c>
      <c r="K15" s="5">
        <v>80</v>
      </c>
      <c r="L15" s="5">
        <v>80</v>
      </c>
      <c r="M15" s="5">
        <v>0.12</v>
      </c>
      <c r="N15" s="5">
        <v>0.11988799999999999</v>
      </c>
      <c r="O15" s="5">
        <v>1</v>
      </c>
      <c r="P15" s="5">
        <v>1.0692010000000001</v>
      </c>
      <c r="Q15" s="5">
        <v>1.89</v>
      </c>
      <c r="R15" s="5">
        <v>1.889648</v>
      </c>
      <c r="S15" s="5">
        <v>102.58</v>
      </c>
      <c r="T15" s="5">
        <v>102.57810000000001</v>
      </c>
      <c r="U15" s="5">
        <v>3.5</v>
      </c>
      <c r="V15" s="5">
        <v>3.5</v>
      </c>
      <c r="W15" s="5">
        <v>300</v>
      </c>
      <c r="X15" s="5">
        <v>300</v>
      </c>
      <c r="Y15" s="5">
        <v>3.5</v>
      </c>
      <c r="Z15" s="5">
        <v>3.5</v>
      </c>
      <c r="AA15" s="5">
        <v>300</v>
      </c>
      <c r="AB15" s="5">
        <v>300</v>
      </c>
      <c r="AC15" s="5">
        <v>0</v>
      </c>
      <c r="AD15" s="5">
        <v>111.6585</v>
      </c>
      <c r="AE15" s="5">
        <v>0</v>
      </c>
      <c r="AF15" s="5">
        <v>111.6585</v>
      </c>
      <c r="AG15" s="5">
        <v>65.27</v>
      </c>
      <c r="AH15" s="5">
        <v>0.24</v>
      </c>
      <c r="AI15" s="5">
        <v>62.57</v>
      </c>
      <c r="AJ15" s="5">
        <v>84.49</v>
      </c>
      <c r="AK15" s="5">
        <v>219.28</v>
      </c>
      <c r="AL15" s="5">
        <v>219.06</v>
      </c>
      <c r="AM15" s="5">
        <v>337.43</v>
      </c>
      <c r="AN15" s="5">
        <v>166.24350000000001</v>
      </c>
      <c r="AO15" s="5">
        <v>65.3</v>
      </c>
      <c r="AP15" s="5">
        <v>92.98</v>
      </c>
      <c r="AQ15" s="5">
        <v>73.8</v>
      </c>
      <c r="AR15" s="5">
        <v>379.18</v>
      </c>
      <c r="AS15" s="5">
        <v>153.97999999999999</v>
      </c>
      <c r="AT15" s="5">
        <v>59.37</v>
      </c>
      <c r="AU15" s="5">
        <v>106.04</v>
      </c>
      <c r="AV15" s="5">
        <v>117.19</v>
      </c>
      <c r="AW15" s="5">
        <v>0.51100000000000001</v>
      </c>
      <c r="AX15" s="5">
        <v>7.86</v>
      </c>
      <c r="AY15" s="5">
        <v>6.4176000000000002</v>
      </c>
      <c r="AZ15" s="5">
        <v>96.26</v>
      </c>
      <c r="BA15" s="5">
        <v>57.37</v>
      </c>
      <c r="BB15" s="5">
        <v>5.0199999999999996</v>
      </c>
      <c r="BC15" s="5">
        <v>1.37</v>
      </c>
      <c r="BD15" s="5">
        <v>13.72</v>
      </c>
      <c r="BE15" s="5">
        <v>5.17</v>
      </c>
      <c r="BF15" s="5">
        <v>193.72</v>
      </c>
      <c r="BG15" s="5">
        <v>27.2</v>
      </c>
      <c r="BH15" s="5">
        <v>0.42</v>
      </c>
      <c r="BI15" s="5">
        <v>434.8</v>
      </c>
      <c r="BJ15" s="5">
        <v>43.7</v>
      </c>
      <c r="BK15" s="5">
        <v>80.3</v>
      </c>
      <c r="BL15" s="5">
        <v>141.72999999999999</v>
      </c>
      <c r="BM15" s="5">
        <v>1.81</v>
      </c>
      <c r="BN15" s="5">
        <v>30.21</v>
      </c>
      <c r="BO15" s="5">
        <v>33.53</v>
      </c>
      <c r="BP15" s="5">
        <v>388.06</v>
      </c>
      <c r="BQ15" s="5">
        <v>59.34854</v>
      </c>
      <c r="BR15" s="5">
        <v>317.6703</v>
      </c>
      <c r="BS15" s="5">
        <v>99.975880000000004</v>
      </c>
      <c r="BT15" s="5">
        <v>116.8553</v>
      </c>
      <c r="BU15" s="5">
        <v>114.3663</v>
      </c>
      <c r="BV15" s="5">
        <v>3.9031999999999997E-2</v>
      </c>
      <c r="BW15" s="5">
        <v>3.3800999999999998E-2</v>
      </c>
      <c r="BX15" s="5">
        <v>21.901820000000001</v>
      </c>
      <c r="BY15" s="5">
        <v>18.995360000000002</v>
      </c>
      <c r="BZ15" s="5">
        <v>0</v>
      </c>
      <c r="CA15" s="5">
        <v>0.93679500000000004</v>
      </c>
      <c r="CB15" s="5">
        <v>581.57169999999996</v>
      </c>
      <c r="CC15" s="5">
        <v>588.73140000000001</v>
      </c>
      <c r="CD15" s="5">
        <v>28.902550000000002</v>
      </c>
      <c r="CE15" s="5">
        <v>323.52999999999997</v>
      </c>
      <c r="CF15" s="5">
        <v>83.15</v>
      </c>
      <c r="CG15" s="5">
        <v>98.91</v>
      </c>
      <c r="CH15" s="5">
        <v>328.33</v>
      </c>
      <c r="CI15" s="5">
        <v>322.81</v>
      </c>
      <c r="CJ15" s="5">
        <v>324.70999999999998</v>
      </c>
      <c r="CK15" s="5">
        <v>331.76</v>
      </c>
      <c r="CL15" s="5">
        <v>328.68</v>
      </c>
      <c r="CM15" s="5">
        <v>330.4</v>
      </c>
      <c r="CN15" s="5">
        <v>242.8</v>
      </c>
      <c r="CO15" s="5">
        <v>23.04</v>
      </c>
      <c r="CP15" s="5">
        <v>111.7</v>
      </c>
      <c r="CQ15" s="5">
        <v>112.05</v>
      </c>
      <c r="CR15" s="5">
        <v>2</v>
      </c>
      <c r="CS15" s="5">
        <v>2</v>
      </c>
      <c r="CT15" s="5">
        <v>21.17</v>
      </c>
      <c r="CU15" s="5">
        <v>21.94</v>
      </c>
      <c r="CV15" s="5">
        <v>100.71</v>
      </c>
      <c r="CW15" s="5">
        <v>0.84660236300000002</v>
      </c>
      <c r="CX15" s="5">
        <v>4.3769342169999996</v>
      </c>
    </row>
    <row r="16" spans="1:102" x14ac:dyDescent="0.25">
      <c r="A16" s="5">
        <v>20</v>
      </c>
      <c r="B16" s="23">
        <v>2.5162037037037037E-3</v>
      </c>
      <c r="C16" s="5">
        <v>1</v>
      </c>
      <c r="D16" s="5">
        <v>30</v>
      </c>
      <c r="E16" s="5">
        <v>204</v>
      </c>
      <c r="F16" s="5">
        <v>204</v>
      </c>
      <c r="G16" s="5">
        <v>204.1</v>
      </c>
      <c r="H16" s="5">
        <v>82.6</v>
      </c>
      <c r="I16" s="5">
        <v>82.6</v>
      </c>
      <c r="J16" s="5">
        <v>1701</v>
      </c>
      <c r="K16" s="5">
        <v>36</v>
      </c>
      <c r="L16" s="5">
        <v>36</v>
      </c>
      <c r="M16" s="5">
        <v>0.19</v>
      </c>
      <c r="N16" s="5">
        <v>0.19001799999999999</v>
      </c>
      <c r="O16" s="5">
        <v>1</v>
      </c>
      <c r="P16" s="5">
        <v>1.06908</v>
      </c>
      <c r="Q16" s="5">
        <v>-0.46</v>
      </c>
      <c r="R16" s="5">
        <v>-0.461426</v>
      </c>
      <c r="S16" s="5">
        <v>108.49</v>
      </c>
      <c r="T16" s="5">
        <v>108.48439999999999</v>
      </c>
      <c r="U16" s="5">
        <v>3.5</v>
      </c>
      <c r="V16" s="5">
        <v>3.5</v>
      </c>
      <c r="W16" s="5">
        <v>300</v>
      </c>
      <c r="X16" s="5">
        <v>300</v>
      </c>
      <c r="Y16" s="5">
        <v>3.5</v>
      </c>
      <c r="Z16" s="5">
        <v>3.5</v>
      </c>
      <c r="AA16" s="5">
        <v>300</v>
      </c>
      <c r="AB16" s="5">
        <v>300</v>
      </c>
      <c r="AC16" s="5">
        <v>0</v>
      </c>
      <c r="AD16" s="5">
        <v>89.339160000000007</v>
      </c>
      <c r="AE16" s="5">
        <v>0</v>
      </c>
      <c r="AF16" s="5">
        <v>89.339160000000007</v>
      </c>
      <c r="AG16" s="5">
        <v>48.55</v>
      </c>
      <c r="AH16" s="5">
        <v>0.22</v>
      </c>
      <c r="AI16" s="5">
        <v>49.28</v>
      </c>
      <c r="AJ16" s="5">
        <v>65.72</v>
      </c>
      <c r="AK16" s="5">
        <v>51.88</v>
      </c>
      <c r="AL16" s="5">
        <v>52.3</v>
      </c>
      <c r="AM16" s="5">
        <v>340.7</v>
      </c>
      <c r="AN16" s="5">
        <v>128.00110000000001</v>
      </c>
      <c r="AO16" s="5">
        <v>26.61</v>
      </c>
      <c r="AP16" s="5">
        <v>63.9</v>
      </c>
      <c r="AQ16" s="5">
        <v>35.299999999999997</v>
      </c>
      <c r="AR16" s="5">
        <v>359.83</v>
      </c>
      <c r="AS16" s="5">
        <v>25.27</v>
      </c>
      <c r="AT16" s="5">
        <v>48.06</v>
      </c>
      <c r="AU16" s="5">
        <v>98.21</v>
      </c>
      <c r="AV16" s="5">
        <v>113.74</v>
      </c>
      <c r="AW16" s="5">
        <v>0.51400000000000001</v>
      </c>
      <c r="AX16" s="5">
        <v>7.9</v>
      </c>
      <c r="AY16" s="5">
        <v>5.1026999999999996</v>
      </c>
      <c r="AZ16" s="5">
        <v>150.81</v>
      </c>
      <c r="BA16" s="5">
        <v>73.099999999999994</v>
      </c>
      <c r="BB16" s="5">
        <v>5.66</v>
      </c>
      <c r="BC16" s="5">
        <v>1</v>
      </c>
      <c r="BD16" s="5">
        <v>12.74</v>
      </c>
      <c r="BE16" s="5">
        <v>3.41</v>
      </c>
      <c r="BF16" s="5">
        <v>249.61</v>
      </c>
      <c r="BG16" s="5">
        <v>17.61</v>
      </c>
      <c r="BH16" s="5">
        <v>0.34</v>
      </c>
      <c r="BI16" s="5">
        <v>258.5</v>
      </c>
      <c r="BJ16" s="5">
        <v>38.299999999999997</v>
      </c>
      <c r="BK16" s="5">
        <v>85.7</v>
      </c>
      <c r="BL16" s="5">
        <v>76.87</v>
      </c>
      <c r="BM16" s="5">
        <v>1.42</v>
      </c>
      <c r="BN16" s="5">
        <v>29.88</v>
      </c>
      <c r="BO16" s="5">
        <v>34.159999999999997</v>
      </c>
      <c r="BP16" s="5">
        <v>369.05</v>
      </c>
      <c r="BQ16" s="5">
        <v>49.769269999999999</v>
      </c>
      <c r="BR16" s="5">
        <v>150.685</v>
      </c>
      <c r="BS16" s="5">
        <v>93.143590000000003</v>
      </c>
      <c r="BT16" s="5">
        <v>82.538060000000002</v>
      </c>
      <c r="BU16" s="5">
        <v>81.714449999999999</v>
      </c>
      <c r="BV16" s="5">
        <v>3.8524000000000003E-2</v>
      </c>
      <c r="BW16" s="5">
        <v>4.0792000000000002E-2</v>
      </c>
      <c r="BX16" s="5">
        <v>25.111090000000001</v>
      </c>
      <c r="BY16" s="5">
        <v>18.995360000000002</v>
      </c>
      <c r="BZ16" s="5">
        <v>0</v>
      </c>
      <c r="CA16" s="5">
        <v>0.937635</v>
      </c>
      <c r="CB16" s="5">
        <v>461.47379999999998</v>
      </c>
      <c r="CC16" s="5">
        <v>469.43729999999999</v>
      </c>
      <c r="CD16" s="5">
        <v>32.109380000000002</v>
      </c>
      <c r="CE16" s="5">
        <v>331.65</v>
      </c>
      <c r="CF16" s="5">
        <v>74.87</v>
      </c>
      <c r="CG16" s="5">
        <v>88.31</v>
      </c>
      <c r="CH16" s="5">
        <v>321.27</v>
      </c>
      <c r="CI16" s="5">
        <v>312.27999999999997</v>
      </c>
      <c r="CJ16" s="5">
        <v>317.35000000000002</v>
      </c>
      <c r="CK16" s="5">
        <v>338.56</v>
      </c>
      <c r="CL16" s="5">
        <v>328.81</v>
      </c>
      <c r="CM16" s="5">
        <v>331.25</v>
      </c>
      <c r="CN16" s="5">
        <v>280.33</v>
      </c>
      <c r="CO16" s="5">
        <v>24.61</v>
      </c>
      <c r="CP16" s="5">
        <v>203.7</v>
      </c>
      <c r="CQ16" s="5">
        <v>204.05</v>
      </c>
      <c r="CR16" s="5">
        <v>3.6</v>
      </c>
      <c r="CS16" s="5">
        <v>3.7</v>
      </c>
      <c r="CT16" s="5">
        <v>22.88</v>
      </c>
      <c r="CU16" s="5">
        <v>15.09</v>
      </c>
      <c r="CV16" s="5">
        <v>100.53</v>
      </c>
      <c r="CW16" s="5">
        <v>0.83148519600000004</v>
      </c>
      <c r="CX16" s="5">
        <v>2.835364518</v>
      </c>
    </row>
    <row r="17" spans="1:102" x14ac:dyDescent="0.25">
      <c r="A17" s="5">
        <v>6</v>
      </c>
      <c r="B17" s="23">
        <v>1.8944444444444444E-2</v>
      </c>
      <c r="C17" s="5">
        <v>1</v>
      </c>
      <c r="D17" s="5">
        <v>6</v>
      </c>
      <c r="E17" s="5">
        <v>79</v>
      </c>
      <c r="F17" s="5">
        <v>79</v>
      </c>
      <c r="G17" s="5">
        <v>79</v>
      </c>
      <c r="H17" s="5">
        <v>82.6</v>
      </c>
      <c r="I17" s="5">
        <v>82.6</v>
      </c>
      <c r="J17" s="5">
        <v>1701</v>
      </c>
      <c r="K17" s="5">
        <v>55</v>
      </c>
      <c r="L17" s="5">
        <v>55</v>
      </c>
      <c r="M17" s="5">
        <v>0.23</v>
      </c>
      <c r="N17" s="5">
        <v>0.22999800000000001</v>
      </c>
      <c r="O17" s="5">
        <v>1</v>
      </c>
      <c r="P17" s="5">
        <v>1.0692170000000001</v>
      </c>
      <c r="Q17" s="5">
        <v>2.19</v>
      </c>
      <c r="R17" s="5">
        <v>2.1862789999999999</v>
      </c>
      <c r="S17" s="5">
        <v>101.15</v>
      </c>
      <c r="T17" s="5">
        <v>101.1563</v>
      </c>
      <c r="U17" s="5">
        <v>3.5</v>
      </c>
      <c r="V17" s="5">
        <v>3.5</v>
      </c>
      <c r="W17" s="5">
        <v>320.16000000000003</v>
      </c>
      <c r="X17" s="5">
        <v>320</v>
      </c>
      <c r="Y17" s="5">
        <v>0</v>
      </c>
      <c r="Z17" s="5">
        <v>0</v>
      </c>
      <c r="AA17" s="5">
        <v>300</v>
      </c>
      <c r="AB17" s="5">
        <v>300</v>
      </c>
      <c r="AC17" s="5">
        <v>0</v>
      </c>
      <c r="AD17" s="5">
        <v>84.239630000000005</v>
      </c>
      <c r="AE17" s="5">
        <v>0</v>
      </c>
      <c r="AF17" s="5">
        <v>84.239059999999995</v>
      </c>
      <c r="AG17" s="5">
        <v>71.27</v>
      </c>
      <c r="AH17" s="5">
        <v>0.25</v>
      </c>
      <c r="AI17" s="5">
        <v>48.12</v>
      </c>
      <c r="AJ17" s="5">
        <v>56.55</v>
      </c>
      <c r="AK17" s="5">
        <v>50.69</v>
      </c>
      <c r="AL17" s="5">
        <v>50.12</v>
      </c>
      <c r="AM17" s="5">
        <v>246.7</v>
      </c>
      <c r="AN17" s="5">
        <v>120.79470000000001</v>
      </c>
      <c r="AO17" s="5">
        <v>19.57</v>
      </c>
      <c r="AP17" s="5">
        <v>52.4</v>
      </c>
      <c r="AQ17" s="5">
        <v>26.26</v>
      </c>
      <c r="AR17" s="5">
        <v>295.98</v>
      </c>
      <c r="AS17" s="5">
        <v>31.12</v>
      </c>
      <c r="AT17" s="5">
        <v>50.06</v>
      </c>
      <c r="AU17" s="5">
        <v>97.33</v>
      </c>
      <c r="AV17" s="5">
        <v>112.49</v>
      </c>
      <c r="AW17" s="5">
        <v>0.55100000000000005</v>
      </c>
      <c r="AX17" s="5">
        <v>8.57</v>
      </c>
      <c r="AY17" s="5">
        <v>5.6292</v>
      </c>
      <c r="AZ17" s="5">
        <v>222.31</v>
      </c>
      <c r="BA17" s="5">
        <v>71.680000000000007</v>
      </c>
      <c r="BB17" s="5">
        <v>4.03</v>
      </c>
      <c r="BC17" s="5">
        <v>0.98</v>
      </c>
      <c r="BD17" s="5">
        <v>15.03</v>
      </c>
      <c r="BE17" s="5">
        <v>5.93</v>
      </c>
      <c r="BF17" s="5">
        <v>196.57</v>
      </c>
      <c r="BG17" s="5">
        <v>24.36</v>
      </c>
      <c r="BH17" s="5">
        <v>0.37</v>
      </c>
      <c r="BI17" s="5">
        <v>385.9</v>
      </c>
      <c r="BJ17" s="5">
        <v>54.5</v>
      </c>
      <c r="BK17" s="5">
        <v>81.7</v>
      </c>
      <c r="BL17" s="5">
        <v>95.32</v>
      </c>
      <c r="BM17" s="5">
        <v>1.34</v>
      </c>
      <c r="BN17" s="5">
        <v>29.87</v>
      </c>
      <c r="BO17" s="5">
        <v>32.65</v>
      </c>
      <c r="BP17" s="5">
        <v>301.33</v>
      </c>
      <c r="BQ17" s="5">
        <v>51.132190000000001</v>
      </c>
      <c r="BR17" s="5">
        <v>148.9331</v>
      </c>
      <c r="BS17" s="5">
        <v>142.2886</v>
      </c>
      <c r="BT17" s="5">
        <v>129.04689999999999</v>
      </c>
      <c r="BU17" s="5">
        <v>127.8158</v>
      </c>
      <c r="BV17" s="5">
        <v>3.9219999999999998E-2</v>
      </c>
      <c r="BW17" s="5">
        <v>4.147E-2</v>
      </c>
      <c r="BX17" s="5">
        <v>15.72437</v>
      </c>
      <c r="BY17" s="5">
        <v>18.995360000000002</v>
      </c>
      <c r="BZ17" s="5">
        <v>0</v>
      </c>
      <c r="CA17" s="5">
        <v>0.93360100000000001</v>
      </c>
      <c r="CB17" s="5">
        <v>431.79059999999998</v>
      </c>
      <c r="CC17" s="5">
        <v>436.53440000000001</v>
      </c>
      <c r="CD17" s="5">
        <v>19.22823</v>
      </c>
      <c r="CE17" s="5">
        <v>230.05</v>
      </c>
      <c r="CF17" s="5">
        <v>76.959999999999994</v>
      </c>
      <c r="CG17" s="5">
        <v>89.48</v>
      </c>
      <c r="CH17" s="5">
        <v>225.14</v>
      </c>
      <c r="CI17" s="5">
        <v>220.73</v>
      </c>
      <c r="CJ17" s="5">
        <v>228.79</v>
      </c>
      <c r="CK17" s="5">
        <v>247.57</v>
      </c>
      <c r="CL17" s="5">
        <v>233.46</v>
      </c>
      <c r="CM17" s="5">
        <v>228.91</v>
      </c>
      <c r="CN17" s="5">
        <v>200.8</v>
      </c>
      <c r="CO17" s="5">
        <v>21.1</v>
      </c>
      <c r="CP17" s="5">
        <v>78.8</v>
      </c>
      <c r="CQ17" s="5">
        <v>79.05</v>
      </c>
      <c r="CR17" s="5">
        <v>1.4</v>
      </c>
      <c r="CS17" s="5">
        <v>1.4</v>
      </c>
      <c r="CT17" s="5">
        <v>19.54</v>
      </c>
      <c r="CU17" s="5">
        <v>24.26</v>
      </c>
      <c r="CV17" s="5">
        <v>100.78</v>
      </c>
      <c r="CW17" s="5">
        <v>0.85464888800000005</v>
      </c>
      <c r="CX17" s="5">
        <v>5.0680679059999996</v>
      </c>
    </row>
    <row r="18" spans="1:102" x14ac:dyDescent="0.25">
      <c r="A18" s="5">
        <v>4</v>
      </c>
      <c r="B18" s="23">
        <v>8.1006944444444434E-3</v>
      </c>
      <c r="C18" s="5">
        <v>1</v>
      </c>
      <c r="D18" s="5">
        <v>4</v>
      </c>
      <c r="E18" s="5">
        <v>66</v>
      </c>
      <c r="F18" s="5">
        <v>66</v>
      </c>
      <c r="G18" s="5">
        <v>66</v>
      </c>
      <c r="H18" s="5">
        <v>82.6</v>
      </c>
      <c r="I18" s="5">
        <v>82.6</v>
      </c>
      <c r="J18" s="5">
        <v>1701</v>
      </c>
      <c r="K18" s="5">
        <v>77</v>
      </c>
      <c r="L18" s="5">
        <v>77</v>
      </c>
      <c r="M18" s="5">
        <v>0.15</v>
      </c>
      <c r="N18" s="5">
        <v>0.15004100000000001</v>
      </c>
      <c r="O18" s="5">
        <v>1</v>
      </c>
      <c r="P18" s="5">
        <v>1.0691850000000001</v>
      </c>
      <c r="Q18" s="5">
        <v>2.1800000000000002</v>
      </c>
      <c r="R18" s="5">
        <v>2.1752929999999999</v>
      </c>
      <c r="S18" s="5">
        <v>100.72</v>
      </c>
      <c r="T18" s="5">
        <v>100.7188</v>
      </c>
      <c r="U18" s="5">
        <v>3.5</v>
      </c>
      <c r="V18" s="5">
        <v>3.5</v>
      </c>
      <c r="W18" s="5">
        <v>332.65</v>
      </c>
      <c r="X18" s="5">
        <v>333</v>
      </c>
      <c r="Y18" s="5">
        <v>0</v>
      </c>
      <c r="Z18" s="5">
        <v>0</v>
      </c>
      <c r="AA18" s="5">
        <v>300</v>
      </c>
      <c r="AB18" s="5">
        <v>300</v>
      </c>
      <c r="AC18" s="5">
        <v>0</v>
      </c>
      <c r="AD18" s="5">
        <v>99.121870000000001</v>
      </c>
      <c r="AE18" s="5">
        <v>0</v>
      </c>
      <c r="AF18" s="5">
        <v>99.121870000000001</v>
      </c>
      <c r="AG18" s="5">
        <v>73.64</v>
      </c>
      <c r="AH18" s="5">
        <v>0.25</v>
      </c>
      <c r="AI18" s="5">
        <v>55.46</v>
      </c>
      <c r="AJ18" s="5">
        <v>72.98</v>
      </c>
      <c r="AK18" s="5">
        <v>148.32</v>
      </c>
      <c r="AL18" s="5">
        <v>147.72999999999999</v>
      </c>
      <c r="AM18" s="5">
        <v>281.14</v>
      </c>
      <c r="AN18" s="5">
        <v>145.56209999999999</v>
      </c>
      <c r="AO18" s="5">
        <v>44.56</v>
      </c>
      <c r="AP18" s="5">
        <v>73.31</v>
      </c>
      <c r="AQ18" s="5">
        <v>51.89</v>
      </c>
      <c r="AR18" s="5">
        <v>330.85</v>
      </c>
      <c r="AS18" s="5">
        <v>103.76</v>
      </c>
      <c r="AT18" s="5">
        <v>55.88</v>
      </c>
      <c r="AU18" s="5">
        <v>101.45</v>
      </c>
      <c r="AV18" s="5">
        <v>114.57</v>
      </c>
      <c r="AW18" s="5">
        <v>0.59699999999999998</v>
      </c>
      <c r="AX18" s="5">
        <v>9.42</v>
      </c>
      <c r="AY18" s="5">
        <v>7.2792000000000003</v>
      </c>
      <c r="AZ18" s="5">
        <v>139.16</v>
      </c>
      <c r="BA18" s="5">
        <v>48.64</v>
      </c>
      <c r="BB18" s="5">
        <v>4.21</v>
      </c>
      <c r="BC18" s="5">
        <v>1.2</v>
      </c>
      <c r="BD18" s="5">
        <v>14.81</v>
      </c>
      <c r="BE18" s="5">
        <v>7.62</v>
      </c>
      <c r="BF18" s="5">
        <v>189.43</v>
      </c>
      <c r="BG18" s="5">
        <v>28.46</v>
      </c>
      <c r="BH18" s="5">
        <v>0.47</v>
      </c>
      <c r="BI18" s="5">
        <v>537.6</v>
      </c>
      <c r="BJ18" s="5">
        <v>52.3</v>
      </c>
      <c r="BK18" s="5">
        <v>81</v>
      </c>
      <c r="BL18" s="5">
        <v>131.66999999999999</v>
      </c>
      <c r="BM18" s="5">
        <v>1.6</v>
      </c>
      <c r="BN18" s="5">
        <v>30.06</v>
      </c>
      <c r="BO18" s="5">
        <v>32.799999999999997</v>
      </c>
      <c r="BP18" s="5">
        <v>337.39</v>
      </c>
      <c r="BQ18" s="5">
        <v>56.045780000000001</v>
      </c>
      <c r="BR18" s="5">
        <v>246.529</v>
      </c>
      <c r="BS18" s="5">
        <v>129.16829999999999</v>
      </c>
      <c r="BT18" s="5">
        <v>135.911</v>
      </c>
      <c r="BU18" s="5">
        <v>133.63550000000001</v>
      </c>
      <c r="BV18" s="5">
        <v>3.9174E-2</v>
      </c>
      <c r="BW18" s="5">
        <v>3.6795000000000001E-2</v>
      </c>
      <c r="BX18" s="5">
        <v>18.341249999999999</v>
      </c>
      <c r="BY18" s="5">
        <v>18.995360000000002</v>
      </c>
      <c r="BZ18" s="5">
        <v>0</v>
      </c>
      <c r="CA18" s="5">
        <v>0.93494600000000005</v>
      </c>
      <c r="CB18" s="5">
        <v>513.3098</v>
      </c>
      <c r="CC18" s="5">
        <v>518.70039999999995</v>
      </c>
      <c r="CD18" s="5">
        <v>21.843070000000001</v>
      </c>
      <c r="CE18" s="5">
        <v>264.2</v>
      </c>
      <c r="CF18" s="5">
        <v>79.3</v>
      </c>
      <c r="CG18" s="5">
        <v>94.44</v>
      </c>
      <c r="CH18" s="5">
        <v>257.97000000000003</v>
      </c>
      <c r="CI18" s="5">
        <v>259.93</v>
      </c>
      <c r="CJ18" s="5">
        <v>266.64999999999998</v>
      </c>
      <c r="CK18" s="5">
        <v>273.23</v>
      </c>
      <c r="CL18" s="5">
        <v>271.33999999999997</v>
      </c>
      <c r="CM18" s="5">
        <v>266.92</v>
      </c>
      <c r="CN18" s="5">
        <v>205.89</v>
      </c>
      <c r="CO18" s="5">
        <v>20.57</v>
      </c>
      <c r="CP18" s="5">
        <v>65.8</v>
      </c>
      <c r="CQ18" s="5">
        <v>66.05</v>
      </c>
      <c r="CR18" s="5">
        <v>1.2</v>
      </c>
      <c r="CS18" s="5">
        <v>1.2</v>
      </c>
      <c r="CT18" s="5">
        <v>18.93</v>
      </c>
      <c r="CU18" s="5">
        <v>25.21</v>
      </c>
      <c r="CV18" s="5">
        <v>100.8</v>
      </c>
      <c r="CW18" s="5">
        <v>0.85319713900000005</v>
      </c>
      <c r="CX18" s="5">
        <v>6.5013621989999999</v>
      </c>
    </row>
    <row r="19" spans="1:102" x14ac:dyDescent="0.25">
      <c r="A19" s="5">
        <v>16</v>
      </c>
      <c r="B19" s="23">
        <v>2.2467592592592591E-2</v>
      </c>
      <c r="C19" s="5">
        <v>1</v>
      </c>
      <c r="D19" s="5">
        <v>26</v>
      </c>
      <c r="E19" s="5">
        <v>180</v>
      </c>
      <c r="F19" s="5">
        <v>180</v>
      </c>
      <c r="G19" s="5">
        <v>180</v>
      </c>
      <c r="H19" s="5">
        <v>82.6</v>
      </c>
      <c r="I19" s="5">
        <v>82.6</v>
      </c>
      <c r="J19" s="5">
        <v>1701</v>
      </c>
      <c r="K19" s="5">
        <v>73</v>
      </c>
      <c r="L19" s="5">
        <v>73</v>
      </c>
      <c r="M19" s="5">
        <v>0.15</v>
      </c>
      <c r="N19" s="5">
        <v>0.15</v>
      </c>
      <c r="O19" s="5">
        <v>1</v>
      </c>
      <c r="P19" s="5">
        <v>1.0691029999999999</v>
      </c>
      <c r="Q19" s="5">
        <v>0.16</v>
      </c>
      <c r="R19" s="5">
        <v>0.164795</v>
      </c>
      <c r="S19" s="5">
        <v>106.76</v>
      </c>
      <c r="T19" s="5">
        <v>106.76560000000001</v>
      </c>
      <c r="U19" s="5">
        <v>3.5</v>
      </c>
      <c r="V19" s="5">
        <v>3.5</v>
      </c>
      <c r="W19" s="5">
        <v>300</v>
      </c>
      <c r="X19" s="5">
        <v>300</v>
      </c>
      <c r="Y19" s="5">
        <v>3.5</v>
      </c>
      <c r="Z19" s="5">
        <v>3.5</v>
      </c>
      <c r="AA19" s="5">
        <v>300</v>
      </c>
      <c r="AB19" s="5">
        <v>300</v>
      </c>
      <c r="AC19" s="5">
        <v>0</v>
      </c>
      <c r="AD19" s="5">
        <v>112.9319</v>
      </c>
      <c r="AE19" s="5">
        <v>0</v>
      </c>
      <c r="AF19" s="5">
        <v>112.9319</v>
      </c>
      <c r="AG19" s="5">
        <v>52.91</v>
      </c>
      <c r="AH19" s="5">
        <v>0.22</v>
      </c>
      <c r="AI19" s="5">
        <v>64.31</v>
      </c>
      <c r="AJ19" s="5">
        <v>87.38</v>
      </c>
      <c r="AK19" s="5">
        <v>176.11</v>
      </c>
      <c r="AL19" s="5">
        <v>175.7</v>
      </c>
      <c r="AM19" s="5">
        <v>352.85</v>
      </c>
      <c r="AN19" s="5">
        <v>170.27529999999999</v>
      </c>
      <c r="AO19" s="5">
        <v>69.37</v>
      </c>
      <c r="AP19" s="5">
        <v>98.54</v>
      </c>
      <c r="AQ19" s="5">
        <v>78.7</v>
      </c>
      <c r="AR19" s="5">
        <v>398.33</v>
      </c>
      <c r="AS19" s="5">
        <v>106.74</v>
      </c>
      <c r="AT19" s="5">
        <v>63.78</v>
      </c>
      <c r="AU19" s="5">
        <v>109.6</v>
      </c>
      <c r="AV19" s="5">
        <v>111.57</v>
      </c>
      <c r="AW19" s="5">
        <v>0.61</v>
      </c>
      <c r="AX19" s="5">
        <v>9.66</v>
      </c>
      <c r="AY19" s="5">
        <v>7.3632999999999997</v>
      </c>
      <c r="AZ19" s="5">
        <v>111.52</v>
      </c>
      <c r="BA19" s="5">
        <v>54.27</v>
      </c>
      <c r="BB19" s="5">
        <v>5.54</v>
      </c>
      <c r="BC19" s="5">
        <v>1.47</v>
      </c>
      <c r="BD19" s="5">
        <v>12.92</v>
      </c>
      <c r="BE19" s="5">
        <v>3.27</v>
      </c>
      <c r="BF19" s="5">
        <v>190.1</v>
      </c>
      <c r="BG19" s="5">
        <v>26.46</v>
      </c>
      <c r="BH19" s="5">
        <v>0.47</v>
      </c>
      <c r="BI19" s="5">
        <v>315.2</v>
      </c>
      <c r="BJ19" s="5">
        <v>39.4</v>
      </c>
      <c r="BK19" s="5">
        <v>82.3</v>
      </c>
      <c r="BL19" s="5">
        <v>143.33000000000001</v>
      </c>
      <c r="BM19" s="5">
        <v>1.84</v>
      </c>
      <c r="BN19" s="5">
        <v>30.31</v>
      </c>
      <c r="BO19" s="5">
        <v>34.020000000000003</v>
      </c>
      <c r="BP19" s="5">
        <v>408.4</v>
      </c>
      <c r="BQ19" s="5">
        <v>63.419110000000003</v>
      </c>
      <c r="BR19" s="5">
        <v>273.0181</v>
      </c>
      <c r="BS19" s="5">
        <v>88.073130000000006</v>
      </c>
      <c r="BT19" s="5">
        <v>96.14855</v>
      </c>
      <c r="BU19" s="5">
        <v>94.353149999999999</v>
      </c>
      <c r="BV19" s="5">
        <v>3.9141000000000002E-2</v>
      </c>
      <c r="BW19" s="5">
        <v>3.5716999999999999E-2</v>
      </c>
      <c r="BX19" s="5">
        <v>28.48573</v>
      </c>
      <c r="BY19" s="5">
        <v>18.995360000000002</v>
      </c>
      <c r="BZ19" s="5">
        <v>0</v>
      </c>
      <c r="CA19" s="5">
        <v>0.93852000000000002</v>
      </c>
      <c r="CB19" s="5">
        <v>589.55790000000002</v>
      </c>
      <c r="CC19" s="5">
        <v>598.36829999999998</v>
      </c>
      <c r="CD19" s="5">
        <v>35.484999999999999</v>
      </c>
      <c r="CE19" s="5">
        <v>334.42</v>
      </c>
      <c r="CF19" s="5">
        <v>86.8</v>
      </c>
      <c r="CG19" s="5">
        <v>102.71</v>
      </c>
      <c r="CH19" s="5">
        <v>337.15</v>
      </c>
      <c r="CI19" s="5">
        <v>321.27</v>
      </c>
      <c r="CJ19" s="5">
        <v>327.35000000000002</v>
      </c>
      <c r="CK19" s="5">
        <v>346.74</v>
      </c>
      <c r="CL19" s="5">
        <v>335.86</v>
      </c>
      <c r="CM19" s="5">
        <v>334.82</v>
      </c>
      <c r="CN19" s="5">
        <v>254.29</v>
      </c>
      <c r="CO19" s="5">
        <v>24.77</v>
      </c>
      <c r="CP19" s="5">
        <v>179.7</v>
      </c>
      <c r="CQ19" s="5">
        <v>180.05</v>
      </c>
      <c r="CR19" s="5">
        <v>3.2</v>
      </c>
      <c r="CS19" s="5">
        <v>3.2</v>
      </c>
      <c r="CT19" s="5">
        <v>21.89</v>
      </c>
      <c r="CU19" s="5">
        <v>16.420000000000002</v>
      </c>
      <c r="CV19" s="5">
        <v>100.57</v>
      </c>
      <c r="CW19" s="5">
        <v>0.83289815700000003</v>
      </c>
      <c r="CX19" s="5">
        <v>2.7235769730000001</v>
      </c>
    </row>
    <row r="20" spans="1:102" x14ac:dyDescent="0.25">
      <c r="A20" s="5">
        <v>2</v>
      </c>
      <c r="B20" s="23">
        <v>2.8478009259259262E-2</v>
      </c>
      <c r="C20" s="5">
        <v>1</v>
      </c>
      <c r="D20" s="5">
        <v>13</v>
      </c>
      <c r="E20" s="5">
        <v>118</v>
      </c>
      <c r="F20" s="5">
        <v>118</v>
      </c>
      <c r="G20" s="5">
        <v>118</v>
      </c>
      <c r="H20" s="5">
        <v>82.6</v>
      </c>
      <c r="I20" s="5">
        <v>82.6</v>
      </c>
      <c r="J20" s="5">
        <v>1701</v>
      </c>
      <c r="K20" s="5">
        <v>66</v>
      </c>
      <c r="L20" s="5">
        <v>66</v>
      </c>
      <c r="M20" s="5">
        <v>0.28000000000000003</v>
      </c>
      <c r="N20" s="5">
        <v>0.28009600000000001</v>
      </c>
      <c r="O20" s="5">
        <v>1</v>
      </c>
      <c r="P20" s="5">
        <v>1.0691120000000001</v>
      </c>
      <c r="Q20" s="5">
        <v>1.74</v>
      </c>
      <c r="R20" s="5">
        <v>1.73584</v>
      </c>
      <c r="S20" s="5">
        <v>102.94</v>
      </c>
      <c r="T20" s="5">
        <v>102.9375</v>
      </c>
      <c r="U20" s="5">
        <v>3.5</v>
      </c>
      <c r="V20" s="5">
        <v>3.5</v>
      </c>
      <c r="W20" s="5">
        <v>300</v>
      </c>
      <c r="X20" s="5">
        <v>300</v>
      </c>
      <c r="Y20" s="5">
        <v>3.5</v>
      </c>
      <c r="Z20" s="5">
        <v>3.5</v>
      </c>
      <c r="AA20" s="5">
        <v>300</v>
      </c>
      <c r="AB20" s="5">
        <v>300</v>
      </c>
      <c r="AC20" s="5">
        <v>0</v>
      </c>
      <c r="AD20" s="5">
        <v>88.412189999999995</v>
      </c>
      <c r="AE20" s="5">
        <v>0</v>
      </c>
      <c r="AF20" s="5">
        <v>88.412189999999995</v>
      </c>
      <c r="AG20" s="5">
        <v>64.180000000000007</v>
      </c>
      <c r="AH20" s="5">
        <v>0.24</v>
      </c>
      <c r="AI20" s="5">
        <v>49.55</v>
      </c>
      <c r="AJ20" s="5">
        <v>62.18</v>
      </c>
      <c r="AK20" s="5">
        <v>72.790000000000006</v>
      </c>
      <c r="AL20" s="5">
        <v>71.260000000000005</v>
      </c>
      <c r="AM20" s="5">
        <v>283.38</v>
      </c>
      <c r="AN20" s="5">
        <v>129.9735</v>
      </c>
      <c r="AO20" s="5">
        <v>28.98</v>
      </c>
      <c r="AP20" s="5">
        <v>61.33</v>
      </c>
      <c r="AQ20" s="5">
        <v>35.630000000000003</v>
      </c>
      <c r="AR20" s="5">
        <v>282.54000000000002</v>
      </c>
      <c r="AS20" s="5">
        <v>43.81</v>
      </c>
      <c r="AT20" s="5">
        <v>59.09</v>
      </c>
      <c r="AU20" s="5">
        <v>104.12</v>
      </c>
      <c r="AV20" s="5">
        <v>111.04</v>
      </c>
      <c r="AW20" s="5">
        <v>0.64100000000000001</v>
      </c>
      <c r="AX20" s="5">
        <v>10.25</v>
      </c>
      <c r="AY20" s="5">
        <v>6.4550999999999998</v>
      </c>
      <c r="AZ20" s="5">
        <v>171.34</v>
      </c>
      <c r="BA20" s="5">
        <v>83.54</v>
      </c>
      <c r="BB20" s="5">
        <v>5.31</v>
      </c>
      <c r="BC20" s="5">
        <v>1.82</v>
      </c>
      <c r="BD20" s="5">
        <v>13.28</v>
      </c>
      <c r="BE20" s="5">
        <v>2.5299999999999998</v>
      </c>
      <c r="BF20" s="5">
        <v>135.22</v>
      </c>
      <c r="BG20" s="5">
        <v>34.270000000000003</v>
      </c>
      <c r="BH20" s="5">
        <v>0.42</v>
      </c>
      <c r="BI20" s="5">
        <v>326.10000000000002</v>
      </c>
      <c r="BJ20" s="5">
        <v>41.2</v>
      </c>
      <c r="BK20" s="5">
        <v>83.5</v>
      </c>
      <c r="BL20" s="5">
        <v>147.32</v>
      </c>
      <c r="BM20" s="5">
        <v>1.44</v>
      </c>
      <c r="BN20" s="5">
        <v>30.63</v>
      </c>
      <c r="BO20" s="5">
        <v>33.799999999999997</v>
      </c>
      <c r="BP20" s="5">
        <v>289.36</v>
      </c>
      <c r="BQ20" s="5">
        <v>58.349170000000001</v>
      </c>
      <c r="BR20" s="5">
        <v>166.93369999999999</v>
      </c>
      <c r="BS20" s="5">
        <v>126.74420000000001</v>
      </c>
      <c r="BT20" s="5">
        <v>117.3982</v>
      </c>
      <c r="BU20" s="5">
        <v>116.01179999999999</v>
      </c>
      <c r="BV20" s="5">
        <v>3.9167E-2</v>
      </c>
      <c r="BW20" s="5">
        <v>4.0605000000000002E-2</v>
      </c>
      <c r="BX20" s="5">
        <v>15.316560000000001</v>
      </c>
      <c r="BY20" s="5">
        <v>18.995360000000002</v>
      </c>
      <c r="BZ20" s="5">
        <v>0</v>
      </c>
      <c r="CA20" s="5">
        <v>0.93506999999999996</v>
      </c>
      <c r="CB20" s="5">
        <v>455.21769999999998</v>
      </c>
      <c r="CC20" s="5">
        <v>460.72480000000002</v>
      </c>
      <c r="CD20" s="5">
        <v>22.317080000000001</v>
      </c>
      <c r="CE20" s="5">
        <v>277.10000000000002</v>
      </c>
      <c r="CF20" s="5">
        <v>83.19</v>
      </c>
      <c r="CG20" s="5">
        <v>97.51</v>
      </c>
      <c r="CH20" s="5">
        <v>271.43</v>
      </c>
      <c r="CI20" s="5">
        <v>264.79000000000002</v>
      </c>
      <c r="CJ20" s="5">
        <v>268.98</v>
      </c>
      <c r="CK20" s="5">
        <v>285.58</v>
      </c>
      <c r="CL20" s="5">
        <v>279.85000000000002</v>
      </c>
      <c r="CM20" s="5">
        <v>279.02</v>
      </c>
      <c r="CN20" s="5">
        <v>222.81</v>
      </c>
      <c r="CO20" s="5">
        <v>22.41</v>
      </c>
      <c r="CP20" s="5">
        <v>117.7</v>
      </c>
      <c r="CQ20" s="5">
        <v>118.05</v>
      </c>
      <c r="CR20" s="5">
        <v>2.1</v>
      </c>
      <c r="CS20" s="5">
        <v>2.1</v>
      </c>
      <c r="CT20" s="5">
        <v>20.71</v>
      </c>
      <c r="CU20" s="5">
        <v>20.7</v>
      </c>
      <c r="CV20" s="5">
        <v>100.68</v>
      </c>
      <c r="CW20" s="5">
        <v>0.83973336600000004</v>
      </c>
      <c r="CX20" s="5">
        <v>2.124525416</v>
      </c>
    </row>
    <row r="21" spans="1:102" x14ac:dyDescent="0.25">
      <c r="A21" s="5">
        <v>33</v>
      </c>
      <c r="B21" s="23">
        <v>3.2762731481481483E-2</v>
      </c>
      <c r="C21" s="5">
        <v>1</v>
      </c>
      <c r="D21" s="5">
        <v>42</v>
      </c>
      <c r="E21" s="5">
        <v>243</v>
      </c>
      <c r="F21" s="5">
        <v>243</v>
      </c>
      <c r="G21" s="5">
        <v>243</v>
      </c>
      <c r="H21" s="5">
        <v>82.6</v>
      </c>
      <c r="I21" s="5">
        <v>82.6</v>
      </c>
      <c r="J21" s="5">
        <v>1701</v>
      </c>
      <c r="K21" s="5">
        <v>49</v>
      </c>
      <c r="L21" s="5">
        <v>49</v>
      </c>
      <c r="M21" s="5">
        <v>0.24</v>
      </c>
      <c r="N21" s="5">
        <v>0.23995900000000001</v>
      </c>
      <c r="O21" s="5">
        <v>1</v>
      </c>
      <c r="P21" s="5">
        <v>1.0691360000000001</v>
      </c>
      <c r="Q21" s="5">
        <v>-1.59</v>
      </c>
      <c r="R21" s="5">
        <v>-1.593018</v>
      </c>
      <c r="S21" s="5">
        <v>113.06</v>
      </c>
      <c r="T21" s="5">
        <v>113.0625</v>
      </c>
      <c r="U21" s="5">
        <v>3.5</v>
      </c>
      <c r="V21" s="5">
        <v>3.5</v>
      </c>
      <c r="W21" s="5">
        <v>300</v>
      </c>
      <c r="X21" s="5">
        <v>300</v>
      </c>
      <c r="Y21" s="5">
        <v>3.5</v>
      </c>
      <c r="Z21" s="5">
        <v>3.5</v>
      </c>
      <c r="AA21" s="5">
        <v>300</v>
      </c>
      <c r="AB21" s="5">
        <v>300</v>
      </c>
      <c r="AC21" s="5">
        <v>0</v>
      </c>
      <c r="AD21" s="5">
        <v>97.459689999999995</v>
      </c>
      <c r="AE21" s="5">
        <v>0</v>
      </c>
      <c r="AF21" s="5">
        <v>97.459270000000004</v>
      </c>
      <c r="AG21" s="5">
        <v>41.45</v>
      </c>
      <c r="AH21" s="5">
        <v>0.21</v>
      </c>
      <c r="AI21" s="5">
        <v>53.88</v>
      </c>
      <c r="AJ21" s="5">
        <v>74.239999999999995</v>
      </c>
      <c r="AK21" s="5">
        <v>72.489999999999995</v>
      </c>
      <c r="AL21" s="5">
        <v>72.38</v>
      </c>
      <c r="AM21" s="5">
        <v>368.8</v>
      </c>
      <c r="AN21" s="5">
        <v>142.39519999999999</v>
      </c>
      <c r="AO21" s="5">
        <v>41.18</v>
      </c>
      <c r="AP21" s="5">
        <v>76.77</v>
      </c>
      <c r="AQ21" s="5">
        <v>50.1</v>
      </c>
      <c r="AR21" s="5">
        <v>373.37</v>
      </c>
      <c r="AS21" s="5">
        <v>31.31</v>
      </c>
      <c r="AT21" s="5">
        <v>53.71</v>
      </c>
      <c r="AU21" s="5">
        <v>104.78</v>
      </c>
      <c r="AV21" s="5">
        <v>117.66</v>
      </c>
      <c r="AW21" s="5">
        <v>0.65400000000000003</v>
      </c>
      <c r="AX21" s="5">
        <v>10.49</v>
      </c>
      <c r="AY21" s="5">
        <v>7.1224999999999996</v>
      </c>
      <c r="AZ21" s="5">
        <v>168.67</v>
      </c>
      <c r="BA21" s="5">
        <v>39.159999999999997</v>
      </c>
      <c r="BB21" s="5">
        <v>6.36</v>
      </c>
      <c r="BC21" s="5">
        <v>1.45</v>
      </c>
      <c r="BD21" s="5">
        <v>11.73</v>
      </c>
      <c r="BE21" s="5">
        <v>2.3199999999999998</v>
      </c>
      <c r="BF21" s="5">
        <v>197.54</v>
      </c>
      <c r="BG21" s="5">
        <v>22.88</v>
      </c>
      <c r="BH21" s="5">
        <v>0.46</v>
      </c>
      <c r="BI21" s="5">
        <v>252.9</v>
      </c>
      <c r="BJ21" s="5">
        <v>34.1</v>
      </c>
      <c r="BK21" s="5">
        <v>85.7</v>
      </c>
      <c r="BL21" s="5">
        <v>110.76</v>
      </c>
      <c r="BM21" s="5">
        <v>1.58</v>
      </c>
      <c r="BN21" s="5">
        <v>30.3</v>
      </c>
      <c r="BO21" s="5">
        <v>34.78</v>
      </c>
      <c r="BP21" s="5">
        <v>384.22</v>
      </c>
      <c r="BQ21" s="5">
        <v>54.670830000000002</v>
      </c>
      <c r="BR21" s="5">
        <v>168.87139999999999</v>
      </c>
      <c r="BS21" s="5">
        <v>83.287379999999999</v>
      </c>
      <c r="BT21" s="5">
        <v>74.290459999999996</v>
      </c>
      <c r="BU21" s="5">
        <v>73.576319999999996</v>
      </c>
      <c r="BV21" s="5">
        <v>4.7125E-2</v>
      </c>
      <c r="BW21" s="5">
        <v>4.9303E-2</v>
      </c>
      <c r="BX21" s="5">
        <v>31.673490000000001</v>
      </c>
      <c r="BY21" s="5">
        <v>18.995360000000002</v>
      </c>
      <c r="BZ21" s="5">
        <v>0</v>
      </c>
      <c r="CA21" s="5">
        <v>0.93935299999999999</v>
      </c>
      <c r="CB21" s="5">
        <v>506.58440000000002</v>
      </c>
      <c r="CC21" s="5">
        <v>516.17669999999998</v>
      </c>
      <c r="CD21" s="5">
        <v>38.670990000000003</v>
      </c>
      <c r="CE21" s="5">
        <v>362.89</v>
      </c>
      <c r="CF21" s="5">
        <v>80.760000000000005</v>
      </c>
      <c r="CG21" s="5">
        <v>95.57</v>
      </c>
      <c r="CH21" s="5">
        <v>342.15</v>
      </c>
      <c r="CI21" s="5">
        <v>336.81</v>
      </c>
      <c r="CJ21" s="5">
        <v>342.25</v>
      </c>
      <c r="CK21" s="5">
        <v>365.6</v>
      </c>
      <c r="CL21" s="5">
        <v>354.49</v>
      </c>
      <c r="CM21" s="5">
        <v>355.76</v>
      </c>
      <c r="CN21" s="5">
        <v>293.64999999999998</v>
      </c>
      <c r="CO21" s="5">
        <v>24.72</v>
      </c>
      <c r="CP21" s="5">
        <v>242.7</v>
      </c>
      <c r="CQ21" s="5">
        <v>243.05</v>
      </c>
      <c r="CR21" s="5">
        <v>4.3</v>
      </c>
      <c r="CS21" s="5">
        <v>4.4000000000000004</v>
      </c>
      <c r="CT21" s="5">
        <v>22.58</v>
      </c>
      <c r="CU21" s="5">
        <v>12.86</v>
      </c>
      <c r="CV21" s="5">
        <v>100.43</v>
      </c>
      <c r="CW21" s="5">
        <v>0.82299292700000004</v>
      </c>
      <c r="CX21" s="5">
        <v>1.9093435910000001</v>
      </c>
    </row>
    <row r="22" spans="1:102" x14ac:dyDescent="0.25">
      <c r="A22" s="5">
        <v>29</v>
      </c>
      <c r="B22" s="23">
        <v>1.1050925925925928E-2</v>
      </c>
      <c r="C22" s="5">
        <v>1</v>
      </c>
      <c r="D22" s="5">
        <v>38</v>
      </c>
      <c r="E22" s="5">
        <v>234</v>
      </c>
      <c r="F22" s="5">
        <v>234</v>
      </c>
      <c r="G22" s="5">
        <v>234.1</v>
      </c>
      <c r="H22" s="5">
        <v>82.6</v>
      </c>
      <c r="I22" s="5">
        <v>82.6</v>
      </c>
      <c r="J22" s="5">
        <v>1701</v>
      </c>
      <c r="K22" s="5">
        <v>12</v>
      </c>
      <c r="L22" s="5">
        <v>12</v>
      </c>
      <c r="M22" s="5">
        <v>0.18</v>
      </c>
      <c r="N22" s="5">
        <v>0.17994499999999999</v>
      </c>
      <c r="O22" s="5">
        <v>1</v>
      </c>
      <c r="P22" s="5">
        <v>1.0690980000000001</v>
      </c>
      <c r="Q22" s="5">
        <v>-1.33</v>
      </c>
      <c r="R22" s="5">
        <v>-1.3293459999999999</v>
      </c>
      <c r="S22" s="5">
        <v>112</v>
      </c>
      <c r="T22" s="5">
        <v>112</v>
      </c>
      <c r="U22" s="5">
        <v>3.5</v>
      </c>
      <c r="V22" s="5">
        <v>3.5</v>
      </c>
      <c r="W22" s="5">
        <v>300</v>
      </c>
      <c r="X22" s="5">
        <v>300</v>
      </c>
      <c r="Y22" s="5">
        <v>3.5</v>
      </c>
      <c r="Z22" s="5">
        <v>3.5</v>
      </c>
      <c r="AA22" s="5">
        <v>300</v>
      </c>
      <c r="AB22" s="5">
        <v>300</v>
      </c>
      <c r="AC22" s="5">
        <v>0</v>
      </c>
      <c r="AD22" s="5">
        <v>81.494479999999996</v>
      </c>
      <c r="AE22" s="5">
        <v>0</v>
      </c>
      <c r="AF22" s="5">
        <v>81.494479999999996</v>
      </c>
      <c r="AG22" s="5">
        <v>43.09</v>
      </c>
      <c r="AH22" s="5">
        <v>0.21</v>
      </c>
      <c r="AI22" s="5">
        <v>45.17</v>
      </c>
      <c r="AJ22" s="5">
        <v>56.89</v>
      </c>
      <c r="AK22" s="5">
        <v>32.85</v>
      </c>
      <c r="AL22" s="5">
        <v>33.65</v>
      </c>
      <c r="AM22" s="5">
        <v>399.12</v>
      </c>
      <c r="AN22" s="5">
        <v>116.1354</v>
      </c>
      <c r="AO22" s="5">
        <v>14.76</v>
      </c>
      <c r="AP22" s="5">
        <v>55.49</v>
      </c>
      <c r="AQ22" s="5">
        <v>22.96</v>
      </c>
      <c r="AR22" s="5">
        <v>338.23</v>
      </c>
      <c r="AS22" s="5">
        <v>18.100000000000001</v>
      </c>
      <c r="AT22" s="5">
        <v>47.22</v>
      </c>
      <c r="AU22" s="5">
        <v>96.6</v>
      </c>
      <c r="AV22" s="5">
        <v>115.93</v>
      </c>
      <c r="AW22" s="5">
        <v>0.63400000000000001</v>
      </c>
      <c r="AX22" s="5">
        <v>10.119999999999999</v>
      </c>
      <c r="AY22" s="5">
        <v>7.1871</v>
      </c>
      <c r="AZ22" s="5">
        <v>185.3</v>
      </c>
      <c r="BA22" s="5">
        <v>47.87</v>
      </c>
      <c r="BB22" s="5">
        <v>6.66</v>
      </c>
      <c r="BC22" s="5">
        <v>0.93</v>
      </c>
      <c r="BD22" s="5">
        <v>11.32</v>
      </c>
      <c r="BE22" s="5">
        <v>3.24</v>
      </c>
      <c r="BF22" s="5">
        <v>295.63</v>
      </c>
      <c r="BG22" s="5">
        <v>13.95</v>
      </c>
      <c r="BH22" s="5">
        <v>0.46</v>
      </c>
      <c r="BI22" s="5">
        <v>251.2</v>
      </c>
      <c r="BJ22" s="5">
        <v>32.299999999999997</v>
      </c>
      <c r="BK22" s="5">
        <v>85.1</v>
      </c>
      <c r="BL22" s="5">
        <v>54.81</v>
      </c>
      <c r="BM22" s="5">
        <v>1.29</v>
      </c>
      <c r="BN22" s="5">
        <v>29.82</v>
      </c>
      <c r="BO22" s="5">
        <v>35.1</v>
      </c>
      <c r="BP22" s="5">
        <v>348.66</v>
      </c>
      <c r="BQ22" s="5">
        <v>49.270519999999998</v>
      </c>
      <c r="BR22" s="5">
        <v>132.55420000000001</v>
      </c>
      <c r="BS22" s="5">
        <v>85.493549999999999</v>
      </c>
      <c r="BT22" s="5">
        <v>64.005660000000006</v>
      </c>
      <c r="BU22" s="5">
        <v>64.112729999999999</v>
      </c>
      <c r="BV22" s="5">
        <v>4.3441E-2</v>
      </c>
      <c r="BW22" s="5">
        <v>4.9064999999999998E-2</v>
      </c>
      <c r="BX22" s="5">
        <v>30.203749999999999</v>
      </c>
      <c r="BY22" s="5">
        <v>18.995360000000002</v>
      </c>
      <c r="BZ22" s="5">
        <v>0</v>
      </c>
      <c r="CA22" s="5">
        <v>0.93896999999999997</v>
      </c>
      <c r="CB22" s="5">
        <v>419.93520000000001</v>
      </c>
      <c r="CC22" s="5">
        <v>429.18040000000002</v>
      </c>
      <c r="CD22" s="5">
        <v>37.202500000000001</v>
      </c>
      <c r="CE22" s="5">
        <v>367.12</v>
      </c>
      <c r="CF22" s="5">
        <v>73.56</v>
      </c>
      <c r="CG22" s="5">
        <v>86.17</v>
      </c>
      <c r="CH22" s="5">
        <v>355.78</v>
      </c>
      <c r="CI22" s="5">
        <v>351.73</v>
      </c>
      <c r="CJ22" s="5">
        <v>361.4</v>
      </c>
      <c r="CK22" s="5">
        <v>391.5</v>
      </c>
      <c r="CL22" s="5">
        <v>370.09</v>
      </c>
      <c r="CM22" s="5">
        <v>369.13</v>
      </c>
      <c r="CN22" s="5">
        <v>344.96</v>
      </c>
      <c r="CO22" s="5">
        <v>25.54</v>
      </c>
      <c r="CP22" s="5">
        <v>233.7</v>
      </c>
      <c r="CQ22" s="5">
        <v>234.05</v>
      </c>
      <c r="CR22" s="5">
        <v>4.2</v>
      </c>
      <c r="CS22" s="5">
        <v>4.2</v>
      </c>
      <c r="CT22" s="5">
        <v>23.04</v>
      </c>
      <c r="CU22" s="5">
        <v>13.2</v>
      </c>
      <c r="CV22" s="5">
        <v>100.48</v>
      </c>
      <c r="CW22" s="5">
        <v>0.82133608000000002</v>
      </c>
      <c r="CX22" s="5">
        <v>2.6611288989999999</v>
      </c>
    </row>
    <row r="23" spans="1:102" x14ac:dyDescent="0.25">
      <c r="A23" s="5">
        <v>7</v>
      </c>
      <c r="B23" s="23">
        <v>1.3922453703703703E-2</v>
      </c>
      <c r="C23" s="5">
        <v>1</v>
      </c>
      <c r="D23" s="5">
        <v>18</v>
      </c>
      <c r="E23" s="5">
        <v>141</v>
      </c>
      <c r="F23" s="5">
        <v>141</v>
      </c>
      <c r="G23" s="5">
        <v>141</v>
      </c>
      <c r="H23" s="5">
        <v>82.6</v>
      </c>
      <c r="I23" s="5">
        <v>82.6</v>
      </c>
      <c r="J23" s="5">
        <v>1701</v>
      </c>
      <c r="K23" s="5">
        <v>64</v>
      </c>
      <c r="L23" s="5">
        <v>64</v>
      </c>
      <c r="M23" s="5">
        <v>0.26</v>
      </c>
      <c r="N23" s="5">
        <v>0.26007000000000002</v>
      </c>
      <c r="O23" s="5">
        <v>1</v>
      </c>
      <c r="P23" s="5">
        <v>1.0691120000000001</v>
      </c>
      <c r="Q23" s="5">
        <v>1.1499999999999999</v>
      </c>
      <c r="R23" s="5">
        <v>1.153564</v>
      </c>
      <c r="S23" s="5">
        <v>104.33</v>
      </c>
      <c r="T23" s="5">
        <v>104.32810000000001</v>
      </c>
      <c r="U23" s="5">
        <v>3.5</v>
      </c>
      <c r="V23" s="5">
        <v>3.5</v>
      </c>
      <c r="W23" s="5">
        <v>300</v>
      </c>
      <c r="X23" s="5">
        <v>300</v>
      </c>
      <c r="Y23" s="5">
        <v>3.5</v>
      </c>
      <c r="Z23" s="5">
        <v>3.5</v>
      </c>
      <c r="AA23" s="5">
        <v>300</v>
      </c>
      <c r="AB23" s="5">
        <v>300</v>
      </c>
      <c r="AC23" s="5">
        <v>0</v>
      </c>
      <c r="AD23" s="5">
        <v>91.580370000000002</v>
      </c>
      <c r="AE23" s="5">
        <v>0</v>
      </c>
      <c r="AF23" s="5">
        <v>91.580370000000002</v>
      </c>
      <c r="AG23" s="5">
        <v>60</v>
      </c>
      <c r="AH23" s="5">
        <v>0.23</v>
      </c>
      <c r="AI23" s="5">
        <v>51.44</v>
      </c>
      <c r="AJ23" s="5">
        <v>66.25</v>
      </c>
      <c r="AK23" s="5">
        <v>77.010000000000005</v>
      </c>
      <c r="AL23" s="5">
        <v>75.849999999999994</v>
      </c>
      <c r="AM23" s="5">
        <v>300.8</v>
      </c>
      <c r="AN23" s="5">
        <v>134.88290000000001</v>
      </c>
      <c r="AO23" s="5">
        <v>33.880000000000003</v>
      </c>
      <c r="AP23" s="5">
        <v>67.08</v>
      </c>
      <c r="AQ23" s="5">
        <v>40.94</v>
      </c>
      <c r="AR23" s="5">
        <v>302.52</v>
      </c>
      <c r="AS23" s="5">
        <v>43.13</v>
      </c>
      <c r="AT23" s="5">
        <v>58.84</v>
      </c>
      <c r="AU23" s="5">
        <v>104.99</v>
      </c>
      <c r="AV23" s="5">
        <v>118.39</v>
      </c>
      <c r="AW23" s="5">
        <v>0.68400000000000005</v>
      </c>
      <c r="AX23" s="5">
        <v>11.07</v>
      </c>
      <c r="AY23" s="5">
        <v>7.7855999999999996</v>
      </c>
      <c r="AZ23" s="5">
        <v>162.87</v>
      </c>
      <c r="BA23" s="5">
        <v>80.66</v>
      </c>
      <c r="BB23" s="5">
        <v>5.49</v>
      </c>
      <c r="BC23" s="5">
        <v>1.71</v>
      </c>
      <c r="BD23" s="5">
        <v>12.99</v>
      </c>
      <c r="BE23" s="5">
        <v>2.48</v>
      </c>
      <c r="BF23" s="5">
        <v>148.54</v>
      </c>
      <c r="BG23" s="5">
        <v>31.08</v>
      </c>
      <c r="BH23" s="5">
        <v>0.5</v>
      </c>
      <c r="BI23" s="5">
        <v>303.2</v>
      </c>
      <c r="BJ23" s="5">
        <v>39.700000000000003</v>
      </c>
      <c r="BK23" s="5">
        <v>82.4</v>
      </c>
      <c r="BL23" s="5">
        <v>136.38999999999999</v>
      </c>
      <c r="BM23" s="5">
        <v>1.49</v>
      </c>
      <c r="BN23" s="5">
        <v>30.53</v>
      </c>
      <c r="BO23" s="5">
        <v>33.979999999999997</v>
      </c>
      <c r="BP23" s="5">
        <v>310.11</v>
      </c>
      <c r="BQ23" s="5">
        <v>58.357140000000001</v>
      </c>
      <c r="BR23" s="5">
        <v>171.7072</v>
      </c>
      <c r="BS23" s="5">
        <v>110.9453</v>
      </c>
      <c r="BT23" s="5">
        <v>106.2338</v>
      </c>
      <c r="BU23" s="5">
        <v>104.8969</v>
      </c>
      <c r="BV23" s="5">
        <v>3.9087999999999998E-2</v>
      </c>
      <c r="BW23" s="5">
        <v>3.9398000000000002E-2</v>
      </c>
      <c r="BX23" s="5">
        <v>18.625360000000001</v>
      </c>
      <c r="BY23" s="5">
        <v>18.995360000000002</v>
      </c>
      <c r="BZ23" s="5">
        <v>0</v>
      </c>
      <c r="CA23" s="5">
        <v>0.93593700000000002</v>
      </c>
      <c r="CB23" s="5">
        <v>472.82940000000002</v>
      </c>
      <c r="CC23" s="5">
        <v>479.17129999999997</v>
      </c>
      <c r="CD23" s="5">
        <v>25.626619999999999</v>
      </c>
      <c r="CE23" s="5">
        <v>292.94</v>
      </c>
      <c r="CF23" s="5">
        <v>84.74</v>
      </c>
      <c r="CG23" s="5">
        <v>98.23</v>
      </c>
      <c r="CH23" s="5">
        <v>288.52999999999997</v>
      </c>
      <c r="CI23" s="5">
        <v>280.87</v>
      </c>
      <c r="CJ23" s="5">
        <v>285.38</v>
      </c>
      <c r="CK23" s="5">
        <v>303.3</v>
      </c>
      <c r="CL23" s="5">
        <v>291.61</v>
      </c>
      <c r="CM23" s="5">
        <v>293.54000000000002</v>
      </c>
      <c r="CN23" s="5">
        <v>238.12</v>
      </c>
      <c r="CO23" s="5">
        <v>23.06</v>
      </c>
      <c r="CP23" s="5">
        <v>140.69999999999999</v>
      </c>
      <c r="CQ23" s="5">
        <v>141.05000000000001</v>
      </c>
      <c r="CR23" s="5">
        <v>2.5</v>
      </c>
      <c r="CS23" s="5">
        <v>2.5</v>
      </c>
      <c r="CT23" s="5">
        <v>21.27</v>
      </c>
      <c r="CU23" s="5">
        <v>19.66</v>
      </c>
      <c r="CV23" s="5">
        <v>100.62</v>
      </c>
      <c r="CW23" s="5">
        <v>0.83733485200000002</v>
      </c>
      <c r="CX23" s="5">
        <v>2.0765904329999998</v>
      </c>
    </row>
    <row r="24" spans="1:102" x14ac:dyDescent="0.25">
      <c r="A24" s="5">
        <v>9</v>
      </c>
      <c r="B24" s="23">
        <v>3.5208333333333335E-2</v>
      </c>
      <c r="C24" s="5">
        <v>1</v>
      </c>
      <c r="D24" s="5">
        <v>9</v>
      </c>
      <c r="E24" s="5">
        <v>96</v>
      </c>
      <c r="F24" s="5">
        <v>96</v>
      </c>
      <c r="G24" s="5">
        <v>96</v>
      </c>
      <c r="H24" s="5">
        <v>82.6</v>
      </c>
      <c r="I24" s="5">
        <v>82.6</v>
      </c>
      <c r="J24" s="5">
        <v>1701</v>
      </c>
      <c r="K24" s="5">
        <v>52</v>
      </c>
      <c r="L24" s="5">
        <v>52</v>
      </c>
      <c r="M24" s="5">
        <v>0.3</v>
      </c>
      <c r="N24" s="5">
        <v>0.30013000000000001</v>
      </c>
      <c r="O24" s="5">
        <v>1</v>
      </c>
      <c r="P24" s="5">
        <v>1.0691759999999999</v>
      </c>
      <c r="Q24" s="5">
        <v>2.2000000000000002</v>
      </c>
      <c r="R24" s="5">
        <v>2.1972659999999999</v>
      </c>
      <c r="S24" s="5">
        <v>101.72</v>
      </c>
      <c r="T24" s="5">
        <v>101.7188</v>
      </c>
      <c r="U24" s="5">
        <v>3.5</v>
      </c>
      <c r="V24" s="5">
        <v>3.5</v>
      </c>
      <c r="W24" s="5">
        <v>303.83999999999997</v>
      </c>
      <c r="X24" s="5">
        <v>304</v>
      </c>
      <c r="Y24" s="5">
        <v>0</v>
      </c>
      <c r="Z24" s="5">
        <v>0</v>
      </c>
      <c r="AA24" s="5">
        <v>300</v>
      </c>
      <c r="AB24" s="5">
        <v>300</v>
      </c>
      <c r="AC24" s="5">
        <v>0</v>
      </c>
      <c r="AD24" s="5">
        <v>82.360680000000002</v>
      </c>
      <c r="AE24" s="5">
        <v>0</v>
      </c>
      <c r="AF24" s="5">
        <v>82.360680000000002</v>
      </c>
      <c r="AG24" s="5">
        <v>68.180000000000007</v>
      </c>
      <c r="AH24" s="5">
        <v>0.25</v>
      </c>
      <c r="AI24" s="5">
        <v>46.71</v>
      </c>
      <c r="AJ24" s="5">
        <v>54.85</v>
      </c>
      <c r="AK24" s="5">
        <v>44.46</v>
      </c>
      <c r="AL24" s="5">
        <v>43.55</v>
      </c>
      <c r="AM24" s="5">
        <v>256.69</v>
      </c>
      <c r="AN24" s="5">
        <v>118.8433</v>
      </c>
      <c r="AO24" s="5">
        <v>17.670000000000002</v>
      </c>
      <c r="AP24" s="5">
        <v>52.12</v>
      </c>
      <c r="AQ24" s="5">
        <v>24.12</v>
      </c>
      <c r="AR24" s="5">
        <v>280.31</v>
      </c>
      <c r="AS24" s="5">
        <v>26.79</v>
      </c>
      <c r="AT24" s="5">
        <v>52.75</v>
      </c>
      <c r="AU24" s="5">
        <v>98.73</v>
      </c>
      <c r="AV24" s="5">
        <v>119.43</v>
      </c>
      <c r="AW24" s="5">
        <v>0.74</v>
      </c>
      <c r="AX24" s="5">
        <v>12.19</v>
      </c>
      <c r="AY24" s="5">
        <v>7.8623000000000003</v>
      </c>
      <c r="AZ24" s="5">
        <v>226.68</v>
      </c>
      <c r="BA24" s="5">
        <v>73.25</v>
      </c>
      <c r="BB24" s="5">
        <v>4.5599999999999996</v>
      </c>
      <c r="BC24" s="5">
        <v>1.28</v>
      </c>
      <c r="BD24" s="5">
        <v>14.32</v>
      </c>
      <c r="BE24" s="5">
        <v>4.3</v>
      </c>
      <c r="BF24" s="5">
        <v>185.28</v>
      </c>
      <c r="BG24" s="5">
        <v>27.95</v>
      </c>
      <c r="BH24" s="5">
        <v>0.5</v>
      </c>
      <c r="BI24" s="5">
        <v>341.4</v>
      </c>
      <c r="BJ24" s="5">
        <v>48</v>
      </c>
      <c r="BK24" s="5">
        <v>82.6</v>
      </c>
      <c r="BL24" s="5">
        <v>108.73</v>
      </c>
      <c r="BM24" s="5">
        <v>1.32</v>
      </c>
      <c r="BN24" s="5">
        <v>30.13</v>
      </c>
      <c r="BO24" s="5">
        <v>33.130000000000003</v>
      </c>
      <c r="BP24" s="5">
        <v>286.16000000000003</v>
      </c>
      <c r="BQ24" s="5">
        <v>53.334949999999999</v>
      </c>
      <c r="BR24" s="5">
        <v>141.0359</v>
      </c>
      <c r="BS24" s="5">
        <v>133.04249999999999</v>
      </c>
      <c r="BT24" s="5">
        <v>114.84699999999999</v>
      </c>
      <c r="BU24" s="5">
        <v>113.974</v>
      </c>
      <c r="BV24" s="5">
        <v>3.9183000000000003E-2</v>
      </c>
      <c r="BW24" s="5">
        <v>4.2917999999999998E-2</v>
      </c>
      <c r="BX24" s="5">
        <v>17.583490000000001</v>
      </c>
      <c r="BY24" s="5">
        <v>18.995360000000002</v>
      </c>
      <c r="BZ24" s="5">
        <v>0</v>
      </c>
      <c r="CA24" s="5">
        <v>0.93474800000000002</v>
      </c>
      <c r="CB24" s="5">
        <v>422.4665</v>
      </c>
      <c r="CC24" s="5">
        <v>427.66879999999998</v>
      </c>
      <c r="CD24" s="5">
        <v>21.08531</v>
      </c>
      <c r="CE24" s="5">
        <v>241.61</v>
      </c>
      <c r="CF24" s="5">
        <v>78.19</v>
      </c>
      <c r="CG24" s="5">
        <v>91.86</v>
      </c>
      <c r="CH24" s="5">
        <v>233.72</v>
      </c>
      <c r="CI24" s="5">
        <v>235.68</v>
      </c>
      <c r="CJ24" s="5">
        <v>240.59</v>
      </c>
      <c r="CK24" s="5">
        <v>255.7</v>
      </c>
      <c r="CL24" s="5">
        <v>243.45</v>
      </c>
      <c r="CM24" s="5">
        <v>240.79</v>
      </c>
      <c r="CN24" s="5">
        <v>212.55</v>
      </c>
      <c r="CO24" s="5">
        <v>22.07</v>
      </c>
      <c r="CP24" s="5">
        <v>95.8</v>
      </c>
      <c r="CQ24" s="5">
        <v>96.05</v>
      </c>
      <c r="CR24" s="5">
        <v>1.7</v>
      </c>
      <c r="CS24" s="5">
        <v>1.7</v>
      </c>
      <c r="CT24" s="5">
        <v>20.54</v>
      </c>
      <c r="CU24" s="5">
        <v>23.09</v>
      </c>
      <c r="CV24" s="5">
        <v>100.73</v>
      </c>
      <c r="CW24" s="5">
        <v>0.85069426599999998</v>
      </c>
      <c r="CX24" s="5">
        <v>3.6579853440000001</v>
      </c>
    </row>
    <row r="25" spans="1:102" x14ac:dyDescent="0.25">
      <c r="A25" s="5">
        <v>26</v>
      </c>
      <c r="B25" s="23">
        <v>3.6453703703703703E-2</v>
      </c>
      <c r="C25" s="5">
        <v>1</v>
      </c>
      <c r="D25" s="5">
        <v>35</v>
      </c>
      <c r="E25" s="5">
        <v>221</v>
      </c>
      <c r="F25" s="5">
        <v>221</v>
      </c>
      <c r="G25" s="5">
        <v>221</v>
      </c>
      <c r="H25" s="5">
        <v>82.6</v>
      </c>
      <c r="I25" s="5">
        <v>82.6</v>
      </c>
      <c r="J25" s="5">
        <v>1701</v>
      </c>
      <c r="K25" s="5">
        <v>33</v>
      </c>
      <c r="L25" s="5">
        <v>33</v>
      </c>
      <c r="M25" s="5">
        <v>0.28000000000000003</v>
      </c>
      <c r="N25" s="5">
        <v>0.28003299999999998</v>
      </c>
      <c r="O25" s="5">
        <v>1</v>
      </c>
      <c r="P25" s="5">
        <v>1.069061</v>
      </c>
      <c r="Q25" s="5">
        <v>-0.95</v>
      </c>
      <c r="R25" s="5">
        <v>-0.944824</v>
      </c>
      <c r="S25" s="5">
        <v>110.48</v>
      </c>
      <c r="T25" s="5">
        <v>110.48439999999999</v>
      </c>
      <c r="U25" s="5">
        <v>3.5</v>
      </c>
      <c r="V25" s="5">
        <v>3.5</v>
      </c>
      <c r="W25" s="5">
        <v>300</v>
      </c>
      <c r="X25" s="5">
        <v>300</v>
      </c>
      <c r="Y25" s="5">
        <v>3.5</v>
      </c>
      <c r="Z25" s="5">
        <v>3.5</v>
      </c>
      <c r="AA25" s="5">
        <v>300</v>
      </c>
      <c r="AB25" s="5">
        <v>300</v>
      </c>
      <c r="AC25" s="5">
        <v>0</v>
      </c>
      <c r="AD25" s="5">
        <v>87.532970000000006</v>
      </c>
      <c r="AE25" s="5">
        <v>0</v>
      </c>
      <c r="AF25" s="5">
        <v>87.523859999999999</v>
      </c>
      <c r="AG25" s="5">
        <v>45.45</v>
      </c>
      <c r="AH25" s="5">
        <v>0.21</v>
      </c>
      <c r="AI25" s="5">
        <v>48.65</v>
      </c>
      <c r="AJ25" s="5">
        <v>62.92</v>
      </c>
      <c r="AK25" s="5">
        <v>45.45</v>
      </c>
      <c r="AL25" s="5">
        <v>45.55</v>
      </c>
      <c r="AM25" s="5">
        <v>368.06</v>
      </c>
      <c r="AN25" s="5">
        <v>125.7873</v>
      </c>
      <c r="AO25" s="5">
        <v>24.49</v>
      </c>
      <c r="AP25" s="5">
        <v>61.58</v>
      </c>
      <c r="AQ25" s="5">
        <v>32.54</v>
      </c>
      <c r="AR25" s="5">
        <v>336.14</v>
      </c>
      <c r="AS25" s="5">
        <v>20.96</v>
      </c>
      <c r="AT25" s="5">
        <v>49.69</v>
      </c>
      <c r="AU25" s="5">
        <v>101.29</v>
      </c>
      <c r="AV25" s="5">
        <v>114.89</v>
      </c>
      <c r="AW25" s="5">
        <v>0.754</v>
      </c>
      <c r="AX25" s="5">
        <v>12.47</v>
      </c>
      <c r="AY25" s="5">
        <v>8.5094999999999992</v>
      </c>
      <c r="AZ25" s="5">
        <v>197.17</v>
      </c>
      <c r="BA25" s="5">
        <v>79.42</v>
      </c>
      <c r="BB25" s="5">
        <v>6.44</v>
      </c>
      <c r="BC25" s="5">
        <v>1.35</v>
      </c>
      <c r="BD25" s="5">
        <v>11.66</v>
      </c>
      <c r="BE25" s="5">
        <v>2.46</v>
      </c>
      <c r="BF25" s="5">
        <v>212.24</v>
      </c>
      <c r="BG25" s="5">
        <v>20.9</v>
      </c>
      <c r="BH25" s="5">
        <v>0.54</v>
      </c>
      <c r="BI25" s="5">
        <v>253.7</v>
      </c>
      <c r="BJ25" s="5">
        <v>33.700000000000003</v>
      </c>
      <c r="BK25" s="5">
        <v>84.4</v>
      </c>
      <c r="BL25" s="5">
        <v>88.83</v>
      </c>
      <c r="BM25" s="5">
        <v>1.41</v>
      </c>
      <c r="BN25" s="5">
        <v>30.2</v>
      </c>
      <c r="BO25" s="5">
        <v>34.86</v>
      </c>
      <c r="BP25" s="5">
        <v>346.11</v>
      </c>
      <c r="BQ25" s="5">
        <v>51.081359999999997</v>
      </c>
      <c r="BR25" s="5">
        <v>142.6112</v>
      </c>
      <c r="BS25" s="5">
        <v>88.128169999999997</v>
      </c>
      <c r="BT25" s="5">
        <v>72.993129999999994</v>
      </c>
      <c r="BU25" s="5">
        <v>72.431529999999995</v>
      </c>
      <c r="BV25" s="5">
        <v>3.9050000000000001E-2</v>
      </c>
      <c r="BW25" s="5">
        <v>4.3055000000000003E-2</v>
      </c>
      <c r="BX25" s="5">
        <v>28.449580000000001</v>
      </c>
      <c r="BY25" s="5">
        <v>18.995360000000002</v>
      </c>
      <c r="BZ25" s="5">
        <v>0</v>
      </c>
      <c r="CA25" s="5">
        <v>0.93851099999999998</v>
      </c>
      <c r="CB25" s="5">
        <v>452.07810000000001</v>
      </c>
      <c r="CC25" s="5">
        <v>460.88979999999998</v>
      </c>
      <c r="CD25" s="5">
        <v>35.448120000000003</v>
      </c>
      <c r="CE25" s="5">
        <v>351.73</v>
      </c>
      <c r="CF25" s="5">
        <v>78.17</v>
      </c>
      <c r="CG25" s="5">
        <v>92.58</v>
      </c>
      <c r="CH25" s="5">
        <v>338.26</v>
      </c>
      <c r="CI25" s="5">
        <v>330.7</v>
      </c>
      <c r="CJ25" s="5">
        <v>338.71</v>
      </c>
      <c r="CK25" s="5">
        <v>366.34</v>
      </c>
      <c r="CL25" s="5">
        <v>346.72</v>
      </c>
      <c r="CM25" s="5">
        <v>344.53</v>
      </c>
      <c r="CN25" s="5">
        <v>304.04000000000002</v>
      </c>
      <c r="CO25" s="5">
        <v>25.03</v>
      </c>
      <c r="CP25" s="5">
        <v>220.6</v>
      </c>
      <c r="CQ25" s="5">
        <v>221.05</v>
      </c>
      <c r="CR25" s="5">
        <v>4</v>
      </c>
      <c r="CS25" s="5">
        <v>4</v>
      </c>
      <c r="CT25" s="5">
        <v>23.02</v>
      </c>
      <c r="CU25" s="5">
        <v>13.35</v>
      </c>
      <c r="CV25" s="5">
        <v>100.49</v>
      </c>
      <c r="CW25" s="5">
        <v>0.823006193</v>
      </c>
      <c r="CX25" s="5">
        <v>2.024595235</v>
      </c>
    </row>
    <row r="26" spans="1:102" x14ac:dyDescent="0.25">
      <c r="A26" s="5">
        <v>30</v>
      </c>
      <c r="B26" s="23">
        <v>1.6475694444444446E-2</v>
      </c>
      <c r="C26" s="5">
        <v>1</v>
      </c>
      <c r="D26" s="5">
        <v>39</v>
      </c>
      <c r="E26" s="5">
        <v>235</v>
      </c>
      <c r="F26" s="5">
        <v>235</v>
      </c>
      <c r="G26" s="5">
        <v>235.1</v>
      </c>
      <c r="H26" s="5">
        <v>82.6</v>
      </c>
      <c r="I26" s="5">
        <v>82.6</v>
      </c>
      <c r="J26" s="5">
        <v>1701</v>
      </c>
      <c r="K26" s="5">
        <v>24</v>
      </c>
      <c r="L26" s="5">
        <v>24</v>
      </c>
      <c r="M26" s="5">
        <v>0.3</v>
      </c>
      <c r="N26" s="5">
        <v>0.30002600000000001</v>
      </c>
      <c r="O26" s="5">
        <v>1</v>
      </c>
      <c r="P26" s="5">
        <v>1.06904</v>
      </c>
      <c r="Q26" s="5">
        <v>-1.36</v>
      </c>
      <c r="R26" s="5">
        <v>-1.3623050000000001</v>
      </c>
      <c r="S26" s="5">
        <v>112.12</v>
      </c>
      <c r="T26" s="5">
        <v>112.125</v>
      </c>
      <c r="U26" s="5">
        <v>3.5</v>
      </c>
      <c r="V26" s="5">
        <v>3.5</v>
      </c>
      <c r="W26" s="5">
        <v>300</v>
      </c>
      <c r="X26" s="5">
        <v>300</v>
      </c>
      <c r="Y26" s="5">
        <v>3.5</v>
      </c>
      <c r="Z26" s="5">
        <v>3.5</v>
      </c>
      <c r="AA26" s="5">
        <v>300</v>
      </c>
      <c r="AB26" s="5">
        <v>300</v>
      </c>
      <c r="AC26" s="5">
        <v>0</v>
      </c>
      <c r="AD26" s="5">
        <v>84.838440000000006</v>
      </c>
      <c r="AE26" s="5">
        <v>0</v>
      </c>
      <c r="AF26" s="5">
        <v>84.838440000000006</v>
      </c>
      <c r="AG26" s="5">
        <v>42.91</v>
      </c>
      <c r="AH26" s="5">
        <v>0.21</v>
      </c>
      <c r="AI26" s="5">
        <v>46.63</v>
      </c>
      <c r="AJ26" s="5">
        <v>59.88</v>
      </c>
      <c r="AK26" s="5">
        <v>38.39</v>
      </c>
      <c r="AL26" s="5">
        <v>38.65</v>
      </c>
      <c r="AM26" s="5">
        <v>388.53</v>
      </c>
      <c r="AN26" s="5">
        <v>121.4973</v>
      </c>
      <c r="AO26" s="5">
        <v>20.14</v>
      </c>
      <c r="AP26" s="5">
        <v>58.05</v>
      </c>
      <c r="AQ26" s="5">
        <v>28.18</v>
      </c>
      <c r="AR26" s="5">
        <v>329.98</v>
      </c>
      <c r="AS26" s="5">
        <v>18.25</v>
      </c>
      <c r="AT26" s="5">
        <v>49.11</v>
      </c>
      <c r="AU26" s="5">
        <v>100.5</v>
      </c>
      <c r="AV26" s="5">
        <v>110.3</v>
      </c>
      <c r="AW26" s="5">
        <v>0.81899999999999995</v>
      </c>
      <c r="AX26" s="5">
        <v>13.83</v>
      </c>
      <c r="AY26" s="5">
        <v>9.8323999999999998</v>
      </c>
      <c r="AZ26" s="5">
        <v>210.59</v>
      </c>
      <c r="BA26" s="5">
        <v>52.49</v>
      </c>
      <c r="BB26" s="5">
        <v>6.87</v>
      </c>
      <c r="BC26" s="5">
        <v>1.38</v>
      </c>
      <c r="BD26" s="5">
        <v>11.09</v>
      </c>
      <c r="BE26" s="5">
        <v>2.2799999999999998</v>
      </c>
      <c r="BF26" s="5">
        <v>214.73</v>
      </c>
      <c r="BG26" s="5">
        <v>20.14</v>
      </c>
      <c r="BH26" s="5">
        <v>0.61</v>
      </c>
      <c r="BI26" s="5">
        <v>250.2</v>
      </c>
      <c r="BJ26" s="5">
        <v>31.5</v>
      </c>
      <c r="BK26" s="5">
        <v>84.9</v>
      </c>
      <c r="BL26" s="5">
        <v>83.23</v>
      </c>
      <c r="BM26" s="5">
        <v>1.36</v>
      </c>
      <c r="BN26" s="5">
        <v>30.23</v>
      </c>
      <c r="BO26" s="5">
        <v>35.25</v>
      </c>
      <c r="BP26" s="5">
        <v>340.55</v>
      </c>
      <c r="BQ26" s="5">
        <v>50.610570000000003</v>
      </c>
      <c r="BR26" s="5">
        <v>135.75550000000001</v>
      </c>
      <c r="BS26" s="5">
        <v>85.527969999999996</v>
      </c>
      <c r="BT26" s="5">
        <v>66.696240000000003</v>
      </c>
      <c r="BU26" s="5">
        <v>66.42841</v>
      </c>
      <c r="BV26" s="5">
        <v>4.3388000000000003E-2</v>
      </c>
      <c r="BW26" s="5">
        <v>4.9450000000000001E-2</v>
      </c>
      <c r="BX26" s="5">
        <v>30.180050000000001</v>
      </c>
      <c r="BY26" s="5">
        <v>18.995360000000002</v>
      </c>
      <c r="BZ26" s="5">
        <v>0</v>
      </c>
      <c r="CA26" s="5">
        <v>0.93896400000000002</v>
      </c>
      <c r="CB26" s="5">
        <v>437.49290000000002</v>
      </c>
      <c r="CC26" s="5">
        <v>446.73309999999998</v>
      </c>
      <c r="CD26" s="5">
        <v>37.179009999999998</v>
      </c>
      <c r="CE26" s="5">
        <v>372.1</v>
      </c>
      <c r="CF26" s="5">
        <v>76.88</v>
      </c>
      <c r="CG26" s="5">
        <v>91.74</v>
      </c>
      <c r="CH26" s="5">
        <v>347.49</v>
      </c>
      <c r="CI26" s="5">
        <v>344.48</v>
      </c>
      <c r="CJ26" s="5">
        <v>353.17</v>
      </c>
      <c r="CK26" s="5">
        <v>381.4</v>
      </c>
      <c r="CL26" s="5">
        <v>365.57</v>
      </c>
      <c r="CM26" s="5">
        <v>364.39</v>
      </c>
      <c r="CN26" s="5">
        <v>330.34</v>
      </c>
      <c r="CO26" s="5">
        <v>24.55</v>
      </c>
      <c r="CP26" s="5">
        <v>234.6</v>
      </c>
      <c r="CQ26" s="5">
        <v>235.05</v>
      </c>
      <c r="CR26" s="5">
        <v>4.2</v>
      </c>
      <c r="CS26" s="5">
        <v>4.2</v>
      </c>
      <c r="CT26" s="5">
        <v>22.71</v>
      </c>
      <c r="CU26" s="5">
        <v>14.13</v>
      </c>
      <c r="CV26" s="5">
        <v>100.46</v>
      </c>
      <c r="CW26" s="5">
        <v>0.82191484599999998</v>
      </c>
      <c r="CX26" s="5">
        <v>1.873965849</v>
      </c>
    </row>
    <row r="27" spans="1:102" x14ac:dyDescent="0.25">
      <c r="A27" s="5">
        <v>35</v>
      </c>
      <c r="B27" s="23">
        <v>1.980324074074074E-3</v>
      </c>
      <c r="C27" s="5">
        <v>1</v>
      </c>
      <c r="D27" s="5">
        <v>44</v>
      </c>
      <c r="E27" s="5">
        <v>249</v>
      </c>
      <c r="F27" s="5">
        <v>249</v>
      </c>
      <c r="G27" s="5">
        <v>249.1</v>
      </c>
      <c r="H27" s="5">
        <v>82.6</v>
      </c>
      <c r="I27" s="5">
        <v>82.6</v>
      </c>
      <c r="J27" s="5">
        <v>1701</v>
      </c>
      <c r="K27" s="5">
        <v>0.1</v>
      </c>
      <c r="L27" s="5">
        <v>0.1</v>
      </c>
      <c r="M27" s="5">
        <v>0.26</v>
      </c>
      <c r="N27" s="5">
        <v>0.26006400000000002</v>
      </c>
      <c r="O27" s="5">
        <v>1</v>
      </c>
      <c r="P27" s="5">
        <v>1.0691520000000001</v>
      </c>
      <c r="Q27" s="5">
        <v>-1.76</v>
      </c>
      <c r="R27" s="5">
        <v>-1.7578130000000001</v>
      </c>
      <c r="S27" s="5">
        <v>113.76</v>
      </c>
      <c r="T27" s="5">
        <v>113.76560000000001</v>
      </c>
      <c r="U27" s="5">
        <v>3.5</v>
      </c>
      <c r="V27" s="5">
        <v>3.5</v>
      </c>
      <c r="W27" s="5">
        <v>300</v>
      </c>
      <c r="X27" s="5">
        <v>300</v>
      </c>
      <c r="Y27" s="5">
        <v>3.5</v>
      </c>
      <c r="Z27" s="5">
        <v>3.5</v>
      </c>
      <c r="AA27" s="5">
        <v>300</v>
      </c>
      <c r="AB27" s="5">
        <v>300</v>
      </c>
      <c r="AC27" s="5">
        <v>0</v>
      </c>
      <c r="AD27" s="5">
        <v>78.089789999999994</v>
      </c>
      <c r="AE27" s="5">
        <v>0</v>
      </c>
      <c r="AF27" s="5">
        <v>78.089789999999994</v>
      </c>
      <c r="AG27" s="5">
        <v>40.36</v>
      </c>
      <c r="AH27" s="5">
        <v>0.21</v>
      </c>
      <c r="AI27" s="5">
        <v>43.41</v>
      </c>
      <c r="AJ27" s="5">
        <v>52.06</v>
      </c>
      <c r="AK27" s="5">
        <v>26.62</v>
      </c>
      <c r="AL27" s="5">
        <v>27.12</v>
      </c>
      <c r="AM27" s="5">
        <v>433.77</v>
      </c>
      <c r="AN27" s="5">
        <v>111.8587</v>
      </c>
      <c r="AO27" s="5">
        <v>10.64</v>
      </c>
      <c r="AP27" s="5">
        <v>50.18</v>
      </c>
      <c r="AQ27" s="5">
        <v>18.21</v>
      </c>
      <c r="AR27" s="5">
        <v>308.42</v>
      </c>
      <c r="AS27" s="5">
        <v>15.99</v>
      </c>
      <c r="AT27" s="5">
        <v>49.36</v>
      </c>
      <c r="AU27" s="5">
        <v>98.33</v>
      </c>
      <c r="AV27" s="5">
        <v>110.88</v>
      </c>
      <c r="AW27" s="5">
        <v>0.84</v>
      </c>
      <c r="AX27" s="5">
        <v>14.27</v>
      </c>
      <c r="AY27" s="5">
        <v>10.279</v>
      </c>
      <c r="AZ27" s="5">
        <v>233.05</v>
      </c>
      <c r="BA27" s="5">
        <v>31.62</v>
      </c>
      <c r="BB27" s="5">
        <v>7.65</v>
      </c>
      <c r="BC27" s="5">
        <v>1.32</v>
      </c>
      <c r="BD27" s="5">
        <v>9.9</v>
      </c>
      <c r="BE27" s="5">
        <v>2.17</v>
      </c>
      <c r="BF27" s="5">
        <v>236.24</v>
      </c>
      <c r="BG27" s="5">
        <v>17.27</v>
      </c>
      <c r="BH27" s="5">
        <v>0.63</v>
      </c>
      <c r="BI27" s="5">
        <v>251.2</v>
      </c>
      <c r="BJ27" s="5">
        <v>27.7</v>
      </c>
      <c r="BK27" s="5">
        <v>83.3</v>
      </c>
      <c r="BL27" s="5">
        <v>64.38</v>
      </c>
      <c r="BM27" s="5">
        <v>1.25</v>
      </c>
      <c r="BN27" s="5">
        <v>30.2</v>
      </c>
      <c r="BO27" s="5">
        <v>36.08</v>
      </c>
      <c r="BP27" s="5">
        <v>319.61</v>
      </c>
      <c r="BQ27" s="5">
        <v>51.23104</v>
      </c>
      <c r="BR27" s="5">
        <v>124.6467</v>
      </c>
      <c r="BS27" s="5">
        <v>81.803319999999999</v>
      </c>
      <c r="BT27" s="5">
        <v>58.527670000000001</v>
      </c>
      <c r="BU27" s="5">
        <v>61.339660000000002</v>
      </c>
      <c r="BV27" s="5">
        <v>4.9592999999999998E-2</v>
      </c>
      <c r="BW27" s="5">
        <v>3.7288000000000002E-2</v>
      </c>
      <c r="BX27" s="5">
        <v>32.660159999999998</v>
      </c>
      <c r="BY27" s="5">
        <v>18.995360000000002</v>
      </c>
      <c r="BZ27" s="5">
        <v>0</v>
      </c>
      <c r="CA27" s="5">
        <v>0.93961399999999995</v>
      </c>
      <c r="CB27" s="5">
        <v>402.30189999999999</v>
      </c>
      <c r="CC27" s="5">
        <v>412.1669</v>
      </c>
      <c r="CD27" s="5">
        <v>39.659370000000003</v>
      </c>
      <c r="CE27" s="5">
        <v>412.05</v>
      </c>
      <c r="CF27" s="5">
        <v>76.53</v>
      </c>
      <c r="CG27" s="5">
        <v>89.39</v>
      </c>
      <c r="CH27" s="5">
        <v>378.16</v>
      </c>
      <c r="CI27" s="5">
        <v>374.9</v>
      </c>
      <c r="CJ27" s="5">
        <v>386.5</v>
      </c>
      <c r="CK27" s="5">
        <v>426.87</v>
      </c>
      <c r="CL27" s="5">
        <v>403.11</v>
      </c>
      <c r="CM27" s="5">
        <v>405.02</v>
      </c>
      <c r="CN27" s="5">
        <v>378.67</v>
      </c>
      <c r="CO27" s="5">
        <v>24.52</v>
      </c>
      <c r="CP27" s="5">
        <v>248.5</v>
      </c>
      <c r="CQ27" s="5">
        <v>249.05</v>
      </c>
      <c r="CR27" s="5">
        <v>4.5</v>
      </c>
      <c r="CS27" s="5">
        <v>4.5</v>
      </c>
      <c r="CT27" s="5">
        <v>23.21</v>
      </c>
      <c r="CU27" s="5">
        <v>14.6</v>
      </c>
      <c r="CV27" s="5">
        <v>100.41</v>
      </c>
      <c r="CW27" s="5">
        <v>0.818978863</v>
      </c>
      <c r="CX27" s="5">
        <v>1.777184133</v>
      </c>
    </row>
    <row r="28" spans="1:102" x14ac:dyDescent="0.25">
      <c r="A28" s="5">
        <v>17</v>
      </c>
      <c r="B28" s="23">
        <v>2.7907407407407409E-2</v>
      </c>
      <c r="C28" s="5">
        <v>1</v>
      </c>
      <c r="D28" s="5">
        <v>27</v>
      </c>
      <c r="E28" s="5">
        <v>185</v>
      </c>
      <c r="F28" s="5">
        <v>185</v>
      </c>
      <c r="G28" s="5">
        <v>185</v>
      </c>
      <c r="H28" s="5">
        <v>82.6</v>
      </c>
      <c r="I28" s="5">
        <v>82.6</v>
      </c>
      <c r="J28" s="5">
        <v>1701</v>
      </c>
      <c r="K28" s="5">
        <v>59</v>
      </c>
      <c r="L28" s="5">
        <v>59</v>
      </c>
      <c r="M28" s="5">
        <v>0.26</v>
      </c>
      <c r="N28" s="5">
        <v>0.25989099999999998</v>
      </c>
      <c r="O28" s="5">
        <v>1</v>
      </c>
      <c r="P28" s="5">
        <v>1.069164</v>
      </c>
      <c r="Q28" s="5">
        <v>0.04</v>
      </c>
      <c r="R28" s="5">
        <v>4.3944999999999998E-2</v>
      </c>
      <c r="S28" s="5">
        <v>107.08</v>
      </c>
      <c r="T28" s="5">
        <v>107.07810000000001</v>
      </c>
      <c r="U28" s="5">
        <v>3.5</v>
      </c>
      <c r="V28" s="5">
        <v>3.5</v>
      </c>
      <c r="W28" s="5">
        <v>300</v>
      </c>
      <c r="X28" s="5">
        <v>300</v>
      </c>
      <c r="Y28" s="5">
        <v>3.5</v>
      </c>
      <c r="Z28" s="5">
        <v>3.5</v>
      </c>
      <c r="AA28" s="5">
        <v>300</v>
      </c>
      <c r="AB28" s="5">
        <v>300</v>
      </c>
      <c r="AC28" s="5">
        <v>0</v>
      </c>
      <c r="AD28" s="5">
        <v>92.545569999999998</v>
      </c>
      <c r="AE28" s="5">
        <v>0</v>
      </c>
      <c r="AF28" s="5">
        <v>92.545569999999998</v>
      </c>
      <c r="AG28" s="5">
        <v>52</v>
      </c>
      <c r="AH28" s="5">
        <v>0.22</v>
      </c>
      <c r="AI28" s="5">
        <v>52.45</v>
      </c>
      <c r="AJ28" s="5">
        <v>69.930000000000007</v>
      </c>
      <c r="AK28" s="5">
        <v>76.239999999999995</v>
      </c>
      <c r="AL28" s="5">
        <v>75.42</v>
      </c>
      <c r="AM28" s="5">
        <v>332.34</v>
      </c>
      <c r="AN28" s="5">
        <v>138.48269999999999</v>
      </c>
      <c r="AO28" s="5">
        <v>37.74</v>
      </c>
      <c r="AP28" s="5">
        <v>72.81</v>
      </c>
      <c r="AQ28" s="5">
        <v>45.57</v>
      </c>
      <c r="AR28" s="5">
        <v>327.45999999999998</v>
      </c>
      <c r="AS28" s="5">
        <v>38.5</v>
      </c>
      <c r="AT28" s="5">
        <v>63.65</v>
      </c>
      <c r="AU28" s="5">
        <v>106.43</v>
      </c>
      <c r="AV28" s="5">
        <v>119.6</v>
      </c>
      <c r="AW28" s="5">
        <v>0.88500000000000001</v>
      </c>
      <c r="AX28" s="5">
        <v>15.24</v>
      </c>
      <c r="AY28" s="5">
        <v>8.6984999999999992</v>
      </c>
      <c r="AZ28" s="5">
        <v>157.19999999999999</v>
      </c>
      <c r="BA28" s="5">
        <v>71.83</v>
      </c>
      <c r="BB28" s="5">
        <v>6.04</v>
      </c>
      <c r="BC28" s="5">
        <v>1.73</v>
      </c>
      <c r="BD28" s="5">
        <v>12.25</v>
      </c>
      <c r="BE28" s="5">
        <v>2.2400000000000002</v>
      </c>
      <c r="BF28" s="5">
        <v>164.42</v>
      </c>
      <c r="BG28" s="5">
        <v>28.61</v>
      </c>
      <c r="BH28" s="5">
        <v>0.55000000000000004</v>
      </c>
      <c r="BI28" s="5">
        <v>274.7</v>
      </c>
      <c r="BJ28" s="5">
        <v>36.200000000000003</v>
      </c>
      <c r="BK28" s="5">
        <v>85</v>
      </c>
      <c r="BL28" s="5">
        <v>131.28</v>
      </c>
      <c r="BM28" s="5">
        <v>1.51</v>
      </c>
      <c r="BN28" s="5">
        <v>30.54</v>
      </c>
      <c r="BO28" s="5">
        <v>34.46</v>
      </c>
      <c r="BP28" s="5">
        <v>336.54</v>
      </c>
      <c r="BQ28" s="5">
        <v>63.465159999999997</v>
      </c>
      <c r="BR28" s="5">
        <v>171.0814</v>
      </c>
      <c r="BS28" s="5">
        <v>95.490589999999997</v>
      </c>
      <c r="BT28" s="5">
        <v>90.231409999999997</v>
      </c>
      <c r="BU28" s="5">
        <v>89.082470000000001</v>
      </c>
      <c r="BV28" s="5">
        <v>3.8880999999999999E-2</v>
      </c>
      <c r="BW28" s="5">
        <v>3.9427999999999998E-2</v>
      </c>
      <c r="BX28" s="5">
        <v>23.542860000000001</v>
      </c>
      <c r="BY28" s="5">
        <v>18.995360000000002</v>
      </c>
      <c r="BZ28" s="5">
        <v>0</v>
      </c>
      <c r="CA28" s="5">
        <v>0.93722399999999995</v>
      </c>
      <c r="CB28" s="5">
        <v>478.74169999999998</v>
      </c>
      <c r="CC28" s="5">
        <v>486.31560000000002</v>
      </c>
      <c r="CD28" s="5">
        <v>30.542079999999999</v>
      </c>
      <c r="CE28" s="5">
        <v>328.81</v>
      </c>
      <c r="CF28" s="5">
        <v>87.09</v>
      </c>
      <c r="CG28" s="5">
        <v>99.6</v>
      </c>
      <c r="CH28" s="5">
        <v>319.16000000000003</v>
      </c>
      <c r="CI28" s="5">
        <v>311.85000000000002</v>
      </c>
      <c r="CJ28" s="5">
        <v>316.87</v>
      </c>
      <c r="CK28" s="5">
        <v>330.35</v>
      </c>
      <c r="CL28" s="5">
        <v>324.07</v>
      </c>
      <c r="CM28" s="5">
        <v>329.55</v>
      </c>
      <c r="CN28" s="5">
        <v>264.25</v>
      </c>
      <c r="CO28" s="5">
        <v>24.32</v>
      </c>
      <c r="CP28" s="5">
        <v>184.7</v>
      </c>
      <c r="CQ28" s="5">
        <v>185.05</v>
      </c>
      <c r="CR28" s="5">
        <v>3.3</v>
      </c>
      <c r="CS28" s="5">
        <v>3.3</v>
      </c>
      <c r="CT28" s="5">
        <v>22.51</v>
      </c>
      <c r="CU28" s="5">
        <v>16.21</v>
      </c>
      <c r="CV28" s="5">
        <v>100.55</v>
      </c>
      <c r="CW28" s="5">
        <v>0.83011875199999996</v>
      </c>
      <c r="CX28" s="5">
        <v>1.859466004</v>
      </c>
    </row>
    <row r="29" spans="1:102" x14ac:dyDescent="0.25">
      <c r="A29" s="5">
        <v>7</v>
      </c>
      <c r="B29" s="23">
        <v>2.4366898148148144E-2</v>
      </c>
      <c r="C29" s="5">
        <v>1</v>
      </c>
      <c r="D29" s="5">
        <v>7</v>
      </c>
      <c r="E29" s="5">
        <v>87</v>
      </c>
      <c r="F29" s="5">
        <v>87</v>
      </c>
      <c r="G29" s="5">
        <v>87</v>
      </c>
      <c r="H29" s="5">
        <v>82.6</v>
      </c>
      <c r="I29" s="5">
        <v>82.6</v>
      </c>
      <c r="J29" s="5">
        <v>1701</v>
      </c>
      <c r="K29" s="5">
        <v>70</v>
      </c>
      <c r="L29" s="5">
        <v>70</v>
      </c>
      <c r="M29" s="5">
        <v>0.27</v>
      </c>
      <c r="N29" s="5">
        <v>0.27006400000000003</v>
      </c>
      <c r="O29" s="5">
        <v>1</v>
      </c>
      <c r="P29" s="5">
        <v>1.0692429999999999</v>
      </c>
      <c r="Q29" s="5">
        <v>2.19</v>
      </c>
      <c r="R29" s="5">
        <v>2.1862789999999999</v>
      </c>
      <c r="S29" s="5">
        <v>101.42</v>
      </c>
      <c r="T29" s="5">
        <v>101.42189999999999</v>
      </c>
      <c r="U29" s="5">
        <v>3.5</v>
      </c>
      <c r="V29" s="5">
        <v>3.5</v>
      </c>
      <c r="W29" s="5">
        <v>312.48</v>
      </c>
      <c r="X29" s="5">
        <v>312</v>
      </c>
      <c r="Y29" s="5">
        <v>0</v>
      </c>
      <c r="Z29" s="5">
        <v>0</v>
      </c>
      <c r="AA29" s="5">
        <v>300</v>
      </c>
      <c r="AB29" s="5">
        <v>300</v>
      </c>
      <c r="AC29" s="5">
        <v>0</v>
      </c>
      <c r="AD29" s="5">
        <v>87.380989999999997</v>
      </c>
      <c r="AE29" s="5">
        <v>0</v>
      </c>
      <c r="AF29" s="5">
        <v>87.380989999999997</v>
      </c>
      <c r="AG29" s="5">
        <v>69.819999999999993</v>
      </c>
      <c r="AH29" s="5">
        <v>0.25</v>
      </c>
      <c r="AI29" s="5">
        <v>49.69</v>
      </c>
      <c r="AJ29" s="5">
        <v>60.14</v>
      </c>
      <c r="AK29" s="5">
        <v>77.650000000000006</v>
      </c>
      <c r="AL29" s="5">
        <v>75.95</v>
      </c>
      <c r="AM29" s="5">
        <v>271.14</v>
      </c>
      <c r="AN29" s="5">
        <v>128.71459999999999</v>
      </c>
      <c r="AO29" s="5">
        <v>27.74</v>
      </c>
      <c r="AP29" s="5">
        <v>59.16</v>
      </c>
      <c r="AQ29" s="5">
        <v>33.79</v>
      </c>
      <c r="AR29" s="5">
        <v>262.51</v>
      </c>
      <c r="AS29" s="5">
        <v>49.91</v>
      </c>
      <c r="AT29" s="5">
        <v>60.14</v>
      </c>
      <c r="AU29" s="5">
        <v>103.52</v>
      </c>
      <c r="AV29" s="5">
        <v>119.69</v>
      </c>
      <c r="AW29" s="5">
        <v>1.0840000000000001</v>
      </c>
      <c r="AX29" s="5">
        <v>19.850000000000001</v>
      </c>
      <c r="AY29" s="5">
        <v>14.0777</v>
      </c>
      <c r="AZ29" s="5">
        <v>237.98</v>
      </c>
      <c r="BA29" s="5">
        <v>69.540000000000006</v>
      </c>
      <c r="BB29" s="5">
        <v>5</v>
      </c>
      <c r="BC29" s="5">
        <v>1.8</v>
      </c>
      <c r="BD29" s="5">
        <v>13.71</v>
      </c>
      <c r="BE29" s="5">
        <v>3.29</v>
      </c>
      <c r="BF29" s="5">
        <v>138.33000000000001</v>
      </c>
      <c r="BG29" s="5">
        <v>35.93</v>
      </c>
      <c r="BH29" s="5">
        <v>0.82</v>
      </c>
      <c r="BI29" s="5">
        <v>387</v>
      </c>
      <c r="BJ29" s="5">
        <v>43.8</v>
      </c>
      <c r="BK29" s="5">
        <v>80.7</v>
      </c>
      <c r="BL29" s="5">
        <v>147.29</v>
      </c>
      <c r="BM29" s="5">
        <v>1.42</v>
      </c>
      <c r="BN29" s="5">
        <v>30.61</v>
      </c>
      <c r="BO29" s="5">
        <v>33.53</v>
      </c>
      <c r="BP29" s="5">
        <v>268.60000000000002</v>
      </c>
      <c r="BQ29" s="5">
        <v>59.253540000000001</v>
      </c>
      <c r="BR29" s="5">
        <v>171.8811</v>
      </c>
      <c r="BS29" s="5">
        <v>131.68369999999999</v>
      </c>
      <c r="BT29" s="5">
        <v>121.0686</v>
      </c>
      <c r="BU29" s="5">
        <v>119.7517</v>
      </c>
      <c r="BV29" s="5">
        <v>3.9176999999999997E-2</v>
      </c>
      <c r="BW29" s="5">
        <v>4.0873E-2</v>
      </c>
      <c r="BX29" s="5">
        <v>17.850519999999999</v>
      </c>
      <c r="BY29" s="5">
        <v>18.995360000000002</v>
      </c>
      <c r="BZ29" s="5">
        <v>0</v>
      </c>
      <c r="CA29" s="5">
        <v>0.93481700000000001</v>
      </c>
      <c r="CB29" s="5">
        <v>449.44850000000002</v>
      </c>
      <c r="CC29" s="5">
        <v>454.71620000000001</v>
      </c>
      <c r="CD29" s="5">
        <v>21.350989999999999</v>
      </c>
      <c r="CE29" s="5">
        <v>259.02999999999997</v>
      </c>
      <c r="CF29" s="5">
        <v>83.24</v>
      </c>
      <c r="CG29" s="5">
        <v>97.07</v>
      </c>
      <c r="CH29" s="5">
        <v>242.54</v>
      </c>
      <c r="CI29" s="5">
        <v>242.65</v>
      </c>
      <c r="CJ29" s="5">
        <v>249.28</v>
      </c>
      <c r="CK29" s="5">
        <v>270.92</v>
      </c>
      <c r="CL29" s="5">
        <v>257.42</v>
      </c>
      <c r="CM29" s="5">
        <v>255.05</v>
      </c>
      <c r="CN29" s="5">
        <v>212.27</v>
      </c>
      <c r="CO29" s="5">
        <v>21.54</v>
      </c>
      <c r="CP29" s="5">
        <v>86.7</v>
      </c>
      <c r="CQ29" s="5">
        <v>87.05</v>
      </c>
      <c r="CR29" s="5">
        <v>1.6</v>
      </c>
      <c r="CS29" s="5">
        <v>1.6</v>
      </c>
      <c r="CT29" s="5">
        <v>20.010000000000002</v>
      </c>
      <c r="CU29" s="5">
        <v>23.12</v>
      </c>
      <c r="CV29" s="5">
        <v>100.76</v>
      </c>
      <c r="CW29" s="5">
        <v>0.84533968100000001</v>
      </c>
      <c r="CX29" s="5">
        <v>2.7811675500000002</v>
      </c>
    </row>
    <row r="30" spans="1:102" x14ac:dyDescent="0.25">
      <c r="A30" s="5">
        <v>8</v>
      </c>
      <c r="B30" s="23">
        <v>2.9787037037037032E-2</v>
      </c>
      <c r="C30" s="5">
        <v>1</v>
      </c>
      <c r="D30" s="5">
        <v>8</v>
      </c>
      <c r="E30" s="5">
        <v>93</v>
      </c>
      <c r="F30" s="5">
        <v>93</v>
      </c>
      <c r="G30" s="5">
        <v>93</v>
      </c>
      <c r="H30" s="5">
        <v>82.6</v>
      </c>
      <c r="I30" s="5">
        <v>82.6</v>
      </c>
      <c r="J30" s="5">
        <v>1701</v>
      </c>
      <c r="K30" s="5">
        <v>78</v>
      </c>
      <c r="L30" s="5">
        <v>78</v>
      </c>
      <c r="M30" s="5">
        <v>0.2</v>
      </c>
      <c r="N30" s="5">
        <v>0.20010900000000001</v>
      </c>
      <c r="O30" s="5">
        <v>1</v>
      </c>
      <c r="P30" s="5">
        <v>1.069178</v>
      </c>
      <c r="Q30" s="5">
        <v>2.2000000000000002</v>
      </c>
      <c r="R30" s="5">
        <v>2.1972659999999999</v>
      </c>
      <c r="S30" s="5">
        <v>101.62</v>
      </c>
      <c r="T30" s="5">
        <v>101.625</v>
      </c>
      <c r="U30" s="5">
        <v>3.5</v>
      </c>
      <c r="V30" s="5">
        <v>3.5</v>
      </c>
      <c r="W30" s="5">
        <v>306.72000000000003</v>
      </c>
      <c r="X30" s="5">
        <v>307</v>
      </c>
      <c r="Y30" s="5">
        <v>0</v>
      </c>
      <c r="Z30" s="5">
        <v>0</v>
      </c>
      <c r="AA30" s="5">
        <v>300</v>
      </c>
      <c r="AB30" s="5">
        <v>300</v>
      </c>
      <c r="AC30" s="5">
        <v>0</v>
      </c>
      <c r="AD30" s="5">
        <v>93.396100000000004</v>
      </c>
      <c r="AE30" s="5">
        <v>0</v>
      </c>
      <c r="AF30" s="5">
        <v>93.396100000000004</v>
      </c>
      <c r="AG30" s="5">
        <v>68.73</v>
      </c>
      <c r="AH30" s="5">
        <v>0.25</v>
      </c>
      <c r="AI30" s="5">
        <v>52.47</v>
      </c>
      <c r="AJ30" s="5">
        <v>67.180000000000007</v>
      </c>
      <c r="AK30" s="5">
        <v>126.2</v>
      </c>
      <c r="AL30" s="5">
        <v>124.7</v>
      </c>
      <c r="AM30" s="5">
        <v>306.85000000000002</v>
      </c>
      <c r="AN30" s="5">
        <v>139.0163</v>
      </c>
      <c r="AO30" s="5">
        <v>38.18</v>
      </c>
      <c r="AP30" s="5">
        <v>68.8</v>
      </c>
      <c r="AQ30" s="5">
        <v>44.48</v>
      </c>
      <c r="AR30" s="5">
        <v>278.08999999999997</v>
      </c>
      <c r="AS30" s="5">
        <v>88.02</v>
      </c>
      <c r="AT30" s="5">
        <v>62.47</v>
      </c>
      <c r="AU30" s="5">
        <v>106.98</v>
      </c>
      <c r="AV30" s="5">
        <v>111.71</v>
      </c>
      <c r="AW30" s="5">
        <v>1.3220000000000001</v>
      </c>
      <c r="AX30" s="5">
        <v>26.03</v>
      </c>
      <c r="AY30" s="5">
        <v>20.107199999999999</v>
      </c>
      <c r="AZ30" s="5">
        <v>217.35</v>
      </c>
      <c r="BA30" s="5">
        <v>62.14</v>
      </c>
      <c r="BB30" s="5">
        <v>5.42</v>
      </c>
      <c r="BC30" s="5">
        <v>1.99</v>
      </c>
      <c r="BD30" s="5">
        <v>13.14</v>
      </c>
      <c r="BE30" s="5">
        <v>3.17</v>
      </c>
      <c r="BF30" s="5">
        <v>135.63</v>
      </c>
      <c r="BG30" s="5">
        <v>36.630000000000003</v>
      </c>
      <c r="BH30" s="5">
        <v>1.0900000000000001</v>
      </c>
      <c r="BI30" s="5">
        <v>414</v>
      </c>
      <c r="BJ30" s="5">
        <v>40.5</v>
      </c>
      <c r="BK30" s="5">
        <v>80.099999999999994</v>
      </c>
      <c r="BL30" s="5">
        <v>160.82</v>
      </c>
      <c r="BM30" s="5">
        <v>1.53</v>
      </c>
      <c r="BN30" s="5">
        <v>30.77</v>
      </c>
      <c r="BO30" s="5">
        <v>33.880000000000003</v>
      </c>
      <c r="BP30" s="5">
        <v>285.01</v>
      </c>
      <c r="BQ30" s="5">
        <v>61.515779999999999</v>
      </c>
      <c r="BR30" s="5">
        <v>221.09899999999999</v>
      </c>
      <c r="BS30" s="5">
        <v>115.9546</v>
      </c>
      <c r="BT30" s="5">
        <v>113.8887</v>
      </c>
      <c r="BU30" s="5">
        <v>112.3096</v>
      </c>
      <c r="BV30" s="5">
        <v>3.9128000000000003E-2</v>
      </c>
      <c r="BW30" s="5">
        <v>3.8732999999999997E-2</v>
      </c>
      <c r="BX30" s="5">
        <v>20.928129999999999</v>
      </c>
      <c r="BY30" s="5">
        <v>18.995360000000002</v>
      </c>
      <c r="BZ30" s="5">
        <v>0</v>
      </c>
      <c r="CA30" s="5">
        <v>0.93562400000000001</v>
      </c>
      <c r="CB30" s="5">
        <v>482.5625</v>
      </c>
      <c r="CC30" s="5">
        <v>488.59960000000001</v>
      </c>
      <c r="CD30" s="5">
        <v>24.429690000000001</v>
      </c>
      <c r="CE30" s="5">
        <v>290.98</v>
      </c>
      <c r="CF30" s="5">
        <v>85.76</v>
      </c>
      <c r="CG30" s="5">
        <v>100.83</v>
      </c>
      <c r="CH30" s="5">
        <v>275.51</v>
      </c>
      <c r="CI30" s="5">
        <v>277.29000000000002</v>
      </c>
      <c r="CJ30" s="5">
        <v>286.89</v>
      </c>
      <c r="CK30" s="5">
        <v>300.92</v>
      </c>
      <c r="CL30" s="5">
        <v>291.91000000000003</v>
      </c>
      <c r="CM30" s="5">
        <v>288.45</v>
      </c>
      <c r="CN30" s="5">
        <v>232.58</v>
      </c>
      <c r="CO30" s="5">
        <v>22.12</v>
      </c>
      <c r="CP30" s="5">
        <v>92.7</v>
      </c>
      <c r="CQ30" s="5">
        <v>93.05</v>
      </c>
      <c r="CR30" s="5">
        <v>1.7</v>
      </c>
      <c r="CS30" s="5">
        <v>1.7</v>
      </c>
      <c r="CT30" s="5">
        <v>20.54</v>
      </c>
      <c r="CU30" s="5">
        <v>23.25</v>
      </c>
      <c r="CV30" s="5">
        <v>100.75</v>
      </c>
      <c r="CW30" s="5">
        <v>0.84362714299999997</v>
      </c>
      <c r="CX30" s="5">
        <v>2.6742980429999998</v>
      </c>
    </row>
    <row r="31" spans="1:102" x14ac:dyDescent="0.25">
      <c r="A31" s="5">
        <v>2</v>
      </c>
      <c r="B31" s="23">
        <v>3.8922453703703702E-2</v>
      </c>
      <c r="C31" s="5">
        <v>1</v>
      </c>
      <c r="D31" s="5">
        <v>2</v>
      </c>
      <c r="E31" s="5">
        <v>59</v>
      </c>
      <c r="F31" s="5">
        <v>59</v>
      </c>
      <c r="G31" s="5">
        <v>59</v>
      </c>
      <c r="H31" s="5">
        <v>82.6</v>
      </c>
      <c r="I31" s="5">
        <v>82.6</v>
      </c>
      <c r="J31" s="5">
        <v>1701</v>
      </c>
      <c r="K31" s="5">
        <v>83</v>
      </c>
      <c r="L31" s="5">
        <v>83</v>
      </c>
      <c r="M31" s="5">
        <v>0.25</v>
      </c>
      <c r="N31" s="5">
        <v>0.24996299999999999</v>
      </c>
      <c r="O31" s="5">
        <v>1</v>
      </c>
      <c r="P31" s="5">
        <v>1.0692200000000001</v>
      </c>
      <c r="Q31" s="5">
        <v>2.1800000000000002</v>
      </c>
      <c r="R31" s="5">
        <v>2.1752929999999999</v>
      </c>
      <c r="S31" s="5">
        <v>100.49</v>
      </c>
      <c r="T31" s="5">
        <v>100.48439999999999</v>
      </c>
      <c r="U31" s="5">
        <v>3.5</v>
      </c>
      <c r="V31" s="5">
        <v>3.5</v>
      </c>
      <c r="W31" s="5">
        <v>339.37</v>
      </c>
      <c r="X31" s="5">
        <v>339</v>
      </c>
      <c r="Y31" s="5">
        <v>0</v>
      </c>
      <c r="Z31" s="5">
        <v>0</v>
      </c>
      <c r="AA31" s="5">
        <v>300</v>
      </c>
      <c r="AB31" s="5">
        <v>300</v>
      </c>
      <c r="AC31" s="5">
        <v>0</v>
      </c>
      <c r="AD31" s="5">
        <v>82.215159999999997</v>
      </c>
      <c r="AE31" s="5">
        <v>0</v>
      </c>
      <c r="AF31" s="5">
        <v>82.215159999999997</v>
      </c>
      <c r="AG31" s="5">
        <v>74.91</v>
      </c>
      <c r="AH31" s="5">
        <v>0.25</v>
      </c>
      <c r="AI31" s="5">
        <v>46.45</v>
      </c>
      <c r="AJ31" s="5">
        <v>54.28</v>
      </c>
      <c r="AK31" s="5">
        <v>106.18</v>
      </c>
      <c r="AL31" s="5">
        <v>103.88</v>
      </c>
      <c r="AM31" s="5">
        <v>293.82</v>
      </c>
      <c r="AN31" s="5">
        <v>123.7393</v>
      </c>
      <c r="AO31" s="5">
        <v>23.05</v>
      </c>
      <c r="AP31" s="5">
        <v>55.13</v>
      </c>
      <c r="AQ31" s="5">
        <v>27.91</v>
      </c>
      <c r="AR31" s="5">
        <v>202.01</v>
      </c>
      <c r="AS31" s="5">
        <v>83.13</v>
      </c>
      <c r="AT31" s="5">
        <v>68.37</v>
      </c>
      <c r="AU31" s="5">
        <v>107.19</v>
      </c>
      <c r="AV31" s="5">
        <v>115.86</v>
      </c>
      <c r="AW31" s="5">
        <v>1.9810000000000001</v>
      </c>
      <c r="AX31" s="5">
        <v>47.73</v>
      </c>
      <c r="AY31" s="5">
        <v>35.063299999999998</v>
      </c>
      <c r="AZ31" s="5">
        <v>423.73</v>
      </c>
      <c r="BA31" s="5">
        <v>90.55</v>
      </c>
      <c r="BB31" s="5">
        <v>6.15</v>
      </c>
      <c r="BC31" s="5">
        <v>2.89</v>
      </c>
      <c r="BD31" s="5">
        <v>12.14</v>
      </c>
      <c r="BE31" s="5">
        <v>1.89</v>
      </c>
      <c r="BF31" s="5">
        <v>72.02</v>
      </c>
      <c r="BG31" s="5">
        <v>46.96</v>
      </c>
      <c r="BH31" s="5">
        <v>1.6</v>
      </c>
      <c r="BI31" s="5">
        <v>545.6</v>
      </c>
      <c r="BJ31" s="5">
        <v>35.200000000000003</v>
      </c>
      <c r="BK31" s="5">
        <v>77.2</v>
      </c>
      <c r="BL31" s="5">
        <v>178.84</v>
      </c>
      <c r="BM31" s="5">
        <v>1.38</v>
      </c>
      <c r="BN31" s="5">
        <v>31.62</v>
      </c>
      <c r="BO31" s="5">
        <v>34.61</v>
      </c>
      <c r="BP31" s="5">
        <v>207.7</v>
      </c>
      <c r="BQ31" s="5">
        <v>67.360309999999998</v>
      </c>
      <c r="BR31" s="5">
        <v>198.70230000000001</v>
      </c>
      <c r="BS31" s="5">
        <v>138.91</v>
      </c>
      <c r="BT31" s="5">
        <v>121.3456</v>
      </c>
      <c r="BU31" s="5">
        <v>120.352</v>
      </c>
      <c r="BV31" s="5">
        <v>3.9217000000000002E-2</v>
      </c>
      <c r="BW31" s="5">
        <v>4.2631000000000002E-2</v>
      </c>
      <c r="BX31" s="5">
        <v>16.429269999999999</v>
      </c>
      <c r="BY31" s="5">
        <v>18.995360000000002</v>
      </c>
      <c r="BZ31" s="5">
        <v>0</v>
      </c>
      <c r="CA31" s="5">
        <v>0.93436399999999997</v>
      </c>
      <c r="CB31" s="5">
        <v>421.58109999999999</v>
      </c>
      <c r="CC31" s="5">
        <v>426.48750000000001</v>
      </c>
      <c r="CD31" s="5">
        <v>19.929839999999999</v>
      </c>
      <c r="CE31" s="5">
        <v>281.99</v>
      </c>
      <c r="CF31" s="5">
        <v>88.02</v>
      </c>
      <c r="CG31" s="5">
        <v>102.06</v>
      </c>
      <c r="CH31" s="5">
        <v>268.58</v>
      </c>
      <c r="CI31" s="5">
        <v>268.33999999999997</v>
      </c>
      <c r="CJ31" s="5">
        <v>279.08999999999997</v>
      </c>
      <c r="CK31" s="5">
        <v>288.41000000000003</v>
      </c>
      <c r="CL31" s="5">
        <v>284.64999999999998</v>
      </c>
      <c r="CM31" s="5">
        <v>281.64999999999998</v>
      </c>
      <c r="CN31" s="5">
        <v>230.6</v>
      </c>
      <c r="CO31" s="5">
        <v>21.7</v>
      </c>
      <c r="CP31" s="5">
        <v>58.8</v>
      </c>
      <c r="CQ31" s="5">
        <v>59.05</v>
      </c>
      <c r="CR31" s="5">
        <v>1.1000000000000001</v>
      </c>
      <c r="CS31" s="5">
        <v>1.1000000000000001</v>
      </c>
      <c r="CT31" s="5">
        <v>19.920000000000002</v>
      </c>
      <c r="CU31" s="5">
        <v>27.05</v>
      </c>
      <c r="CV31" s="5">
        <v>100.79</v>
      </c>
      <c r="CW31" s="5">
        <v>0.84222860099999997</v>
      </c>
      <c r="CX31" s="5">
        <v>1.591812056</v>
      </c>
    </row>
    <row r="32" spans="1:102" x14ac:dyDescent="0.25">
      <c r="A32" s="5">
        <v>6</v>
      </c>
      <c r="B32" s="23">
        <v>8.5000000000000006E-3</v>
      </c>
      <c r="C32" s="5">
        <v>1</v>
      </c>
      <c r="D32" s="5">
        <v>17</v>
      </c>
      <c r="E32" s="5">
        <v>140</v>
      </c>
      <c r="F32" s="5">
        <v>140</v>
      </c>
      <c r="G32" s="5">
        <v>140</v>
      </c>
      <c r="H32" s="5">
        <v>82.6</v>
      </c>
      <c r="I32" s="5">
        <v>82.6</v>
      </c>
      <c r="J32" s="5">
        <v>1701</v>
      </c>
      <c r="K32" s="5">
        <v>77</v>
      </c>
      <c r="L32" s="5">
        <v>77</v>
      </c>
      <c r="M32" s="5">
        <v>0.28999999999999998</v>
      </c>
      <c r="N32" s="5">
        <v>0.28995399999999999</v>
      </c>
      <c r="O32" s="5">
        <v>1</v>
      </c>
      <c r="P32" s="5">
        <v>1.0691630000000001</v>
      </c>
      <c r="Q32" s="5">
        <v>1.18</v>
      </c>
      <c r="R32" s="5">
        <v>1.1755370000000001</v>
      </c>
      <c r="S32" s="5">
        <v>104.27</v>
      </c>
      <c r="T32" s="5">
        <v>104.26560000000001</v>
      </c>
      <c r="U32" s="5">
        <v>3.5</v>
      </c>
      <c r="V32" s="5">
        <v>3.5</v>
      </c>
      <c r="W32" s="5">
        <v>300</v>
      </c>
      <c r="X32" s="5">
        <v>300</v>
      </c>
      <c r="Y32" s="5">
        <v>3.5</v>
      </c>
      <c r="Z32" s="5">
        <v>3.5</v>
      </c>
      <c r="AA32" s="5">
        <v>300</v>
      </c>
      <c r="AB32" s="5">
        <v>300</v>
      </c>
      <c r="AC32" s="5">
        <v>0</v>
      </c>
      <c r="AD32" s="5">
        <v>87.612290000000002</v>
      </c>
      <c r="AE32" s="5">
        <v>0</v>
      </c>
      <c r="AF32" s="5">
        <v>87.612290000000002</v>
      </c>
      <c r="AG32" s="5">
        <v>60.18</v>
      </c>
      <c r="AH32" s="5">
        <v>0.23</v>
      </c>
      <c r="AI32" s="5">
        <v>49.75</v>
      </c>
      <c r="AJ32" s="5">
        <v>62.31</v>
      </c>
      <c r="AK32" s="5">
        <v>99.18</v>
      </c>
      <c r="AL32" s="5">
        <v>96.59</v>
      </c>
      <c r="AM32" s="5">
        <v>342.3</v>
      </c>
      <c r="AN32" s="5">
        <v>133.2149</v>
      </c>
      <c r="AO32" s="5">
        <v>32.65</v>
      </c>
      <c r="AP32" s="5">
        <v>66.19</v>
      </c>
      <c r="AQ32" s="5">
        <v>38.380000000000003</v>
      </c>
      <c r="AR32" s="5">
        <v>234.7</v>
      </c>
      <c r="AS32" s="5">
        <v>66.53</v>
      </c>
      <c r="AT32" s="5">
        <v>71.66</v>
      </c>
      <c r="AU32" s="5">
        <v>114.94</v>
      </c>
      <c r="AV32" s="5">
        <v>112.64</v>
      </c>
      <c r="AW32" s="5">
        <v>2.2719999999999998</v>
      </c>
      <c r="AX32" s="5">
        <v>59.84</v>
      </c>
      <c r="AY32" s="5">
        <v>40.840499999999999</v>
      </c>
      <c r="AZ32" s="5">
        <v>383.39</v>
      </c>
      <c r="BA32" s="5">
        <v>113.05</v>
      </c>
      <c r="BB32" s="5">
        <v>7.5</v>
      </c>
      <c r="BC32" s="5">
        <v>3.35</v>
      </c>
      <c r="BD32" s="5">
        <v>10.210000000000001</v>
      </c>
      <c r="BE32" s="5">
        <v>0.78</v>
      </c>
      <c r="BF32" s="5">
        <v>62.73</v>
      </c>
      <c r="BG32" s="5">
        <v>44.63</v>
      </c>
      <c r="BH32" s="5">
        <v>1.75</v>
      </c>
      <c r="BI32" s="5">
        <v>324.2</v>
      </c>
      <c r="BJ32" s="5">
        <v>29</v>
      </c>
      <c r="BK32" s="5">
        <v>79.599999999999994</v>
      </c>
      <c r="BL32" s="5">
        <v>189.08</v>
      </c>
      <c r="BM32" s="5">
        <v>1.49</v>
      </c>
      <c r="BN32" s="5">
        <v>32</v>
      </c>
      <c r="BO32" s="5">
        <v>35.770000000000003</v>
      </c>
      <c r="BP32" s="5">
        <v>242.7</v>
      </c>
      <c r="BQ32" s="5">
        <v>69.941829999999996</v>
      </c>
      <c r="BR32" s="5">
        <v>188.99780000000001</v>
      </c>
      <c r="BS32" s="5">
        <v>104.676</v>
      </c>
      <c r="BT32" s="5">
        <v>94.307239999999993</v>
      </c>
      <c r="BU32" s="5">
        <v>93.301349999999999</v>
      </c>
      <c r="BV32" s="5">
        <v>3.9063000000000001E-2</v>
      </c>
      <c r="BW32" s="5">
        <v>4.1113999999999998E-2</v>
      </c>
      <c r="BX32" s="5">
        <v>20.496880000000001</v>
      </c>
      <c r="BY32" s="5">
        <v>18.995360000000002</v>
      </c>
      <c r="BZ32" s="5">
        <v>0</v>
      </c>
      <c r="CA32" s="5">
        <v>0.93642800000000004</v>
      </c>
      <c r="CB32" s="5">
        <v>451.44560000000001</v>
      </c>
      <c r="CC32" s="5">
        <v>458.26870000000002</v>
      </c>
      <c r="CD32" s="5">
        <v>27.497859999999999</v>
      </c>
      <c r="CE32" s="5">
        <v>338.55</v>
      </c>
      <c r="CF32" s="5">
        <v>94.14</v>
      </c>
      <c r="CG32" s="5">
        <v>109.88</v>
      </c>
      <c r="CH32" s="5">
        <v>326.16000000000003</v>
      </c>
      <c r="CI32" s="5">
        <v>314.86</v>
      </c>
      <c r="CJ32" s="5">
        <v>322.94</v>
      </c>
      <c r="CK32" s="5">
        <v>345.6</v>
      </c>
      <c r="CL32" s="5">
        <v>333.52</v>
      </c>
      <c r="CM32" s="5">
        <v>337.38</v>
      </c>
      <c r="CN32" s="5">
        <v>268.45999999999998</v>
      </c>
      <c r="CO32" s="5">
        <v>23.01</v>
      </c>
      <c r="CP32" s="5">
        <v>139.69999999999999</v>
      </c>
      <c r="CQ32" s="5">
        <v>140.05000000000001</v>
      </c>
      <c r="CR32" s="5">
        <v>2.5</v>
      </c>
      <c r="CS32" s="5">
        <v>2.5</v>
      </c>
      <c r="CT32" s="5">
        <v>21.34</v>
      </c>
      <c r="CU32" s="5">
        <v>21.36</v>
      </c>
      <c r="CV32" s="5">
        <v>100.64</v>
      </c>
      <c r="CW32" s="5">
        <v>0.82389621300000004</v>
      </c>
      <c r="CX32" s="5">
        <v>0.64263904599999999</v>
      </c>
    </row>
    <row r="33" spans="1:102" x14ac:dyDescent="0.25">
      <c r="A33" s="5">
        <v>5</v>
      </c>
      <c r="B33" s="23">
        <v>1.3524305555555555E-2</v>
      </c>
      <c r="C33" s="5">
        <v>1</v>
      </c>
      <c r="D33" s="5">
        <v>5</v>
      </c>
      <c r="E33" s="5">
        <v>74</v>
      </c>
      <c r="F33" s="5">
        <v>74</v>
      </c>
      <c r="G33" s="5">
        <v>74.099999999999994</v>
      </c>
      <c r="H33" s="5">
        <v>82.6</v>
      </c>
      <c r="I33" s="5">
        <v>82.6</v>
      </c>
      <c r="J33" s="5">
        <v>1701</v>
      </c>
      <c r="K33" s="5">
        <v>84</v>
      </c>
      <c r="L33" s="5">
        <v>84</v>
      </c>
      <c r="M33" s="5">
        <v>0.28999999999999998</v>
      </c>
      <c r="N33" s="5">
        <v>0.28998699999999999</v>
      </c>
      <c r="O33" s="5">
        <v>1</v>
      </c>
      <c r="P33" s="5">
        <v>1.0692759999999999</v>
      </c>
      <c r="Q33" s="5">
        <v>2.1800000000000002</v>
      </c>
      <c r="R33" s="5">
        <v>2.1752929999999999</v>
      </c>
      <c r="S33" s="5">
        <v>100.99</v>
      </c>
      <c r="T33" s="5">
        <v>100.98439999999999</v>
      </c>
      <c r="U33" s="5">
        <v>3.5</v>
      </c>
      <c r="V33" s="5">
        <v>3.5</v>
      </c>
      <c r="W33" s="5">
        <v>324.97000000000003</v>
      </c>
      <c r="X33" s="5">
        <v>325</v>
      </c>
      <c r="Y33" s="5">
        <v>0</v>
      </c>
      <c r="Z33" s="5">
        <v>0</v>
      </c>
      <c r="AA33" s="5">
        <v>300</v>
      </c>
      <c r="AB33" s="5">
        <v>300</v>
      </c>
      <c r="AC33" s="5">
        <v>0</v>
      </c>
      <c r="AD33" s="5">
        <v>78.979219999999998</v>
      </c>
      <c r="AE33" s="5">
        <v>0</v>
      </c>
      <c r="AF33" s="5">
        <v>78.979219999999998</v>
      </c>
      <c r="AG33" s="5">
        <v>72.180000000000007</v>
      </c>
      <c r="AH33" s="5">
        <v>0.25</v>
      </c>
      <c r="AI33" s="5">
        <v>44.42</v>
      </c>
      <c r="AJ33" s="5">
        <v>50.98</v>
      </c>
      <c r="AK33" s="5">
        <v>97.3</v>
      </c>
      <c r="AL33" s="5">
        <v>94.34</v>
      </c>
      <c r="AM33" s="5">
        <v>316.41000000000003</v>
      </c>
      <c r="AN33" s="5">
        <v>120.86879999999999</v>
      </c>
      <c r="AO33" s="5">
        <v>20.329999999999998</v>
      </c>
      <c r="AP33" s="5">
        <v>53.58</v>
      </c>
      <c r="AQ33" s="5">
        <v>24.83</v>
      </c>
      <c r="AR33" s="5">
        <v>177.55</v>
      </c>
      <c r="AS33" s="5">
        <v>76.97</v>
      </c>
      <c r="AT33" s="5">
        <v>74.94</v>
      </c>
      <c r="AU33" s="5">
        <v>111.7</v>
      </c>
      <c r="AV33" s="5">
        <v>116.51</v>
      </c>
      <c r="AW33" s="5">
        <v>3.2759999999999998</v>
      </c>
      <c r="AX33" s="5">
        <v>117.33</v>
      </c>
      <c r="AY33" s="5">
        <v>85.093800000000002</v>
      </c>
      <c r="AZ33" s="5">
        <v>785.48</v>
      </c>
      <c r="BA33" s="5">
        <v>132.65</v>
      </c>
      <c r="BB33" s="5">
        <v>7.42</v>
      </c>
      <c r="BC33" s="5">
        <v>3.86</v>
      </c>
      <c r="BD33" s="5">
        <v>10.35</v>
      </c>
      <c r="BE33" s="5">
        <v>0.8</v>
      </c>
      <c r="BF33" s="5">
        <v>44.64</v>
      </c>
      <c r="BG33" s="5">
        <v>51.98</v>
      </c>
      <c r="BH33" s="5">
        <v>2.75</v>
      </c>
      <c r="BI33" s="5">
        <v>463.5</v>
      </c>
      <c r="BJ33" s="5">
        <v>29</v>
      </c>
      <c r="BK33" s="5">
        <v>76</v>
      </c>
      <c r="BL33" s="5">
        <v>192.25</v>
      </c>
      <c r="BM33" s="5">
        <v>1.36</v>
      </c>
      <c r="BN33" s="5">
        <v>32.5</v>
      </c>
      <c r="BO33" s="5">
        <v>35.770000000000003</v>
      </c>
      <c r="BP33" s="5">
        <v>183.67</v>
      </c>
      <c r="BQ33" s="5">
        <v>73.419529999999995</v>
      </c>
      <c r="BR33" s="5">
        <v>187.34809999999999</v>
      </c>
      <c r="BS33" s="5">
        <v>130.7149</v>
      </c>
      <c r="BT33" s="5">
        <v>107.4572</v>
      </c>
      <c r="BU33" s="5">
        <v>106.8984</v>
      </c>
      <c r="BV33" s="5">
        <v>3.9167E-2</v>
      </c>
      <c r="BW33" s="5">
        <v>4.4479999999999999E-2</v>
      </c>
      <c r="BX33" s="5">
        <v>18.040099999999999</v>
      </c>
      <c r="BY33" s="5">
        <v>18.995360000000002</v>
      </c>
      <c r="BZ33" s="5">
        <v>0</v>
      </c>
      <c r="CA33" s="5">
        <v>0.93486800000000003</v>
      </c>
      <c r="CB33" s="5">
        <v>404.8254</v>
      </c>
      <c r="CC33" s="5">
        <v>410.1558</v>
      </c>
      <c r="CD33" s="5">
        <v>21.540569999999999</v>
      </c>
      <c r="CE33" s="5">
        <v>306.45</v>
      </c>
      <c r="CF33" s="5">
        <v>92.82</v>
      </c>
      <c r="CG33" s="5">
        <v>107.11</v>
      </c>
      <c r="CH33" s="5">
        <v>284.41000000000003</v>
      </c>
      <c r="CI33" s="5">
        <v>285.99</v>
      </c>
      <c r="CJ33" s="5">
        <v>298.14999999999998</v>
      </c>
      <c r="CK33" s="5">
        <v>312.22000000000003</v>
      </c>
      <c r="CL33" s="5">
        <v>305.87</v>
      </c>
      <c r="CM33" s="5">
        <v>302.17</v>
      </c>
      <c r="CN33" s="5">
        <v>249.82</v>
      </c>
      <c r="CO33" s="5">
        <v>20.89</v>
      </c>
      <c r="CP33" s="5">
        <v>73.8</v>
      </c>
      <c r="CQ33" s="5">
        <v>74.05</v>
      </c>
      <c r="CR33" s="5">
        <v>1.3</v>
      </c>
      <c r="CS33" s="5">
        <v>1.3</v>
      </c>
      <c r="CT33" s="5">
        <v>19.14</v>
      </c>
      <c r="CU33" s="5">
        <v>24.48</v>
      </c>
      <c r="CV33" s="5">
        <v>100.8</v>
      </c>
      <c r="CW33" s="5">
        <v>0.82383273099999998</v>
      </c>
      <c r="CX33" s="5">
        <v>0.65906618500000003</v>
      </c>
    </row>
    <row r="34" spans="1:102" x14ac:dyDescent="0.25">
      <c r="A34" s="5">
        <v>19</v>
      </c>
      <c r="B34" s="23">
        <v>3.6502314814814814E-2</v>
      </c>
      <c r="C34" s="5">
        <v>2</v>
      </c>
      <c r="D34" s="5">
        <v>18</v>
      </c>
      <c r="E34" s="5">
        <v>380</v>
      </c>
      <c r="F34" s="5">
        <v>380</v>
      </c>
      <c r="G34" s="5">
        <v>380</v>
      </c>
      <c r="H34" s="5">
        <v>82.6</v>
      </c>
      <c r="I34" s="5">
        <v>82.6</v>
      </c>
      <c r="J34" s="5">
        <v>1701</v>
      </c>
      <c r="K34" s="5">
        <v>6</v>
      </c>
      <c r="L34" s="5">
        <v>6</v>
      </c>
      <c r="M34" s="5">
        <v>0.28000000000000003</v>
      </c>
      <c r="N34" s="5">
        <v>0.27994999999999998</v>
      </c>
      <c r="O34" s="5">
        <v>1</v>
      </c>
      <c r="P34" s="5">
        <v>1.069402</v>
      </c>
      <c r="Q34" s="5">
        <v>-3.72</v>
      </c>
      <c r="R34" s="5">
        <v>-3.7243650000000001</v>
      </c>
      <c r="S34" s="5">
        <v>136.47999999999999</v>
      </c>
      <c r="T34" s="5">
        <v>136.48439999999999</v>
      </c>
      <c r="U34" s="5">
        <v>3.5</v>
      </c>
      <c r="V34" s="5">
        <v>3.5</v>
      </c>
      <c r="W34" s="5">
        <v>300</v>
      </c>
      <c r="X34" s="5">
        <v>300</v>
      </c>
      <c r="Y34" s="5">
        <v>3.97</v>
      </c>
      <c r="Z34" s="5">
        <v>3.96875</v>
      </c>
      <c r="AA34" s="5">
        <v>300</v>
      </c>
      <c r="AB34" s="5">
        <v>300</v>
      </c>
      <c r="AC34" s="5">
        <v>0</v>
      </c>
      <c r="AD34" s="5">
        <v>87.860420000000005</v>
      </c>
      <c r="AE34" s="5">
        <v>0</v>
      </c>
      <c r="AF34" s="5">
        <v>87.860420000000005</v>
      </c>
      <c r="AG34" s="5">
        <v>40</v>
      </c>
      <c r="AH34" s="5">
        <v>0.17</v>
      </c>
      <c r="AI34" s="5">
        <v>49.56</v>
      </c>
      <c r="AJ34" s="5">
        <v>66.91</v>
      </c>
      <c r="AK34" s="5">
        <v>41.36</v>
      </c>
      <c r="AL34" s="5">
        <v>42</v>
      </c>
      <c r="AM34" s="5">
        <v>556.03</v>
      </c>
      <c r="AN34" s="5">
        <v>128.19999999999999</v>
      </c>
      <c r="AO34" s="5">
        <v>27.33</v>
      </c>
      <c r="AP34" s="5">
        <v>68.05</v>
      </c>
      <c r="AQ34" s="5">
        <v>36.46</v>
      </c>
      <c r="AR34" s="5">
        <v>371.58</v>
      </c>
      <c r="AS34" s="5">
        <v>14.03</v>
      </c>
      <c r="AT34" s="5">
        <v>54.37</v>
      </c>
      <c r="AU34" s="5">
        <v>98.94</v>
      </c>
      <c r="AV34" s="5">
        <v>113.09</v>
      </c>
      <c r="AW34" s="5">
        <v>0.88700000000000001</v>
      </c>
      <c r="AX34" s="5">
        <v>15.29</v>
      </c>
      <c r="AY34" s="5">
        <v>11.6431</v>
      </c>
      <c r="AZ34" s="5">
        <v>229.63</v>
      </c>
      <c r="BA34" s="5">
        <v>49.1</v>
      </c>
      <c r="BB34" s="5">
        <v>9.59</v>
      </c>
      <c r="BC34" s="5">
        <v>1.43</v>
      </c>
      <c r="BD34" s="5">
        <v>7.35</v>
      </c>
      <c r="BE34" s="5">
        <v>1.83</v>
      </c>
      <c r="BF34" s="5">
        <v>261.17</v>
      </c>
      <c r="BG34" s="5">
        <v>14.92</v>
      </c>
      <c r="BH34" s="5">
        <v>0.71</v>
      </c>
      <c r="BI34" s="5">
        <v>240.7</v>
      </c>
      <c r="BJ34" s="5">
        <v>22.8</v>
      </c>
      <c r="BK34" s="5">
        <v>85.8</v>
      </c>
      <c r="BL34" s="5">
        <v>65.180000000000007</v>
      </c>
      <c r="BM34" s="5">
        <v>1.42</v>
      </c>
      <c r="BN34" s="5">
        <v>30.25</v>
      </c>
      <c r="BO34" s="5">
        <v>37.54</v>
      </c>
      <c r="BP34" s="5">
        <v>387.9</v>
      </c>
      <c r="BQ34" s="5">
        <v>56.020099999999999</v>
      </c>
      <c r="BR34" s="5">
        <v>139.98269999999999</v>
      </c>
      <c r="BS34" s="5">
        <v>54.687199999999997</v>
      </c>
      <c r="BT34" s="5">
        <v>39.833680000000001</v>
      </c>
      <c r="BU34" s="5">
        <v>39.97146</v>
      </c>
      <c r="BV34" s="5">
        <v>9.0644000000000002E-2</v>
      </c>
      <c r="BW34" s="5">
        <v>9.9500000000000005E-2</v>
      </c>
      <c r="BX34" s="5">
        <v>52.412289999999999</v>
      </c>
      <c r="BY34" s="5">
        <v>18.995360000000002</v>
      </c>
      <c r="BZ34" s="5">
        <v>0</v>
      </c>
      <c r="CA34" s="5">
        <v>0.93413400000000002</v>
      </c>
      <c r="CB34" s="5">
        <v>451.71539999999999</v>
      </c>
      <c r="CC34" s="5">
        <v>466.64769999999999</v>
      </c>
      <c r="CD34" s="5">
        <v>59.883800000000001</v>
      </c>
      <c r="CE34" s="5">
        <v>500.53</v>
      </c>
      <c r="CF34" s="5">
        <v>81.459999999999994</v>
      </c>
      <c r="CG34" s="5">
        <v>93.16</v>
      </c>
      <c r="CH34" s="5">
        <v>453.83</v>
      </c>
      <c r="CI34" s="5">
        <v>468.14</v>
      </c>
      <c r="CJ34" s="5">
        <v>481.3</v>
      </c>
      <c r="CK34" s="5">
        <v>526.96</v>
      </c>
      <c r="CL34" s="5">
        <v>498.78</v>
      </c>
      <c r="CM34" s="5">
        <v>506.81</v>
      </c>
      <c r="CN34" s="5">
        <v>474.65</v>
      </c>
      <c r="CO34" s="5">
        <v>27.43</v>
      </c>
      <c r="CP34" s="5">
        <v>379.6</v>
      </c>
      <c r="CQ34" s="5">
        <v>380.05</v>
      </c>
      <c r="CR34" s="5">
        <v>6.8</v>
      </c>
      <c r="CS34" s="5">
        <v>6.8</v>
      </c>
      <c r="CT34" s="5">
        <v>22.32</v>
      </c>
      <c r="CU34" s="5">
        <v>19.23</v>
      </c>
      <c r="CV34" s="5">
        <v>100.68</v>
      </c>
      <c r="CW34" s="5">
        <v>0.81018939999999995</v>
      </c>
      <c r="CX34" s="5">
        <v>1.482646602</v>
      </c>
    </row>
    <row r="35" spans="1:102" x14ac:dyDescent="0.25">
      <c r="A35" s="5">
        <v>14</v>
      </c>
      <c r="B35" s="23">
        <v>9.3738425925925916E-3</v>
      </c>
      <c r="C35" s="5">
        <v>2</v>
      </c>
      <c r="D35" s="5">
        <v>13</v>
      </c>
      <c r="E35" s="5">
        <v>355</v>
      </c>
      <c r="F35" s="5">
        <v>355</v>
      </c>
      <c r="G35" s="5">
        <v>355.1</v>
      </c>
      <c r="H35" s="5">
        <v>82.6</v>
      </c>
      <c r="I35" s="5">
        <v>82.6</v>
      </c>
      <c r="J35" s="5">
        <v>1701</v>
      </c>
      <c r="K35" s="5">
        <v>54</v>
      </c>
      <c r="L35" s="5">
        <v>54</v>
      </c>
      <c r="M35" s="5">
        <v>0.11</v>
      </c>
      <c r="N35" s="5">
        <v>0.11004800000000001</v>
      </c>
      <c r="O35" s="5">
        <v>1</v>
      </c>
      <c r="P35" s="5">
        <v>1.069985</v>
      </c>
      <c r="Q35" s="5">
        <v>-3.57</v>
      </c>
      <c r="R35" s="5">
        <v>-3.570557</v>
      </c>
      <c r="S35" s="5">
        <v>131.26</v>
      </c>
      <c r="T35" s="5">
        <v>131.26560000000001</v>
      </c>
      <c r="U35" s="5">
        <v>3.5</v>
      </c>
      <c r="V35" s="5">
        <v>3.5</v>
      </c>
      <c r="W35" s="5">
        <v>300</v>
      </c>
      <c r="X35" s="5">
        <v>300</v>
      </c>
      <c r="Y35" s="5">
        <v>3.96</v>
      </c>
      <c r="Z35" s="5">
        <v>3.96875</v>
      </c>
      <c r="AA35" s="5">
        <v>300</v>
      </c>
      <c r="AB35" s="5">
        <v>300</v>
      </c>
      <c r="AC35" s="5">
        <v>0</v>
      </c>
      <c r="AD35" s="5">
        <v>126.1443</v>
      </c>
      <c r="AE35" s="5">
        <v>0</v>
      </c>
      <c r="AF35" s="5">
        <v>126.1443</v>
      </c>
      <c r="AG35" s="5">
        <v>40</v>
      </c>
      <c r="AH35" s="5">
        <v>0.17</v>
      </c>
      <c r="AI35" s="5">
        <v>71.7</v>
      </c>
      <c r="AJ35" s="5">
        <v>100.28</v>
      </c>
      <c r="AK35" s="5">
        <v>145.75</v>
      </c>
      <c r="AL35" s="5">
        <v>146.16</v>
      </c>
      <c r="AM35" s="5">
        <v>411.25</v>
      </c>
      <c r="AN35" s="5">
        <v>190.36160000000001</v>
      </c>
      <c r="AO35" s="5">
        <v>89.63</v>
      </c>
      <c r="AP35" s="5">
        <v>115.02</v>
      </c>
      <c r="AQ35" s="5">
        <v>102.89</v>
      </c>
      <c r="AR35" s="5">
        <v>539.80999999999995</v>
      </c>
      <c r="AS35" s="5">
        <v>56.12</v>
      </c>
      <c r="AT35" s="5">
        <v>61.57</v>
      </c>
      <c r="AU35" s="5">
        <v>99.98</v>
      </c>
      <c r="AV35" s="5">
        <v>115.75</v>
      </c>
      <c r="AW35" s="5">
        <v>0.13400000000000001</v>
      </c>
      <c r="AX35" s="5">
        <v>1.83</v>
      </c>
      <c r="AY35" s="5">
        <v>1.6215999999999999</v>
      </c>
      <c r="AZ35" s="5">
        <v>93.92</v>
      </c>
      <c r="BA35" s="5">
        <v>46.2</v>
      </c>
      <c r="BB35" s="5">
        <v>6.22</v>
      </c>
      <c r="BC35" s="5">
        <v>0.9</v>
      </c>
      <c r="BD35" s="5">
        <v>12.11</v>
      </c>
      <c r="BE35" s="5">
        <v>3.76</v>
      </c>
      <c r="BF35" s="5">
        <v>322.87</v>
      </c>
      <c r="BG35" s="5">
        <v>14.41</v>
      </c>
      <c r="BH35" s="5">
        <v>0.12</v>
      </c>
      <c r="BI35" s="5">
        <v>243</v>
      </c>
      <c r="BJ35" s="5">
        <v>35.1</v>
      </c>
      <c r="BK35" s="5">
        <v>86.5</v>
      </c>
      <c r="BL35" s="5">
        <v>90.86</v>
      </c>
      <c r="BM35" s="5">
        <v>2.04</v>
      </c>
      <c r="BN35" s="5">
        <v>29.78</v>
      </c>
      <c r="BO35" s="5">
        <v>34.619999999999997</v>
      </c>
      <c r="BP35" s="5">
        <v>554.98</v>
      </c>
      <c r="BQ35" s="5">
        <v>62.344679999999997</v>
      </c>
      <c r="BR35" s="5">
        <v>245.62549999999999</v>
      </c>
      <c r="BS35" s="5">
        <v>56.936799999999998</v>
      </c>
      <c r="BT35" s="5">
        <v>64.453010000000006</v>
      </c>
      <c r="BU35" s="5">
        <v>63.034579999999998</v>
      </c>
      <c r="BV35" s="5">
        <v>8.9430999999999997E-2</v>
      </c>
      <c r="BW35" s="5">
        <v>7.9931000000000002E-2</v>
      </c>
      <c r="BX35" s="5">
        <v>48.023919999999997</v>
      </c>
      <c r="BY35" s="5">
        <v>18.995360000000002</v>
      </c>
      <c r="BZ35" s="5">
        <v>0</v>
      </c>
      <c r="CA35" s="5">
        <v>0.93534099999999998</v>
      </c>
      <c r="CB35" s="5">
        <v>658.97709999999995</v>
      </c>
      <c r="CC35" s="5">
        <v>672.81619999999998</v>
      </c>
      <c r="CD35" s="5">
        <v>55.495109999999997</v>
      </c>
      <c r="CE35" s="5">
        <v>403.24</v>
      </c>
      <c r="CF35" s="5">
        <v>80.88</v>
      </c>
      <c r="CG35" s="5">
        <v>93.82</v>
      </c>
      <c r="CH35" s="5">
        <v>373.21</v>
      </c>
      <c r="CI35" s="5">
        <v>375.68</v>
      </c>
      <c r="CJ35" s="5">
        <v>382.31</v>
      </c>
      <c r="CK35" s="5">
        <v>413.25</v>
      </c>
      <c r="CL35" s="5">
        <v>402.46</v>
      </c>
      <c r="CM35" s="5">
        <v>405.99</v>
      </c>
      <c r="CN35" s="5">
        <v>301.37</v>
      </c>
      <c r="CO35" s="5">
        <v>25.37</v>
      </c>
      <c r="CP35" s="5">
        <v>354.3</v>
      </c>
      <c r="CQ35" s="5">
        <v>355.05</v>
      </c>
      <c r="CR35" s="5">
        <v>6.3</v>
      </c>
      <c r="CS35" s="5">
        <v>6.4</v>
      </c>
      <c r="CT35" s="5">
        <v>20.69</v>
      </c>
      <c r="CU35" s="5">
        <v>21.14</v>
      </c>
      <c r="CV35" s="5">
        <v>100.69</v>
      </c>
      <c r="CW35" s="5">
        <v>0.83408024199999997</v>
      </c>
      <c r="CX35" s="5">
        <v>3.13614171</v>
      </c>
    </row>
    <row r="36" spans="1:102" x14ac:dyDescent="0.25">
      <c r="A36" s="5">
        <v>45</v>
      </c>
      <c r="B36" s="23">
        <v>3.0452546296296294E-2</v>
      </c>
      <c r="C36" s="5">
        <v>2</v>
      </c>
      <c r="D36" s="5">
        <v>43</v>
      </c>
      <c r="E36" s="5">
        <v>492</v>
      </c>
      <c r="F36" s="5">
        <v>492</v>
      </c>
      <c r="G36" s="5">
        <v>492</v>
      </c>
      <c r="H36" s="5">
        <v>82.6</v>
      </c>
      <c r="I36" s="5">
        <v>82.6</v>
      </c>
      <c r="J36" s="5">
        <v>1701</v>
      </c>
      <c r="K36" s="5">
        <v>37</v>
      </c>
      <c r="L36" s="5">
        <v>37</v>
      </c>
      <c r="M36" s="5">
        <v>0.25</v>
      </c>
      <c r="N36" s="5">
        <v>0.25012499999999999</v>
      </c>
      <c r="O36" s="5">
        <v>1</v>
      </c>
      <c r="P36" s="5">
        <v>1.0694440000000001</v>
      </c>
      <c r="Q36" s="5">
        <v>-4.5999999999999996</v>
      </c>
      <c r="R36" s="5">
        <v>-4.6032710000000003</v>
      </c>
      <c r="S36" s="5">
        <v>159.80000000000001</v>
      </c>
      <c r="T36" s="5">
        <v>159.79689999999999</v>
      </c>
      <c r="U36" s="5">
        <v>3.5</v>
      </c>
      <c r="V36" s="5">
        <v>3.5</v>
      </c>
      <c r="W36" s="5">
        <v>300</v>
      </c>
      <c r="X36" s="5">
        <v>300</v>
      </c>
      <c r="Y36" s="5">
        <v>3.5</v>
      </c>
      <c r="Z36" s="5">
        <v>3.5</v>
      </c>
      <c r="AA36" s="5">
        <v>300</v>
      </c>
      <c r="AB36" s="5">
        <v>300</v>
      </c>
      <c r="AC36" s="5">
        <v>0</v>
      </c>
      <c r="AD36" s="5">
        <v>122.8728</v>
      </c>
      <c r="AE36" s="5">
        <v>0</v>
      </c>
      <c r="AF36" s="5">
        <v>122.8728</v>
      </c>
      <c r="AG36" s="5">
        <v>40</v>
      </c>
      <c r="AH36" s="5">
        <v>0.17</v>
      </c>
      <c r="AI36" s="5">
        <v>71.02</v>
      </c>
      <c r="AJ36" s="5">
        <v>97</v>
      </c>
      <c r="AK36" s="5">
        <v>105.47</v>
      </c>
      <c r="AL36" s="5">
        <v>106.52</v>
      </c>
      <c r="AM36" s="5">
        <v>522.09</v>
      </c>
      <c r="AN36" s="5">
        <v>186.0008</v>
      </c>
      <c r="AO36" s="5">
        <v>85.14</v>
      </c>
      <c r="AP36" s="5">
        <v>106.25</v>
      </c>
      <c r="AQ36" s="5">
        <v>97.74</v>
      </c>
      <c r="AR36" s="5">
        <v>509.82</v>
      </c>
      <c r="AS36" s="5">
        <v>20.329999999999998</v>
      </c>
      <c r="AT36" s="5">
        <v>63.11</v>
      </c>
      <c r="AU36" s="5">
        <v>103.51</v>
      </c>
      <c r="AV36" s="5">
        <v>121.34</v>
      </c>
      <c r="AW36" s="5">
        <v>0.21</v>
      </c>
      <c r="AX36" s="5">
        <v>2.94</v>
      </c>
      <c r="AY36" s="5">
        <v>2.4113000000000002</v>
      </c>
      <c r="AZ36" s="5">
        <v>121.62</v>
      </c>
      <c r="BA36" s="5">
        <v>21.33</v>
      </c>
      <c r="BB36" s="5">
        <v>8.36</v>
      </c>
      <c r="BC36" s="5">
        <v>1.27</v>
      </c>
      <c r="BD36" s="5">
        <v>8.99</v>
      </c>
      <c r="BE36" s="5">
        <v>2.36</v>
      </c>
      <c r="BF36" s="5">
        <v>311.91000000000003</v>
      </c>
      <c r="BG36" s="5">
        <v>15.23</v>
      </c>
      <c r="BH36" s="5">
        <v>0.17</v>
      </c>
      <c r="BI36" s="5">
        <v>229.6</v>
      </c>
      <c r="BJ36" s="5">
        <v>25.3</v>
      </c>
      <c r="BK36" s="5">
        <v>83.8</v>
      </c>
      <c r="BL36" s="5">
        <v>91.58</v>
      </c>
      <c r="BM36" s="5">
        <v>2.0099999999999998</v>
      </c>
      <c r="BN36" s="5">
        <v>30.15</v>
      </c>
      <c r="BO36" s="5">
        <v>36.72</v>
      </c>
      <c r="BP36" s="5">
        <v>530.04</v>
      </c>
      <c r="BQ36" s="5">
        <v>63.730260000000001</v>
      </c>
      <c r="BR36" s="5">
        <v>204.10130000000001</v>
      </c>
      <c r="BS36" s="5">
        <v>47.693019999999997</v>
      </c>
      <c r="BT36" s="5">
        <v>45.658360000000002</v>
      </c>
      <c r="BU36" s="5">
        <v>45.126089999999998</v>
      </c>
      <c r="BV36" s="5">
        <v>0.102086</v>
      </c>
      <c r="BW36" s="5">
        <v>9.9446999999999994E-2</v>
      </c>
      <c r="BX36" s="5">
        <v>67.365570000000005</v>
      </c>
      <c r="BY36" s="5">
        <v>18.995360000000002</v>
      </c>
      <c r="BZ36" s="5">
        <v>0</v>
      </c>
      <c r="CA36" s="5">
        <v>0.93755900000000003</v>
      </c>
      <c r="CB36" s="5">
        <v>642.75350000000003</v>
      </c>
      <c r="CC36" s="5">
        <v>661.32460000000003</v>
      </c>
      <c r="CD36" s="5">
        <v>74.369119999999995</v>
      </c>
      <c r="CE36" s="5">
        <v>488.99</v>
      </c>
      <c r="CF36" s="5">
        <v>84.91</v>
      </c>
      <c r="CG36" s="5">
        <v>97.42</v>
      </c>
      <c r="CH36" s="5">
        <v>423.72</v>
      </c>
      <c r="CI36" s="5">
        <v>449.79</v>
      </c>
      <c r="CJ36" s="5">
        <v>457</v>
      </c>
      <c r="CK36" s="5">
        <v>510.49</v>
      </c>
      <c r="CL36" s="5">
        <v>481.65</v>
      </c>
      <c r="CM36" s="5">
        <v>488.89</v>
      </c>
      <c r="CN36" s="5">
        <v>407.67</v>
      </c>
      <c r="CO36" s="5">
        <v>27.23</v>
      </c>
      <c r="CP36" s="5">
        <v>489.5</v>
      </c>
      <c r="CQ36" s="5">
        <v>492.05</v>
      </c>
      <c r="CR36" s="5">
        <v>8.8000000000000007</v>
      </c>
      <c r="CS36" s="5">
        <v>8.8000000000000007</v>
      </c>
      <c r="CT36" s="5">
        <v>25.76</v>
      </c>
      <c r="CU36" s="5">
        <v>29.3</v>
      </c>
      <c r="CV36" s="5">
        <v>100.79</v>
      </c>
      <c r="CW36" s="5">
        <v>0.86348457300000003</v>
      </c>
      <c r="CX36" s="5">
        <v>2.0378235920000001</v>
      </c>
    </row>
    <row r="37" spans="1:102" x14ac:dyDescent="0.25">
      <c r="A37" s="5">
        <v>23</v>
      </c>
      <c r="B37" s="23">
        <v>1.6589120370370369E-2</v>
      </c>
      <c r="C37" s="5">
        <v>2</v>
      </c>
      <c r="D37" s="5">
        <v>22</v>
      </c>
      <c r="E37" s="5">
        <v>398</v>
      </c>
      <c r="F37" s="5">
        <v>398</v>
      </c>
      <c r="G37" s="5">
        <v>398</v>
      </c>
      <c r="H37" s="5">
        <v>82.6</v>
      </c>
      <c r="I37" s="5">
        <v>82.6</v>
      </c>
      <c r="J37" s="5">
        <v>1701</v>
      </c>
      <c r="K37" s="5">
        <v>36</v>
      </c>
      <c r="L37" s="5">
        <v>36</v>
      </c>
      <c r="M37" s="5">
        <v>0.1</v>
      </c>
      <c r="N37" s="5">
        <v>9.9936999999999998E-2</v>
      </c>
      <c r="O37" s="5">
        <v>1</v>
      </c>
      <c r="P37" s="5">
        <v>1.0694520000000001</v>
      </c>
      <c r="Q37" s="5">
        <v>-3.83</v>
      </c>
      <c r="R37" s="5">
        <v>-3.8342290000000001</v>
      </c>
      <c r="S37" s="5">
        <v>140.24</v>
      </c>
      <c r="T37" s="5">
        <v>140.23439999999999</v>
      </c>
      <c r="U37" s="5">
        <v>3.5</v>
      </c>
      <c r="V37" s="5">
        <v>3.5</v>
      </c>
      <c r="W37" s="5">
        <v>300</v>
      </c>
      <c r="X37" s="5">
        <v>300</v>
      </c>
      <c r="Y37" s="5">
        <v>3.97</v>
      </c>
      <c r="Z37" s="5">
        <v>3.96875</v>
      </c>
      <c r="AA37" s="5">
        <v>300</v>
      </c>
      <c r="AB37" s="5">
        <v>300</v>
      </c>
      <c r="AC37" s="5">
        <v>0</v>
      </c>
      <c r="AD37" s="5">
        <v>113.1961</v>
      </c>
      <c r="AE37" s="5">
        <v>0</v>
      </c>
      <c r="AF37" s="5">
        <v>113.1961</v>
      </c>
      <c r="AG37" s="5">
        <v>40</v>
      </c>
      <c r="AH37" s="5">
        <v>0.17</v>
      </c>
      <c r="AI37" s="5">
        <v>64.84</v>
      </c>
      <c r="AJ37" s="5">
        <v>92.49</v>
      </c>
      <c r="AK37" s="5">
        <v>96.9</v>
      </c>
      <c r="AL37" s="5">
        <v>98.36</v>
      </c>
      <c r="AM37" s="5">
        <v>465.52</v>
      </c>
      <c r="AN37" s="5">
        <v>168.81700000000001</v>
      </c>
      <c r="AO37" s="5">
        <v>67.930000000000007</v>
      </c>
      <c r="AP37" s="5">
        <v>102.01</v>
      </c>
      <c r="AQ37" s="5">
        <v>80.58</v>
      </c>
      <c r="AR37" s="5">
        <v>512.98</v>
      </c>
      <c r="AS37" s="5">
        <v>28.96</v>
      </c>
      <c r="AT37" s="5">
        <v>58.65</v>
      </c>
      <c r="AU37" s="5">
        <v>97.24</v>
      </c>
      <c r="AV37" s="5">
        <v>116.08</v>
      </c>
      <c r="AW37" s="5">
        <v>0.11799999999999999</v>
      </c>
      <c r="AX37" s="5">
        <v>1.61</v>
      </c>
      <c r="AY37" s="5">
        <v>1.4247000000000001</v>
      </c>
      <c r="AZ37" s="5">
        <v>96.79</v>
      </c>
      <c r="BA37" s="5">
        <v>40.72</v>
      </c>
      <c r="BB37" s="5">
        <v>7.08</v>
      </c>
      <c r="BC37" s="5">
        <v>0.65</v>
      </c>
      <c r="BD37" s="5">
        <v>10.91</v>
      </c>
      <c r="BE37" s="5">
        <v>4.3</v>
      </c>
      <c r="BF37" s="5">
        <v>441.63</v>
      </c>
      <c r="BG37" s="5">
        <v>9.19</v>
      </c>
      <c r="BH37" s="5">
        <v>0.1</v>
      </c>
      <c r="BI37" s="5">
        <v>233.5</v>
      </c>
      <c r="BJ37" s="5">
        <v>31</v>
      </c>
      <c r="BK37" s="5">
        <v>87.4</v>
      </c>
      <c r="BL37" s="5">
        <v>51.99</v>
      </c>
      <c r="BM37" s="5">
        <v>1.81</v>
      </c>
      <c r="BN37" s="5">
        <v>29.56</v>
      </c>
      <c r="BO37" s="5">
        <v>35.340000000000003</v>
      </c>
      <c r="BP37" s="5">
        <v>529.98</v>
      </c>
      <c r="BQ37" s="5">
        <v>59.737139999999997</v>
      </c>
      <c r="BR37" s="5">
        <v>198.61799999999999</v>
      </c>
      <c r="BS37" s="5">
        <v>54.23216</v>
      </c>
      <c r="BT37" s="5">
        <v>51.842709999999997</v>
      </c>
      <c r="BU37" s="5">
        <v>51.271299999999997</v>
      </c>
      <c r="BV37" s="5">
        <v>9.1505000000000003E-2</v>
      </c>
      <c r="BW37" s="5">
        <v>8.9833999999999997E-2</v>
      </c>
      <c r="BX37" s="5">
        <v>53.265000000000001</v>
      </c>
      <c r="BY37" s="5">
        <v>18.995360000000002</v>
      </c>
      <c r="BZ37" s="5">
        <v>0</v>
      </c>
      <c r="CA37" s="5">
        <v>0.934249</v>
      </c>
      <c r="CB37" s="5">
        <v>588.28610000000003</v>
      </c>
      <c r="CC37" s="5">
        <v>603.43190000000004</v>
      </c>
      <c r="CD37" s="5">
        <v>60.734479999999998</v>
      </c>
      <c r="CE37" s="5">
        <v>407.41</v>
      </c>
      <c r="CF37" s="5">
        <v>79.06</v>
      </c>
      <c r="CG37" s="5">
        <v>91.34</v>
      </c>
      <c r="CH37" s="5">
        <v>393.34</v>
      </c>
      <c r="CI37" s="5">
        <v>403.82</v>
      </c>
      <c r="CJ37" s="5">
        <v>419.04</v>
      </c>
      <c r="CK37" s="5">
        <v>457.72</v>
      </c>
      <c r="CL37" s="5">
        <v>435.92</v>
      </c>
      <c r="CM37" s="5">
        <v>438.69</v>
      </c>
      <c r="CN37" s="5">
        <v>366.14</v>
      </c>
      <c r="CO37" s="5">
        <v>26.81</v>
      </c>
      <c r="CP37" s="5">
        <v>397.5</v>
      </c>
      <c r="CQ37" s="5">
        <v>398.05</v>
      </c>
      <c r="CR37" s="5">
        <v>7.1</v>
      </c>
      <c r="CS37" s="5">
        <v>7.1</v>
      </c>
      <c r="CT37" s="5">
        <v>21.94</v>
      </c>
      <c r="CU37" s="5">
        <v>19.22</v>
      </c>
      <c r="CV37" s="5">
        <v>100.7</v>
      </c>
      <c r="CW37" s="5">
        <v>0.829061669</v>
      </c>
      <c r="CX37" s="5">
        <v>3.5649651769999999</v>
      </c>
    </row>
    <row r="38" spans="1:102" x14ac:dyDescent="0.25">
      <c r="A38" s="5">
        <v>34</v>
      </c>
      <c r="B38" s="23">
        <v>5.9861111111111113E-3</v>
      </c>
      <c r="C38" s="5">
        <v>2</v>
      </c>
      <c r="D38" s="5">
        <v>33</v>
      </c>
      <c r="E38" s="5">
        <v>448</v>
      </c>
      <c r="F38" s="5">
        <v>448</v>
      </c>
      <c r="G38" s="5">
        <v>448.1</v>
      </c>
      <c r="H38" s="5">
        <v>82.6</v>
      </c>
      <c r="I38" s="5">
        <v>82.6</v>
      </c>
      <c r="J38" s="5">
        <v>1701</v>
      </c>
      <c r="K38" s="5">
        <v>18</v>
      </c>
      <c r="L38" s="5">
        <v>18</v>
      </c>
      <c r="M38" s="5">
        <v>0.27</v>
      </c>
      <c r="N38" s="5">
        <v>0.27007700000000001</v>
      </c>
      <c r="O38" s="5">
        <v>1</v>
      </c>
      <c r="P38" s="5">
        <v>1.0693999999999999</v>
      </c>
      <c r="Q38" s="5">
        <v>-4.24</v>
      </c>
      <c r="R38" s="5">
        <v>-4.240723</v>
      </c>
      <c r="S38" s="5">
        <v>150.69</v>
      </c>
      <c r="T38" s="5">
        <v>150.6875</v>
      </c>
      <c r="U38" s="5">
        <v>3.5</v>
      </c>
      <c r="V38" s="5">
        <v>3.5</v>
      </c>
      <c r="W38" s="5">
        <v>300</v>
      </c>
      <c r="X38" s="5">
        <v>300</v>
      </c>
      <c r="Y38" s="5">
        <v>3.5</v>
      </c>
      <c r="Z38" s="5">
        <v>3.5</v>
      </c>
      <c r="AA38" s="5">
        <v>300</v>
      </c>
      <c r="AB38" s="5">
        <v>300</v>
      </c>
      <c r="AC38" s="5">
        <v>0</v>
      </c>
      <c r="AD38" s="5">
        <v>101.0869</v>
      </c>
      <c r="AE38" s="5">
        <v>0</v>
      </c>
      <c r="AF38" s="5">
        <v>101.0869</v>
      </c>
      <c r="AG38" s="5">
        <v>40</v>
      </c>
      <c r="AH38" s="5">
        <v>0.17</v>
      </c>
      <c r="AI38" s="5">
        <v>57.37</v>
      </c>
      <c r="AJ38" s="5">
        <v>80.959999999999994</v>
      </c>
      <c r="AK38" s="5">
        <v>61.39</v>
      </c>
      <c r="AL38" s="5">
        <v>62.63</v>
      </c>
      <c r="AM38" s="5">
        <v>563.80999999999995</v>
      </c>
      <c r="AN38" s="5">
        <v>149.0968</v>
      </c>
      <c r="AO38" s="5">
        <v>48.1</v>
      </c>
      <c r="AP38" s="5">
        <v>86.02</v>
      </c>
      <c r="AQ38" s="5">
        <v>58.64</v>
      </c>
      <c r="AR38" s="5">
        <v>437.46</v>
      </c>
      <c r="AS38" s="5">
        <v>13.29</v>
      </c>
      <c r="AT38" s="5">
        <v>55.8</v>
      </c>
      <c r="AU38" s="5">
        <v>99.16</v>
      </c>
      <c r="AV38" s="5">
        <v>117.09</v>
      </c>
      <c r="AW38" s="5">
        <v>0.44400000000000001</v>
      </c>
      <c r="AX38" s="5">
        <v>6.67</v>
      </c>
      <c r="AY38" s="5">
        <v>5.0826000000000002</v>
      </c>
      <c r="AZ38" s="5">
        <v>165.15</v>
      </c>
      <c r="BA38" s="5">
        <v>32.53</v>
      </c>
      <c r="BB38" s="5">
        <v>9.3000000000000007</v>
      </c>
      <c r="BC38" s="5">
        <v>1.24</v>
      </c>
      <c r="BD38" s="5">
        <v>7.75</v>
      </c>
      <c r="BE38" s="5">
        <v>2.25</v>
      </c>
      <c r="BF38" s="5">
        <v>319.45999999999998</v>
      </c>
      <c r="BG38" s="5">
        <v>13.36</v>
      </c>
      <c r="BH38" s="5">
        <v>0.34</v>
      </c>
      <c r="BI38" s="5">
        <v>234.2</v>
      </c>
      <c r="BJ38" s="5">
        <v>23.4</v>
      </c>
      <c r="BK38" s="5">
        <v>86.2</v>
      </c>
      <c r="BL38" s="5">
        <v>67.5</v>
      </c>
      <c r="BM38" s="5">
        <v>1.64</v>
      </c>
      <c r="BN38" s="5">
        <v>30.09</v>
      </c>
      <c r="BO38" s="5">
        <v>37.33</v>
      </c>
      <c r="BP38" s="5">
        <v>456.28</v>
      </c>
      <c r="BQ38" s="5">
        <v>57.182969999999997</v>
      </c>
      <c r="BR38" s="5">
        <v>161.0463</v>
      </c>
      <c r="BS38" s="5">
        <v>49.647210000000001</v>
      </c>
      <c r="BT38" s="5">
        <v>39.650419999999997</v>
      </c>
      <c r="BU38" s="5">
        <v>39.590499999999999</v>
      </c>
      <c r="BV38" s="5">
        <v>0.10169</v>
      </c>
      <c r="BW38" s="5">
        <v>0.10657899999999999</v>
      </c>
      <c r="BX38" s="5">
        <v>62.239579999999997</v>
      </c>
      <c r="BY38" s="5">
        <v>18.995360000000002</v>
      </c>
      <c r="BZ38" s="5">
        <v>0</v>
      </c>
      <c r="CA38" s="5">
        <v>0.93631600000000004</v>
      </c>
      <c r="CB38" s="5">
        <v>524.72209999999995</v>
      </c>
      <c r="CC38" s="5">
        <v>542.00649999999996</v>
      </c>
      <c r="CD38" s="5">
        <v>69.240729999999999</v>
      </c>
      <c r="CE38" s="5">
        <v>502.54</v>
      </c>
      <c r="CF38" s="5">
        <v>81.48</v>
      </c>
      <c r="CG38" s="5">
        <v>93.56</v>
      </c>
      <c r="CH38" s="5">
        <v>454.35</v>
      </c>
      <c r="CI38" s="5">
        <v>477.32</v>
      </c>
      <c r="CJ38" s="5">
        <v>487.21</v>
      </c>
      <c r="CK38" s="5">
        <v>535.39</v>
      </c>
      <c r="CL38" s="5">
        <v>507.33</v>
      </c>
      <c r="CM38" s="5">
        <v>515.20000000000005</v>
      </c>
      <c r="CN38" s="5">
        <v>468.8</v>
      </c>
      <c r="CO38" s="5">
        <v>27.3</v>
      </c>
      <c r="CP38" s="5">
        <v>447.5</v>
      </c>
      <c r="CQ38" s="5">
        <v>448.05</v>
      </c>
      <c r="CR38" s="5">
        <v>8</v>
      </c>
      <c r="CS38" s="5">
        <v>8</v>
      </c>
      <c r="CT38" s="5">
        <v>21.96</v>
      </c>
      <c r="CU38" s="5">
        <v>18.920000000000002</v>
      </c>
      <c r="CV38" s="5">
        <v>100.75</v>
      </c>
      <c r="CW38" s="5">
        <v>0.81634932199999999</v>
      </c>
      <c r="CX38" s="5">
        <v>1.836785975</v>
      </c>
    </row>
    <row r="39" spans="1:102" x14ac:dyDescent="0.25">
      <c r="A39" s="5">
        <v>17</v>
      </c>
      <c r="B39" s="23">
        <v>2.5636574074074072E-2</v>
      </c>
      <c r="C39" s="5">
        <v>2</v>
      </c>
      <c r="D39" s="5">
        <v>16</v>
      </c>
      <c r="E39" s="5">
        <v>367</v>
      </c>
      <c r="F39" s="5">
        <v>367</v>
      </c>
      <c r="G39" s="5">
        <v>367</v>
      </c>
      <c r="H39" s="5">
        <v>82.6</v>
      </c>
      <c r="I39" s="5">
        <v>82.6</v>
      </c>
      <c r="J39" s="5">
        <v>1701</v>
      </c>
      <c r="K39" s="5">
        <v>20</v>
      </c>
      <c r="L39" s="5">
        <v>20</v>
      </c>
      <c r="M39" s="5">
        <v>0.19</v>
      </c>
      <c r="N39" s="5">
        <v>0.189917</v>
      </c>
      <c r="O39" s="5">
        <v>1</v>
      </c>
      <c r="P39" s="5">
        <v>1.0695399999999999</v>
      </c>
      <c r="Q39" s="5">
        <v>-3.64</v>
      </c>
      <c r="R39" s="5">
        <v>-3.6364749999999999</v>
      </c>
      <c r="S39" s="5">
        <v>133.76</v>
      </c>
      <c r="T39" s="5">
        <v>133.76560000000001</v>
      </c>
      <c r="U39" s="5">
        <v>3.5</v>
      </c>
      <c r="V39" s="5">
        <v>3.5</v>
      </c>
      <c r="W39" s="5">
        <v>300</v>
      </c>
      <c r="X39" s="5">
        <v>300</v>
      </c>
      <c r="Y39" s="5">
        <v>3.96</v>
      </c>
      <c r="Z39" s="5">
        <v>3.96875</v>
      </c>
      <c r="AA39" s="5">
        <v>300</v>
      </c>
      <c r="AB39" s="5">
        <v>300</v>
      </c>
      <c r="AC39" s="5">
        <v>0</v>
      </c>
      <c r="AD39" s="5">
        <v>95.099689999999995</v>
      </c>
      <c r="AE39" s="5">
        <v>0</v>
      </c>
      <c r="AF39" s="5">
        <v>95.099689999999995</v>
      </c>
      <c r="AG39" s="5">
        <v>40</v>
      </c>
      <c r="AH39" s="5">
        <v>0.17</v>
      </c>
      <c r="AI39" s="5">
        <v>53.4</v>
      </c>
      <c r="AJ39" s="5">
        <v>74.400000000000006</v>
      </c>
      <c r="AK39" s="5">
        <v>53.66</v>
      </c>
      <c r="AL39" s="5">
        <v>54.67</v>
      </c>
      <c r="AM39" s="5">
        <v>497.44</v>
      </c>
      <c r="AN39" s="5">
        <v>137.91739999999999</v>
      </c>
      <c r="AO39" s="5">
        <v>36.869999999999997</v>
      </c>
      <c r="AP39" s="5">
        <v>75.209999999999994</v>
      </c>
      <c r="AQ39" s="5">
        <v>46.98</v>
      </c>
      <c r="AR39" s="5">
        <v>413.95</v>
      </c>
      <c r="AS39" s="5">
        <v>16.79</v>
      </c>
      <c r="AT39" s="5">
        <v>50.85</v>
      </c>
      <c r="AU39" s="5">
        <v>97.58</v>
      </c>
      <c r="AV39" s="5">
        <v>112.84</v>
      </c>
      <c r="AW39" s="5">
        <v>0.35</v>
      </c>
      <c r="AX39" s="5">
        <v>5.1100000000000003</v>
      </c>
      <c r="AY39" s="5">
        <v>4.2866</v>
      </c>
      <c r="AZ39" s="5">
        <v>153.13999999999999</v>
      </c>
      <c r="BA39" s="5">
        <v>53.52</v>
      </c>
      <c r="BB39" s="5">
        <v>8.17</v>
      </c>
      <c r="BC39" s="5">
        <v>1.01</v>
      </c>
      <c r="BD39" s="5">
        <v>9.3800000000000008</v>
      </c>
      <c r="BE39" s="5">
        <v>2.71</v>
      </c>
      <c r="BF39" s="5">
        <v>326.16000000000003</v>
      </c>
      <c r="BG39" s="5">
        <v>12.38</v>
      </c>
      <c r="BH39" s="5">
        <v>0.28999999999999998</v>
      </c>
      <c r="BI39" s="5">
        <v>236.5</v>
      </c>
      <c r="BJ39" s="5">
        <v>26.8</v>
      </c>
      <c r="BK39" s="5">
        <v>86.5</v>
      </c>
      <c r="BL39" s="5">
        <v>58.5</v>
      </c>
      <c r="BM39" s="5">
        <v>1.53</v>
      </c>
      <c r="BN39" s="5">
        <v>29.88</v>
      </c>
      <c r="BO39" s="5">
        <v>36.32</v>
      </c>
      <c r="BP39" s="5">
        <v>429.43</v>
      </c>
      <c r="BQ39" s="5">
        <v>52.660679999999999</v>
      </c>
      <c r="BR39" s="5">
        <v>153.78919999999999</v>
      </c>
      <c r="BS39" s="5">
        <v>56.354149999999997</v>
      </c>
      <c r="BT39" s="5">
        <v>46.124650000000003</v>
      </c>
      <c r="BU39" s="5">
        <v>46.047710000000002</v>
      </c>
      <c r="BV39" s="5">
        <v>8.9732999999999993E-2</v>
      </c>
      <c r="BW39" s="5">
        <v>9.4909999999999994E-2</v>
      </c>
      <c r="BX39" s="5">
        <v>49.158329999999999</v>
      </c>
      <c r="BY39" s="5">
        <v>18.995360000000002</v>
      </c>
      <c r="BZ39" s="5">
        <v>0</v>
      </c>
      <c r="CA39" s="5">
        <v>0.93502300000000005</v>
      </c>
      <c r="CB39" s="5">
        <v>491.435</v>
      </c>
      <c r="CC39" s="5">
        <v>505.55459999999999</v>
      </c>
      <c r="CD39" s="5">
        <v>56.629840000000002</v>
      </c>
      <c r="CE39" s="5">
        <v>447.43</v>
      </c>
      <c r="CF39" s="5">
        <v>76.42</v>
      </c>
      <c r="CG39" s="5">
        <v>89.68</v>
      </c>
      <c r="CH39" s="5">
        <v>411.72</v>
      </c>
      <c r="CI39" s="5">
        <v>423.18</v>
      </c>
      <c r="CJ39" s="5">
        <v>434.48</v>
      </c>
      <c r="CK39" s="5">
        <v>477.99</v>
      </c>
      <c r="CL39" s="5">
        <v>455.42</v>
      </c>
      <c r="CM39" s="5">
        <v>460.57</v>
      </c>
      <c r="CN39" s="5">
        <v>416.46</v>
      </c>
      <c r="CO39" s="5">
        <v>26.43</v>
      </c>
      <c r="CP39" s="5">
        <v>366.5</v>
      </c>
      <c r="CQ39" s="5">
        <v>367.05</v>
      </c>
      <c r="CR39" s="5">
        <v>6.6</v>
      </c>
      <c r="CS39" s="5">
        <v>6.6</v>
      </c>
      <c r="CT39" s="5">
        <v>21.93</v>
      </c>
      <c r="CU39" s="5">
        <v>19.73</v>
      </c>
      <c r="CV39" s="5">
        <v>100.68</v>
      </c>
      <c r="CW39" s="5">
        <v>0.82009717500000001</v>
      </c>
      <c r="CX39" s="5">
        <v>2.2224633439999999</v>
      </c>
    </row>
    <row r="40" spans="1:102" x14ac:dyDescent="0.25">
      <c r="A40" s="5">
        <v>22</v>
      </c>
      <c r="B40" s="23">
        <v>1.1158564814814814E-2</v>
      </c>
      <c r="C40" s="5">
        <v>2</v>
      </c>
      <c r="D40" s="5">
        <v>21</v>
      </c>
      <c r="E40" s="5">
        <v>392</v>
      </c>
      <c r="F40" s="5">
        <v>392</v>
      </c>
      <c r="G40" s="5">
        <v>392</v>
      </c>
      <c r="H40" s="5">
        <v>82.6</v>
      </c>
      <c r="I40" s="5">
        <v>82.6</v>
      </c>
      <c r="J40" s="5">
        <v>1701</v>
      </c>
      <c r="K40" s="5">
        <v>71</v>
      </c>
      <c r="L40" s="5">
        <v>71</v>
      </c>
      <c r="M40" s="5">
        <v>0.13</v>
      </c>
      <c r="N40" s="5">
        <v>0.130049</v>
      </c>
      <c r="O40" s="5">
        <v>1</v>
      </c>
      <c r="P40" s="5">
        <v>1.0694999999999999</v>
      </c>
      <c r="Q40" s="5">
        <v>-3.79</v>
      </c>
      <c r="R40" s="5">
        <v>-3.7902830000000001</v>
      </c>
      <c r="S40" s="5">
        <v>138.99</v>
      </c>
      <c r="T40" s="5">
        <v>138.98439999999999</v>
      </c>
      <c r="U40" s="5">
        <v>3.5</v>
      </c>
      <c r="V40" s="5">
        <v>3.5</v>
      </c>
      <c r="W40" s="5">
        <v>300</v>
      </c>
      <c r="X40" s="5">
        <v>300</v>
      </c>
      <c r="Y40" s="5">
        <v>3.97</v>
      </c>
      <c r="Z40" s="5">
        <v>3.96875</v>
      </c>
      <c r="AA40" s="5">
        <v>300</v>
      </c>
      <c r="AB40" s="5">
        <v>300</v>
      </c>
      <c r="AC40" s="5">
        <v>0</v>
      </c>
      <c r="AD40" s="5">
        <v>162.79589999999999</v>
      </c>
      <c r="AE40" s="5">
        <v>0</v>
      </c>
      <c r="AF40" s="5">
        <v>151.5384</v>
      </c>
      <c r="AG40" s="5">
        <v>40</v>
      </c>
      <c r="AH40" s="5">
        <v>0.17</v>
      </c>
      <c r="AI40" s="5">
        <v>87.09</v>
      </c>
      <c r="AJ40" s="5">
        <v>114.92</v>
      </c>
      <c r="AK40" s="5">
        <v>280.83999999999997</v>
      </c>
      <c r="AL40" s="5">
        <v>279.77999999999997</v>
      </c>
      <c r="AM40" s="5">
        <v>453.35</v>
      </c>
      <c r="AN40" s="5">
        <v>236.9324</v>
      </c>
      <c r="AO40" s="5">
        <v>136.78</v>
      </c>
      <c r="AP40" s="5">
        <v>150.68</v>
      </c>
      <c r="AQ40" s="5">
        <v>150.33000000000001</v>
      </c>
      <c r="AR40" s="5">
        <v>572.9</v>
      </c>
      <c r="AS40" s="5">
        <v>144.05000000000001</v>
      </c>
      <c r="AT40" s="5">
        <v>71.25</v>
      </c>
      <c r="AU40" s="5">
        <v>118.47</v>
      </c>
      <c r="AV40" s="5">
        <v>115.87</v>
      </c>
      <c r="AW40" s="5">
        <v>0.155</v>
      </c>
      <c r="AX40" s="5">
        <v>2.14</v>
      </c>
      <c r="AY40" s="5">
        <v>1.7089000000000001</v>
      </c>
      <c r="AZ40" s="5">
        <v>96.09</v>
      </c>
      <c r="BA40" s="5">
        <v>35.04</v>
      </c>
      <c r="BB40" s="5">
        <v>6.99</v>
      </c>
      <c r="BC40" s="5">
        <v>1.6</v>
      </c>
      <c r="BD40" s="5">
        <v>11.01</v>
      </c>
      <c r="BE40" s="5">
        <v>2.31</v>
      </c>
      <c r="BF40" s="5">
        <v>209.55</v>
      </c>
      <c r="BG40" s="5">
        <v>22.9</v>
      </c>
      <c r="BH40" s="5">
        <v>0.12</v>
      </c>
      <c r="BI40" s="5">
        <v>264.10000000000002</v>
      </c>
      <c r="BJ40" s="5">
        <v>31</v>
      </c>
      <c r="BK40" s="5">
        <v>82.2</v>
      </c>
      <c r="BL40" s="5">
        <v>170.07</v>
      </c>
      <c r="BM40" s="5">
        <v>2.52</v>
      </c>
      <c r="BN40" s="5">
        <v>30.43</v>
      </c>
      <c r="BO40" s="5">
        <v>35.340000000000003</v>
      </c>
      <c r="BP40" s="5">
        <v>590.92999999999995</v>
      </c>
      <c r="BQ40" s="5">
        <v>70.414270000000002</v>
      </c>
      <c r="BR40" s="5">
        <v>377.08539999999999</v>
      </c>
      <c r="BS40" s="5">
        <v>50.675530000000002</v>
      </c>
      <c r="BT40" s="5">
        <v>64.432730000000006</v>
      </c>
      <c r="BU40" s="5">
        <v>62.358829999999998</v>
      </c>
      <c r="BV40" s="5">
        <v>9.9407999999999996E-2</v>
      </c>
      <c r="BW40" s="5">
        <v>8.1758999999999998E-2</v>
      </c>
      <c r="BX40" s="5">
        <v>59.863120000000002</v>
      </c>
      <c r="BY40" s="5">
        <v>18.995360000000002</v>
      </c>
      <c r="BZ40" s="5">
        <v>0</v>
      </c>
      <c r="CA40" s="5">
        <v>0.93585200000000002</v>
      </c>
      <c r="CB40" s="5">
        <v>801.38649999999996</v>
      </c>
      <c r="CC40" s="5">
        <v>818.18399999999997</v>
      </c>
      <c r="CD40" s="5">
        <v>67.335620000000006</v>
      </c>
      <c r="CE40" s="5">
        <v>435.88</v>
      </c>
      <c r="CF40" s="5">
        <v>97.35</v>
      </c>
      <c r="CG40" s="5">
        <v>112.94</v>
      </c>
      <c r="CH40" s="5">
        <v>419.34</v>
      </c>
      <c r="CI40" s="5">
        <v>410.5</v>
      </c>
      <c r="CJ40" s="5">
        <v>426.14</v>
      </c>
      <c r="CK40" s="5">
        <v>457.46</v>
      </c>
      <c r="CL40" s="5">
        <v>432.63</v>
      </c>
      <c r="CM40" s="5">
        <v>439.32</v>
      </c>
      <c r="CN40" s="5">
        <v>309.07</v>
      </c>
      <c r="CO40" s="5">
        <v>26.45</v>
      </c>
      <c r="CP40" s="5">
        <v>391.4</v>
      </c>
      <c r="CQ40" s="5">
        <v>392.05</v>
      </c>
      <c r="CR40" s="5">
        <v>7</v>
      </c>
      <c r="CS40" s="5">
        <v>7</v>
      </c>
      <c r="CT40" s="5">
        <v>21.78</v>
      </c>
      <c r="CU40" s="5">
        <v>19</v>
      </c>
      <c r="CV40" s="5">
        <v>100.69</v>
      </c>
      <c r="CW40" s="5">
        <v>0.82792354300000004</v>
      </c>
      <c r="CX40" s="5">
        <v>1.9125033840000001</v>
      </c>
    </row>
    <row r="41" spans="1:102" x14ac:dyDescent="0.25">
      <c r="A41" s="5">
        <v>3</v>
      </c>
      <c r="B41" s="23">
        <v>2.9435185185185186E-2</v>
      </c>
      <c r="C41" s="5">
        <v>2</v>
      </c>
      <c r="D41" s="5">
        <v>3</v>
      </c>
      <c r="E41" s="5">
        <v>308</v>
      </c>
      <c r="F41" s="5">
        <v>308</v>
      </c>
      <c r="G41" s="5">
        <v>308.10000000000002</v>
      </c>
      <c r="H41" s="5">
        <v>82.6</v>
      </c>
      <c r="I41" s="5">
        <v>82.6</v>
      </c>
      <c r="J41" s="5">
        <v>1701</v>
      </c>
      <c r="K41" s="5">
        <v>5</v>
      </c>
      <c r="L41" s="5">
        <v>5</v>
      </c>
      <c r="M41" s="5">
        <v>0.28999999999999998</v>
      </c>
      <c r="N41" s="5">
        <v>0.289912</v>
      </c>
      <c r="O41" s="5">
        <v>1</v>
      </c>
      <c r="P41" s="5">
        <v>1.0700590000000001</v>
      </c>
      <c r="Q41" s="5">
        <v>-3.29</v>
      </c>
      <c r="R41" s="5">
        <v>-3.2849119999999998</v>
      </c>
      <c r="S41" s="5">
        <v>121.41</v>
      </c>
      <c r="T41" s="5">
        <v>121.4063</v>
      </c>
      <c r="U41" s="5">
        <v>3.5</v>
      </c>
      <c r="V41" s="5">
        <v>3.5</v>
      </c>
      <c r="W41" s="5">
        <v>300</v>
      </c>
      <c r="X41" s="5">
        <v>300</v>
      </c>
      <c r="Y41" s="5">
        <v>3.99</v>
      </c>
      <c r="Z41" s="5">
        <v>4</v>
      </c>
      <c r="AA41" s="5">
        <v>300</v>
      </c>
      <c r="AB41" s="5">
        <v>300</v>
      </c>
      <c r="AC41" s="5">
        <v>0</v>
      </c>
      <c r="AD41" s="5">
        <v>83.848590000000002</v>
      </c>
      <c r="AE41" s="5">
        <v>0</v>
      </c>
      <c r="AF41" s="5">
        <v>83.848590000000002</v>
      </c>
      <c r="AG41" s="5">
        <v>40</v>
      </c>
      <c r="AH41" s="5">
        <v>0.17</v>
      </c>
      <c r="AI41" s="5">
        <v>45.91</v>
      </c>
      <c r="AJ41" s="5">
        <v>58.47</v>
      </c>
      <c r="AK41" s="5">
        <v>32.9</v>
      </c>
      <c r="AL41" s="5">
        <v>32.44</v>
      </c>
      <c r="AM41" s="5">
        <v>487.7</v>
      </c>
      <c r="AN41" s="5">
        <v>118.8198</v>
      </c>
      <c r="AO41" s="5">
        <v>17.95</v>
      </c>
      <c r="AP41" s="5">
        <v>54.47</v>
      </c>
      <c r="AQ41" s="5">
        <v>25.94</v>
      </c>
      <c r="AR41" s="5">
        <v>336.74</v>
      </c>
      <c r="AS41" s="5">
        <v>14.95</v>
      </c>
      <c r="AT41" s="5">
        <v>45.51</v>
      </c>
      <c r="AU41" s="5">
        <v>98.9</v>
      </c>
      <c r="AV41" s="5">
        <v>113.2</v>
      </c>
      <c r="AW41" s="5">
        <v>0.90900000000000003</v>
      </c>
      <c r="AX41" s="5">
        <v>15.78</v>
      </c>
      <c r="AY41" s="5">
        <v>9.7471999999999994</v>
      </c>
      <c r="AZ41" s="5">
        <v>248.45</v>
      </c>
      <c r="BA41" s="5">
        <v>68.72</v>
      </c>
      <c r="BB41" s="5">
        <v>8.67</v>
      </c>
      <c r="BC41" s="5">
        <v>1.48</v>
      </c>
      <c r="BD41" s="5">
        <v>8.6300000000000008</v>
      </c>
      <c r="BE41" s="5">
        <v>1.66</v>
      </c>
      <c r="BF41" s="5">
        <v>208.15</v>
      </c>
      <c r="BG41" s="5">
        <v>17.13</v>
      </c>
      <c r="BH41" s="5">
        <v>0.61</v>
      </c>
      <c r="BI41" s="5">
        <v>245</v>
      </c>
      <c r="BJ41" s="5">
        <v>25</v>
      </c>
      <c r="BK41" s="5">
        <v>83.6</v>
      </c>
      <c r="BL41" s="5">
        <v>69.56</v>
      </c>
      <c r="BM41" s="5">
        <v>1.36</v>
      </c>
      <c r="BN41" s="5">
        <v>30.31</v>
      </c>
      <c r="BO41" s="5">
        <v>36.81</v>
      </c>
      <c r="BP41" s="5">
        <v>350.04</v>
      </c>
      <c r="BQ41" s="5">
        <v>47.423650000000002</v>
      </c>
      <c r="BR41" s="5">
        <v>130.89089999999999</v>
      </c>
      <c r="BS41" s="5">
        <v>64.373509999999996</v>
      </c>
      <c r="BT41" s="5">
        <v>49.064149999999998</v>
      </c>
      <c r="BU41" s="5">
        <v>48.320810000000002</v>
      </c>
      <c r="BV41" s="5">
        <v>8.2165000000000002E-2</v>
      </c>
      <c r="BW41" s="5">
        <v>7.7974000000000002E-2</v>
      </c>
      <c r="BX41" s="5">
        <v>40.354059999999997</v>
      </c>
      <c r="BY41" s="5">
        <v>18.995360000000002</v>
      </c>
      <c r="BZ41" s="5">
        <v>0</v>
      </c>
      <c r="CA41" s="5">
        <v>0.93749099999999996</v>
      </c>
      <c r="CB41" s="5">
        <v>431.43900000000002</v>
      </c>
      <c r="CC41" s="5">
        <v>443.3535</v>
      </c>
      <c r="CD41" s="5">
        <v>47.856929999999998</v>
      </c>
      <c r="CE41" s="5">
        <v>452.72</v>
      </c>
      <c r="CF41" s="5">
        <v>74.25</v>
      </c>
      <c r="CG41" s="5">
        <v>89.67</v>
      </c>
      <c r="CH41" s="5">
        <v>406.58</v>
      </c>
      <c r="CI41" s="5">
        <v>414.47</v>
      </c>
      <c r="CJ41" s="5">
        <v>428.04</v>
      </c>
      <c r="CK41" s="5">
        <v>470.48</v>
      </c>
      <c r="CL41" s="5">
        <v>447.35</v>
      </c>
      <c r="CM41" s="5">
        <v>453.08</v>
      </c>
      <c r="CN41" s="5">
        <v>418.38</v>
      </c>
      <c r="CO41" s="5">
        <v>23.31</v>
      </c>
      <c r="CP41" s="5">
        <v>307.2</v>
      </c>
      <c r="CQ41" s="5">
        <v>308.05</v>
      </c>
      <c r="CR41" s="5">
        <v>5.5</v>
      </c>
      <c r="CS41" s="5">
        <v>5.5</v>
      </c>
      <c r="CT41" s="5">
        <v>19.55</v>
      </c>
      <c r="CU41" s="5">
        <v>25.74</v>
      </c>
      <c r="CV41" s="5">
        <v>100.65</v>
      </c>
      <c r="CW41" s="5">
        <v>0.81727110300000005</v>
      </c>
      <c r="CX41" s="5">
        <v>1.3566700309999999</v>
      </c>
    </row>
    <row r="42" spans="1:102" x14ac:dyDescent="0.25">
      <c r="A42" s="5">
        <v>18</v>
      </c>
      <c r="B42" s="23">
        <v>3.1059027777777779E-2</v>
      </c>
      <c r="C42" s="5">
        <v>2</v>
      </c>
      <c r="D42" s="5">
        <v>17</v>
      </c>
      <c r="E42" s="5">
        <v>373</v>
      </c>
      <c r="F42" s="5">
        <v>373</v>
      </c>
      <c r="G42" s="5">
        <v>373.1</v>
      </c>
      <c r="H42" s="5">
        <v>82.6</v>
      </c>
      <c r="I42" s="5">
        <v>82.6</v>
      </c>
      <c r="J42" s="5">
        <v>1701</v>
      </c>
      <c r="K42" s="5">
        <v>69</v>
      </c>
      <c r="L42" s="5">
        <v>69</v>
      </c>
      <c r="M42" s="5">
        <v>0.2</v>
      </c>
      <c r="N42" s="5">
        <v>0.199961</v>
      </c>
      <c r="O42" s="5">
        <v>1</v>
      </c>
      <c r="P42" s="5">
        <v>1.069456</v>
      </c>
      <c r="Q42" s="5">
        <v>-3.68</v>
      </c>
      <c r="R42" s="5">
        <v>-3.6804199999999998</v>
      </c>
      <c r="S42" s="5">
        <v>135.02000000000001</v>
      </c>
      <c r="T42" s="5">
        <v>135.01560000000001</v>
      </c>
      <c r="U42" s="5">
        <v>3.5</v>
      </c>
      <c r="V42" s="5">
        <v>3.5</v>
      </c>
      <c r="W42" s="5">
        <v>300</v>
      </c>
      <c r="X42" s="5">
        <v>300</v>
      </c>
      <c r="Y42" s="5">
        <v>3.96</v>
      </c>
      <c r="Z42" s="5">
        <v>3.96875</v>
      </c>
      <c r="AA42" s="5">
        <v>300</v>
      </c>
      <c r="AB42" s="5">
        <v>300</v>
      </c>
      <c r="AC42" s="5">
        <v>0</v>
      </c>
      <c r="AD42" s="5">
        <v>130.625</v>
      </c>
      <c r="AE42" s="5">
        <v>0</v>
      </c>
      <c r="AF42" s="5">
        <v>130.625</v>
      </c>
      <c r="AG42" s="5">
        <v>40</v>
      </c>
      <c r="AH42" s="5">
        <v>0.17</v>
      </c>
      <c r="AI42" s="5">
        <v>75.239999999999995</v>
      </c>
      <c r="AJ42" s="5">
        <v>101.95</v>
      </c>
      <c r="AK42" s="5">
        <v>198.44</v>
      </c>
      <c r="AL42" s="5">
        <v>196.46</v>
      </c>
      <c r="AM42" s="5">
        <v>457.77</v>
      </c>
      <c r="AN42" s="5">
        <v>205.50290000000001</v>
      </c>
      <c r="AO42" s="5">
        <v>105.44</v>
      </c>
      <c r="AP42" s="5">
        <v>128.24</v>
      </c>
      <c r="AQ42" s="5">
        <v>116.51</v>
      </c>
      <c r="AR42" s="5">
        <v>452.5</v>
      </c>
      <c r="AS42" s="5">
        <v>93</v>
      </c>
      <c r="AT42" s="5">
        <v>78.72</v>
      </c>
      <c r="AU42" s="5">
        <v>127.8</v>
      </c>
      <c r="AV42" s="5">
        <v>114.72</v>
      </c>
      <c r="AW42" s="5">
        <v>0.90500000000000003</v>
      </c>
      <c r="AX42" s="5">
        <v>15.69</v>
      </c>
      <c r="AY42" s="5">
        <v>12.3713</v>
      </c>
      <c r="AZ42" s="5">
        <v>199.18</v>
      </c>
      <c r="BA42" s="5">
        <v>53.12</v>
      </c>
      <c r="BB42" s="5">
        <v>8.19</v>
      </c>
      <c r="BC42" s="5">
        <v>2.52</v>
      </c>
      <c r="BD42" s="5">
        <v>9.33</v>
      </c>
      <c r="BE42" s="5">
        <v>1.02</v>
      </c>
      <c r="BF42" s="5">
        <v>113.71</v>
      </c>
      <c r="BG42" s="5">
        <v>30.83</v>
      </c>
      <c r="BH42" s="5">
        <v>0.74</v>
      </c>
      <c r="BI42" s="5">
        <v>257</v>
      </c>
      <c r="BJ42" s="5">
        <v>26.5</v>
      </c>
      <c r="BK42" s="5">
        <v>83</v>
      </c>
      <c r="BL42" s="5">
        <v>201.8</v>
      </c>
      <c r="BM42" s="5">
        <v>2.2000000000000002</v>
      </c>
      <c r="BN42" s="5">
        <v>31.26</v>
      </c>
      <c r="BO42" s="5">
        <v>36.39</v>
      </c>
      <c r="BP42" s="5">
        <v>469.71</v>
      </c>
      <c r="BQ42" s="5">
        <v>76.330939999999998</v>
      </c>
      <c r="BR42" s="5">
        <v>290.39800000000002</v>
      </c>
      <c r="BS42" s="5">
        <v>53.843850000000003</v>
      </c>
      <c r="BT42" s="5">
        <v>59.951720000000002</v>
      </c>
      <c r="BU42" s="5">
        <v>58.703699999999998</v>
      </c>
      <c r="BV42" s="5">
        <v>9.2365000000000003E-2</v>
      </c>
      <c r="BW42" s="5">
        <v>8.3516999999999994E-2</v>
      </c>
      <c r="BX42" s="5">
        <v>53.981610000000003</v>
      </c>
      <c r="BY42" s="5">
        <v>18.995360000000002</v>
      </c>
      <c r="BZ42" s="5">
        <v>0</v>
      </c>
      <c r="CA42" s="5">
        <v>0.93442499999999995</v>
      </c>
      <c r="CB42" s="5">
        <v>682.25959999999998</v>
      </c>
      <c r="CC42" s="5">
        <v>697.58540000000005</v>
      </c>
      <c r="CD42" s="5">
        <v>61.454009999999997</v>
      </c>
      <c r="CE42" s="5">
        <v>462.2</v>
      </c>
      <c r="CF42" s="5">
        <v>104.23</v>
      </c>
      <c r="CG42" s="5">
        <v>121.67</v>
      </c>
      <c r="CH42" s="5">
        <v>421.92</v>
      </c>
      <c r="CI42" s="5">
        <v>424</v>
      </c>
      <c r="CJ42" s="5">
        <v>433.81</v>
      </c>
      <c r="CK42" s="5">
        <v>458.5</v>
      </c>
      <c r="CL42" s="5">
        <v>452.35</v>
      </c>
      <c r="CM42" s="5">
        <v>452.71</v>
      </c>
      <c r="CN42" s="5">
        <v>333.62</v>
      </c>
      <c r="CO42" s="5">
        <v>26.69</v>
      </c>
      <c r="CP42" s="5">
        <v>372.5</v>
      </c>
      <c r="CQ42" s="5">
        <v>373.05</v>
      </c>
      <c r="CR42" s="5">
        <v>6.7</v>
      </c>
      <c r="CS42" s="5">
        <v>6.7</v>
      </c>
      <c r="CT42" s="5">
        <v>21.98</v>
      </c>
      <c r="CU42" s="5">
        <v>19.64</v>
      </c>
      <c r="CV42" s="5">
        <v>100.68</v>
      </c>
      <c r="CW42" s="5">
        <v>0.819683842</v>
      </c>
      <c r="CX42" s="5">
        <v>0.83607751900000005</v>
      </c>
    </row>
    <row r="43" spans="1:102" x14ac:dyDescent="0.25">
      <c r="A43" s="5">
        <v>4</v>
      </c>
      <c r="B43" s="23">
        <v>3.4873842592592595E-2</v>
      </c>
      <c r="C43" s="5">
        <v>2</v>
      </c>
      <c r="D43" s="5">
        <v>4</v>
      </c>
      <c r="E43" s="5">
        <v>311</v>
      </c>
      <c r="F43" s="5">
        <v>311</v>
      </c>
      <c r="G43" s="5">
        <v>311.10000000000002</v>
      </c>
      <c r="H43" s="5">
        <v>82.6</v>
      </c>
      <c r="I43" s="5">
        <v>82.6</v>
      </c>
      <c r="J43" s="5">
        <v>1701</v>
      </c>
      <c r="K43" s="5">
        <v>73</v>
      </c>
      <c r="L43" s="5">
        <v>73</v>
      </c>
      <c r="M43" s="5">
        <v>0.1</v>
      </c>
      <c r="N43" s="5">
        <v>0.10000299999999999</v>
      </c>
      <c r="O43" s="5">
        <v>1</v>
      </c>
      <c r="P43" s="5">
        <v>1.070092</v>
      </c>
      <c r="Q43" s="5">
        <v>-3.31</v>
      </c>
      <c r="R43" s="5">
        <v>-3.3068849999999999</v>
      </c>
      <c r="S43" s="5">
        <v>122.04</v>
      </c>
      <c r="T43" s="5">
        <v>122.04689999999999</v>
      </c>
      <c r="U43" s="5">
        <v>3.5</v>
      </c>
      <c r="V43" s="5">
        <v>3.5</v>
      </c>
      <c r="W43" s="5">
        <v>300</v>
      </c>
      <c r="X43" s="5">
        <v>300</v>
      </c>
      <c r="Y43" s="5">
        <v>3.99</v>
      </c>
      <c r="Z43" s="5">
        <v>4</v>
      </c>
      <c r="AA43" s="5">
        <v>300</v>
      </c>
      <c r="AB43" s="5">
        <v>300</v>
      </c>
      <c r="AC43" s="5">
        <v>0</v>
      </c>
      <c r="AD43" s="5">
        <v>161.14590000000001</v>
      </c>
      <c r="AE43" s="5">
        <v>0</v>
      </c>
      <c r="AF43" s="5">
        <v>151.5385</v>
      </c>
      <c r="AG43" s="5">
        <v>40</v>
      </c>
      <c r="AH43" s="5">
        <v>0.17</v>
      </c>
      <c r="AI43" s="5">
        <v>85.52</v>
      </c>
      <c r="AJ43" s="5">
        <v>114.15</v>
      </c>
      <c r="AK43" s="5">
        <v>302.66000000000003</v>
      </c>
      <c r="AL43" s="5">
        <v>302.08</v>
      </c>
      <c r="AM43" s="5">
        <v>420.82</v>
      </c>
      <c r="AN43" s="5">
        <v>233.22550000000001</v>
      </c>
      <c r="AO43" s="5">
        <v>133.24</v>
      </c>
      <c r="AP43" s="5">
        <v>143.32</v>
      </c>
      <c r="AQ43" s="5">
        <v>147.22999999999999</v>
      </c>
      <c r="AR43" s="5">
        <v>594.51</v>
      </c>
      <c r="AS43" s="5">
        <v>169.42</v>
      </c>
      <c r="AT43" s="5">
        <v>66.94</v>
      </c>
      <c r="AU43" s="5">
        <v>107.85</v>
      </c>
      <c r="AV43" s="5">
        <v>115.1</v>
      </c>
      <c r="AW43" s="5">
        <v>0.123</v>
      </c>
      <c r="AX43" s="5">
        <v>1.68</v>
      </c>
      <c r="AY43" s="5">
        <v>1.4495</v>
      </c>
      <c r="AZ43" s="5">
        <v>69.099999999999994</v>
      </c>
      <c r="BA43" s="5">
        <v>42.22</v>
      </c>
      <c r="BB43" s="5">
        <v>5.83</v>
      </c>
      <c r="BC43" s="5">
        <v>1.07</v>
      </c>
      <c r="BD43" s="5">
        <v>12.57</v>
      </c>
      <c r="BE43" s="5">
        <v>3.8</v>
      </c>
      <c r="BF43" s="5">
        <v>256.99</v>
      </c>
      <c r="BG43" s="5">
        <v>18.329999999999998</v>
      </c>
      <c r="BH43" s="5">
        <v>0.1</v>
      </c>
      <c r="BI43" s="5">
        <v>288.2</v>
      </c>
      <c r="BJ43" s="5">
        <v>37.200000000000003</v>
      </c>
      <c r="BK43" s="5">
        <v>82.1</v>
      </c>
      <c r="BL43" s="5">
        <v>133.37</v>
      </c>
      <c r="BM43" s="5">
        <v>2.48</v>
      </c>
      <c r="BN43" s="5">
        <v>29.95</v>
      </c>
      <c r="BO43" s="5">
        <v>34.31</v>
      </c>
      <c r="BP43" s="5">
        <v>610.26</v>
      </c>
      <c r="BQ43" s="5">
        <v>67.159220000000005</v>
      </c>
      <c r="BR43" s="5">
        <v>401.96460000000002</v>
      </c>
      <c r="BS43" s="5">
        <v>56.327060000000003</v>
      </c>
      <c r="BT43" s="5">
        <v>78.175510000000003</v>
      </c>
      <c r="BU43" s="5">
        <v>74.482349999999997</v>
      </c>
      <c r="BV43" s="5">
        <v>8.9748999999999995E-2</v>
      </c>
      <c r="BW43" s="5">
        <v>6.1685999999999998E-2</v>
      </c>
      <c r="BX43" s="5">
        <v>49.181249999999999</v>
      </c>
      <c r="BY43" s="5">
        <v>18.995360000000002</v>
      </c>
      <c r="BZ43" s="5">
        <v>0</v>
      </c>
      <c r="CA43" s="5">
        <v>0.93500700000000003</v>
      </c>
      <c r="CB43" s="5">
        <v>795.67190000000005</v>
      </c>
      <c r="CC43" s="5">
        <v>809.80290000000002</v>
      </c>
      <c r="CD43" s="5">
        <v>56.68385</v>
      </c>
      <c r="CE43" s="5">
        <v>385.26</v>
      </c>
      <c r="CF43" s="5">
        <v>88.28</v>
      </c>
      <c r="CG43" s="5">
        <v>101.58</v>
      </c>
      <c r="CH43" s="5">
        <v>388.36</v>
      </c>
      <c r="CI43" s="5">
        <v>377.58</v>
      </c>
      <c r="CJ43" s="5">
        <v>385.97</v>
      </c>
      <c r="CK43" s="5">
        <v>419.54</v>
      </c>
      <c r="CL43" s="5">
        <v>393.43</v>
      </c>
      <c r="CM43" s="5">
        <v>394.87</v>
      </c>
      <c r="CN43" s="5">
        <v>280.5</v>
      </c>
      <c r="CO43" s="5">
        <v>23.39</v>
      </c>
      <c r="CP43" s="5">
        <v>310.10000000000002</v>
      </c>
      <c r="CQ43" s="5">
        <v>311.05</v>
      </c>
      <c r="CR43" s="5">
        <v>5.6</v>
      </c>
      <c r="CS43" s="5">
        <v>5.6</v>
      </c>
      <c r="CT43" s="5">
        <v>19.54</v>
      </c>
      <c r="CU43" s="5">
        <v>24.55</v>
      </c>
      <c r="CV43" s="5">
        <v>100.65</v>
      </c>
      <c r="CW43" s="5">
        <v>0.83923243800000003</v>
      </c>
      <c r="CX43" s="5">
        <v>3.1890832640000002</v>
      </c>
    </row>
    <row r="44" spans="1:102" x14ac:dyDescent="0.25">
      <c r="A44" s="5">
        <v>44</v>
      </c>
      <c r="B44" s="23">
        <v>2.5017361111111108E-2</v>
      </c>
      <c r="C44" s="5">
        <v>2</v>
      </c>
      <c r="D44" s="5">
        <v>42</v>
      </c>
      <c r="E44" s="5">
        <v>486</v>
      </c>
      <c r="F44" s="5">
        <v>486</v>
      </c>
      <c r="G44" s="5">
        <v>486</v>
      </c>
      <c r="H44" s="5">
        <v>82.6</v>
      </c>
      <c r="I44" s="5">
        <v>82.6</v>
      </c>
      <c r="J44" s="5">
        <v>1701</v>
      </c>
      <c r="K44" s="5">
        <v>6</v>
      </c>
      <c r="L44" s="5">
        <v>6</v>
      </c>
      <c r="M44" s="5">
        <v>0.12</v>
      </c>
      <c r="N44" s="5">
        <v>0.11994100000000001</v>
      </c>
      <c r="O44" s="5">
        <v>1</v>
      </c>
      <c r="P44" s="5">
        <v>1.069421</v>
      </c>
      <c r="Q44" s="5">
        <v>-4.5599999999999996</v>
      </c>
      <c r="R44" s="5">
        <v>-4.5593260000000004</v>
      </c>
      <c r="S44" s="5">
        <v>158.56</v>
      </c>
      <c r="T44" s="5">
        <v>158.5625</v>
      </c>
      <c r="U44" s="5">
        <v>3.5</v>
      </c>
      <c r="V44" s="5">
        <v>3.5</v>
      </c>
      <c r="W44" s="5">
        <v>300</v>
      </c>
      <c r="X44" s="5">
        <v>300</v>
      </c>
      <c r="Y44" s="5">
        <v>3.5</v>
      </c>
      <c r="Z44" s="5">
        <v>3.5</v>
      </c>
      <c r="AA44" s="5">
        <v>300</v>
      </c>
      <c r="AB44" s="5">
        <v>300</v>
      </c>
      <c r="AC44" s="5">
        <v>0</v>
      </c>
      <c r="AD44" s="5">
        <v>102.3715</v>
      </c>
      <c r="AE44" s="5">
        <v>0</v>
      </c>
      <c r="AF44" s="5">
        <v>102.3715</v>
      </c>
      <c r="AG44" s="5">
        <v>40</v>
      </c>
      <c r="AH44" s="5">
        <v>0.17</v>
      </c>
      <c r="AI44" s="5">
        <v>58.49</v>
      </c>
      <c r="AJ44" s="5">
        <v>81.98</v>
      </c>
      <c r="AK44" s="5">
        <v>63.53</v>
      </c>
      <c r="AL44" s="5">
        <v>65.91</v>
      </c>
      <c r="AM44" s="5">
        <v>591.95000000000005</v>
      </c>
      <c r="AN44" s="5">
        <v>149.3586</v>
      </c>
      <c r="AO44" s="5">
        <v>48.23</v>
      </c>
      <c r="AP44" s="5">
        <v>80.91</v>
      </c>
      <c r="AQ44" s="5">
        <v>59.65</v>
      </c>
      <c r="AR44" s="5">
        <v>463.47</v>
      </c>
      <c r="AS44" s="5">
        <v>15.29</v>
      </c>
      <c r="AT44" s="5">
        <v>51.72</v>
      </c>
      <c r="AU44" s="5">
        <v>97.36</v>
      </c>
      <c r="AV44" s="5">
        <v>121.37</v>
      </c>
      <c r="AW44" s="5">
        <v>0.28699999999999998</v>
      </c>
      <c r="AX44" s="5">
        <v>4.12</v>
      </c>
      <c r="AY44" s="5">
        <v>3.1526999999999998</v>
      </c>
      <c r="AZ44" s="5">
        <v>150.63</v>
      </c>
      <c r="BA44" s="5">
        <v>18.690000000000001</v>
      </c>
      <c r="BB44" s="5">
        <v>9.34</v>
      </c>
      <c r="BC44" s="5">
        <v>0.66</v>
      </c>
      <c r="BD44" s="5">
        <v>7.63</v>
      </c>
      <c r="BE44" s="5">
        <v>3.44</v>
      </c>
      <c r="BF44" s="5">
        <v>501.81</v>
      </c>
      <c r="BG44" s="5">
        <v>7.1</v>
      </c>
      <c r="BH44" s="5">
        <v>0.22</v>
      </c>
      <c r="BI44" s="5">
        <v>233.9</v>
      </c>
      <c r="BJ44" s="5">
        <v>22.9</v>
      </c>
      <c r="BK44" s="5">
        <v>85.4</v>
      </c>
      <c r="BL44" s="5">
        <v>35.44</v>
      </c>
      <c r="BM44" s="5">
        <v>1.63</v>
      </c>
      <c r="BN44" s="5">
        <v>29.58</v>
      </c>
      <c r="BO44" s="5">
        <v>37.51</v>
      </c>
      <c r="BP44" s="5">
        <v>483.8</v>
      </c>
      <c r="BQ44" s="5">
        <v>53.586039999999997</v>
      </c>
      <c r="BR44" s="5">
        <v>166.8297</v>
      </c>
      <c r="BS44" s="5">
        <v>47.446010000000001</v>
      </c>
      <c r="BT44" s="5">
        <v>37.087009999999999</v>
      </c>
      <c r="BU44" s="5">
        <v>37.02214</v>
      </c>
      <c r="BV44" s="5">
        <v>0.102007</v>
      </c>
      <c r="BW44" s="5">
        <v>0.106729</v>
      </c>
      <c r="BX44" s="5">
        <v>68.06474</v>
      </c>
      <c r="BY44" s="5">
        <v>18.995360000000002</v>
      </c>
      <c r="BZ44" s="5">
        <v>0</v>
      </c>
      <c r="CA44" s="5">
        <v>0.93772599999999995</v>
      </c>
      <c r="CB44" s="5">
        <v>532.245</v>
      </c>
      <c r="CC44" s="5">
        <v>550.9796</v>
      </c>
      <c r="CD44" s="5">
        <v>75.068070000000006</v>
      </c>
      <c r="CE44" s="5">
        <v>457.51</v>
      </c>
      <c r="CF44" s="5">
        <v>78.819999999999993</v>
      </c>
      <c r="CG44" s="5">
        <v>93.1</v>
      </c>
      <c r="CH44" s="5">
        <v>475.17</v>
      </c>
      <c r="CI44" s="5">
        <v>504.45</v>
      </c>
      <c r="CJ44" s="5">
        <v>510.12</v>
      </c>
      <c r="CK44" s="5">
        <v>561.78</v>
      </c>
      <c r="CL44" s="5">
        <v>534.95000000000005</v>
      </c>
      <c r="CM44" s="5">
        <v>528.83000000000004</v>
      </c>
      <c r="CN44" s="5">
        <v>497.63</v>
      </c>
      <c r="CO44" s="5">
        <v>27.62</v>
      </c>
      <c r="CP44" s="5">
        <v>483.8</v>
      </c>
      <c r="CQ44" s="5">
        <v>486.05</v>
      </c>
      <c r="CR44" s="5">
        <v>8.6999999999999993</v>
      </c>
      <c r="CS44" s="5">
        <v>8.6999999999999993</v>
      </c>
      <c r="CT44" s="5">
        <v>26.3</v>
      </c>
      <c r="CU44" s="5">
        <v>27.02</v>
      </c>
      <c r="CV44" s="5">
        <v>100.78</v>
      </c>
      <c r="CW44" s="5">
        <v>0.85403406800000004</v>
      </c>
      <c r="CX44" s="5">
        <v>2.9378771939999999</v>
      </c>
    </row>
    <row r="45" spans="1:102" x14ac:dyDescent="0.25">
      <c r="A45" s="5">
        <v>9</v>
      </c>
      <c r="B45" s="23">
        <v>2.0362268518518519E-2</v>
      </c>
      <c r="C45" s="5">
        <v>2</v>
      </c>
      <c r="D45" s="5">
        <v>9</v>
      </c>
      <c r="E45" s="5">
        <v>336</v>
      </c>
      <c r="F45" s="5">
        <v>336</v>
      </c>
      <c r="G45" s="5">
        <v>336</v>
      </c>
      <c r="H45" s="5">
        <v>82.6</v>
      </c>
      <c r="I45" s="5">
        <v>82.6</v>
      </c>
      <c r="J45" s="5">
        <v>1701</v>
      </c>
      <c r="K45" s="5">
        <v>17</v>
      </c>
      <c r="L45" s="5">
        <v>17</v>
      </c>
      <c r="M45" s="5">
        <v>0.28000000000000003</v>
      </c>
      <c r="N45" s="5">
        <v>0.28006199999999998</v>
      </c>
      <c r="O45" s="5">
        <v>1</v>
      </c>
      <c r="P45" s="5">
        <v>1.0699609999999999</v>
      </c>
      <c r="Q45" s="5">
        <v>-3.46</v>
      </c>
      <c r="R45" s="5">
        <v>-3.460693</v>
      </c>
      <c r="S45" s="5">
        <v>127.28</v>
      </c>
      <c r="T45" s="5">
        <v>127.2813</v>
      </c>
      <c r="U45" s="5">
        <v>3.5</v>
      </c>
      <c r="V45" s="5">
        <v>3.5</v>
      </c>
      <c r="W45" s="5">
        <v>300</v>
      </c>
      <c r="X45" s="5">
        <v>300</v>
      </c>
      <c r="Y45" s="5">
        <v>3.97</v>
      </c>
      <c r="Z45" s="5">
        <v>3.96875</v>
      </c>
      <c r="AA45" s="5">
        <v>300</v>
      </c>
      <c r="AB45" s="5">
        <v>300</v>
      </c>
      <c r="AC45" s="5">
        <v>0</v>
      </c>
      <c r="AD45" s="5">
        <v>87.348280000000003</v>
      </c>
      <c r="AE45" s="5">
        <v>0</v>
      </c>
      <c r="AF45" s="5">
        <v>87.352810000000005</v>
      </c>
      <c r="AG45" s="5">
        <v>40</v>
      </c>
      <c r="AH45" s="5">
        <v>0.17</v>
      </c>
      <c r="AI45" s="5">
        <v>49.53</v>
      </c>
      <c r="AJ45" s="5">
        <v>66.91</v>
      </c>
      <c r="AK45" s="5">
        <v>42.43</v>
      </c>
      <c r="AL45" s="5">
        <v>42.63</v>
      </c>
      <c r="AM45" s="5">
        <v>505.12</v>
      </c>
      <c r="AN45" s="5">
        <v>128.7782</v>
      </c>
      <c r="AO45" s="5">
        <v>28.16</v>
      </c>
      <c r="AP45" s="5">
        <v>66.099999999999994</v>
      </c>
      <c r="AQ45" s="5">
        <v>37.119999999999997</v>
      </c>
      <c r="AR45" s="5">
        <v>364.99</v>
      </c>
      <c r="AS45" s="5">
        <v>14.26</v>
      </c>
      <c r="AT45" s="5">
        <v>58.29</v>
      </c>
      <c r="AU45" s="5">
        <v>98.84</v>
      </c>
      <c r="AV45" s="5">
        <v>113.14</v>
      </c>
      <c r="AW45" s="5">
        <v>0.75700000000000001</v>
      </c>
      <c r="AX45" s="5">
        <v>12.54</v>
      </c>
      <c r="AY45" s="5">
        <v>8.1630000000000003</v>
      </c>
      <c r="AZ45" s="5">
        <v>209.3</v>
      </c>
      <c r="BA45" s="5">
        <v>60.94</v>
      </c>
      <c r="BB45" s="5">
        <v>8.68</v>
      </c>
      <c r="BC45" s="5">
        <v>1.37</v>
      </c>
      <c r="BD45" s="5">
        <v>8.65</v>
      </c>
      <c r="BE45" s="5">
        <v>1.98</v>
      </c>
      <c r="BF45" s="5">
        <v>249.88</v>
      </c>
      <c r="BG45" s="5">
        <v>15.79</v>
      </c>
      <c r="BH45" s="5">
        <v>0.52</v>
      </c>
      <c r="BI45" s="5">
        <v>242.5</v>
      </c>
      <c r="BJ45" s="5">
        <v>25.1</v>
      </c>
      <c r="BK45" s="5">
        <v>85.8</v>
      </c>
      <c r="BL45" s="5">
        <v>68.44</v>
      </c>
      <c r="BM45" s="5">
        <v>1.41</v>
      </c>
      <c r="BN45" s="5">
        <v>30.2</v>
      </c>
      <c r="BO45" s="5">
        <v>36.770000000000003</v>
      </c>
      <c r="BP45" s="5">
        <v>379.58</v>
      </c>
      <c r="BQ45" s="5">
        <v>59.494639999999997</v>
      </c>
      <c r="BR45" s="5">
        <v>140.8141</v>
      </c>
      <c r="BS45" s="5">
        <v>58.2333</v>
      </c>
      <c r="BT45" s="5">
        <v>45.388550000000002</v>
      </c>
      <c r="BU45" s="5">
        <v>45.069870000000002</v>
      </c>
      <c r="BV45" s="5">
        <v>8.9918999999999999E-2</v>
      </c>
      <c r="BW45" s="5">
        <v>9.0981000000000006E-2</v>
      </c>
      <c r="BX45" s="5">
        <v>45.491509999999998</v>
      </c>
      <c r="BY45" s="5">
        <v>18.995360000000002</v>
      </c>
      <c r="BZ45" s="5">
        <v>0</v>
      </c>
      <c r="CA45" s="5">
        <v>0.93605499999999997</v>
      </c>
      <c r="CB45" s="5">
        <v>449.94310000000002</v>
      </c>
      <c r="CC45" s="5">
        <v>463.15309999999999</v>
      </c>
      <c r="CD45" s="5">
        <v>52.962240000000001</v>
      </c>
      <c r="CE45" s="5">
        <v>466.23</v>
      </c>
      <c r="CF45" s="5">
        <v>80.069999999999993</v>
      </c>
      <c r="CG45" s="5">
        <v>91.44</v>
      </c>
      <c r="CH45" s="5">
        <v>417.21</v>
      </c>
      <c r="CI45" s="5">
        <v>427.56</v>
      </c>
      <c r="CJ45" s="5">
        <v>439.48</v>
      </c>
      <c r="CK45" s="5">
        <v>489.11</v>
      </c>
      <c r="CL45" s="5">
        <v>459.89</v>
      </c>
      <c r="CM45" s="5">
        <v>467.55</v>
      </c>
      <c r="CN45" s="5">
        <v>428.16</v>
      </c>
      <c r="CO45" s="5">
        <v>25.21</v>
      </c>
      <c r="CP45" s="5">
        <v>335.4</v>
      </c>
      <c r="CQ45" s="5">
        <v>336.05</v>
      </c>
      <c r="CR45" s="5">
        <v>6</v>
      </c>
      <c r="CS45" s="5">
        <v>6</v>
      </c>
      <c r="CT45" s="5">
        <v>20.83</v>
      </c>
      <c r="CU45" s="5">
        <v>21.97</v>
      </c>
      <c r="CV45" s="5">
        <v>100.67</v>
      </c>
      <c r="CW45" s="5">
        <v>0.814379878</v>
      </c>
      <c r="CX45" s="5">
        <v>1.6124721580000001</v>
      </c>
    </row>
    <row r="46" spans="1:102" x14ac:dyDescent="0.25">
      <c r="A46" s="5">
        <v>20</v>
      </c>
      <c r="B46" s="23">
        <v>2.8472222222222223E-4</v>
      </c>
      <c r="C46" s="5">
        <v>2</v>
      </c>
      <c r="D46" s="5">
        <v>19</v>
      </c>
      <c r="E46" s="5">
        <v>383</v>
      </c>
      <c r="F46" s="5">
        <v>383</v>
      </c>
      <c r="G46" s="5">
        <v>383.1</v>
      </c>
      <c r="H46" s="5">
        <v>82.6</v>
      </c>
      <c r="I46" s="5">
        <v>82.6</v>
      </c>
      <c r="J46" s="5">
        <v>1701</v>
      </c>
      <c r="K46" s="5">
        <v>13</v>
      </c>
      <c r="L46" s="5">
        <v>13</v>
      </c>
      <c r="M46" s="5">
        <v>0.14000000000000001</v>
      </c>
      <c r="N46" s="5">
        <v>0.13994599999999999</v>
      </c>
      <c r="O46" s="5">
        <v>1</v>
      </c>
      <c r="P46" s="5">
        <v>1.0693980000000001</v>
      </c>
      <c r="Q46" s="5">
        <v>-3.74</v>
      </c>
      <c r="R46" s="5">
        <v>-3.7353519999999998</v>
      </c>
      <c r="S46" s="5">
        <v>137.11000000000001</v>
      </c>
      <c r="T46" s="5">
        <v>137.10939999999999</v>
      </c>
      <c r="U46" s="5">
        <v>3.5</v>
      </c>
      <c r="V46" s="5">
        <v>3.5</v>
      </c>
      <c r="W46" s="5">
        <v>300</v>
      </c>
      <c r="X46" s="5">
        <v>300</v>
      </c>
      <c r="Y46" s="5">
        <v>3.97</v>
      </c>
      <c r="Z46" s="5">
        <v>3.96875</v>
      </c>
      <c r="AA46" s="5">
        <v>300</v>
      </c>
      <c r="AB46" s="5">
        <v>300</v>
      </c>
      <c r="AC46" s="5">
        <v>0</v>
      </c>
      <c r="AD46" s="5">
        <v>93.917289999999994</v>
      </c>
      <c r="AE46" s="5">
        <v>0</v>
      </c>
      <c r="AF46" s="5">
        <v>93.917289999999994</v>
      </c>
      <c r="AG46" s="5">
        <v>40</v>
      </c>
      <c r="AH46" s="5">
        <v>0.17</v>
      </c>
      <c r="AI46" s="5">
        <v>52.73</v>
      </c>
      <c r="AJ46" s="5">
        <v>73.66</v>
      </c>
      <c r="AK46" s="5">
        <v>51.71</v>
      </c>
      <c r="AL46" s="5">
        <v>53.14</v>
      </c>
      <c r="AM46" s="5">
        <v>519.25</v>
      </c>
      <c r="AN46" s="5">
        <v>135.6052</v>
      </c>
      <c r="AO46" s="5">
        <v>34.4</v>
      </c>
      <c r="AP46" s="5">
        <v>73.52</v>
      </c>
      <c r="AQ46" s="5">
        <v>44.74</v>
      </c>
      <c r="AR46" s="5">
        <v>418.89</v>
      </c>
      <c r="AS46" s="5">
        <v>17.309999999999999</v>
      </c>
      <c r="AT46" s="5">
        <v>49.49</v>
      </c>
      <c r="AU46" s="5">
        <v>96.83</v>
      </c>
      <c r="AV46" s="5">
        <v>111.95</v>
      </c>
      <c r="AW46" s="5">
        <v>0.314</v>
      </c>
      <c r="AX46" s="5">
        <v>4.54</v>
      </c>
      <c r="AY46" s="5">
        <v>3.7195999999999998</v>
      </c>
      <c r="AZ46" s="5">
        <v>138.81</v>
      </c>
      <c r="BA46" s="5">
        <v>48.14</v>
      </c>
      <c r="BB46" s="5">
        <v>8.3699999999999992</v>
      </c>
      <c r="BC46" s="5">
        <v>0.82</v>
      </c>
      <c r="BD46" s="5">
        <v>9.08</v>
      </c>
      <c r="BE46" s="5">
        <v>3.12</v>
      </c>
      <c r="BF46" s="5">
        <v>388.82</v>
      </c>
      <c r="BG46" s="5">
        <v>9.8000000000000007</v>
      </c>
      <c r="BH46" s="5">
        <v>0.25</v>
      </c>
      <c r="BI46" s="5">
        <v>236.2</v>
      </c>
      <c r="BJ46" s="5">
        <v>26</v>
      </c>
      <c r="BK46" s="5">
        <v>86.7</v>
      </c>
      <c r="BL46" s="5">
        <v>45.51</v>
      </c>
      <c r="BM46" s="5">
        <v>1.5</v>
      </c>
      <c r="BN46" s="5">
        <v>29.71</v>
      </c>
      <c r="BO46" s="5">
        <v>36.53</v>
      </c>
      <c r="BP46" s="5">
        <v>435.07</v>
      </c>
      <c r="BQ46" s="5">
        <v>51.431930000000001</v>
      </c>
      <c r="BR46" s="5">
        <v>152.90209999999999</v>
      </c>
      <c r="BS46" s="5">
        <v>55.037120000000002</v>
      </c>
      <c r="BT46" s="5">
        <v>43.402999999999999</v>
      </c>
      <c r="BU46" s="5">
        <v>43.396169999999998</v>
      </c>
      <c r="BV46" s="5">
        <v>9.0414999999999995E-2</v>
      </c>
      <c r="BW46" s="5">
        <v>9.6768999999999994E-2</v>
      </c>
      <c r="BX46" s="5">
        <v>51.730879999999999</v>
      </c>
      <c r="BY46" s="5">
        <v>18.995360000000002</v>
      </c>
      <c r="BZ46" s="5">
        <v>0</v>
      </c>
      <c r="CA46" s="5">
        <v>0.93429799999999996</v>
      </c>
      <c r="CB46" s="5">
        <v>484.65789999999998</v>
      </c>
      <c r="CC46" s="5">
        <v>499.42110000000002</v>
      </c>
      <c r="CD46" s="5">
        <v>59.201459999999997</v>
      </c>
      <c r="CE46" s="5">
        <v>442.71</v>
      </c>
      <c r="CF46" s="5">
        <v>75.55</v>
      </c>
      <c r="CG46" s="5">
        <v>89.85</v>
      </c>
      <c r="CH46" s="5">
        <v>427.68</v>
      </c>
      <c r="CI46" s="5">
        <v>440.08</v>
      </c>
      <c r="CJ46" s="5">
        <v>452.6</v>
      </c>
      <c r="CK46" s="5">
        <v>495.98</v>
      </c>
      <c r="CL46" s="5">
        <v>471.98</v>
      </c>
      <c r="CM46" s="5">
        <v>475.06</v>
      </c>
      <c r="CN46" s="5">
        <v>438.59</v>
      </c>
      <c r="CO46" s="5">
        <v>25.7</v>
      </c>
      <c r="CP46" s="5">
        <v>382.4</v>
      </c>
      <c r="CQ46" s="5">
        <v>383.05</v>
      </c>
      <c r="CR46" s="5">
        <v>6.9</v>
      </c>
      <c r="CS46" s="5">
        <v>6.9</v>
      </c>
      <c r="CT46" s="5">
        <v>21.59</v>
      </c>
      <c r="CU46" s="5">
        <v>19.12</v>
      </c>
      <c r="CV46" s="5">
        <v>100.68</v>
      </c>
      <c r="CW46" s="5">
        <v>0.81710787100000004</v>
      </c>
      <c r="CX46" s="5">
        <v>2.5493765580000001</v>
      </c>
    </row>
    <row r="47" spans="1:102" x14ac:dyDescent="0.25">
      <c r="A47" s="5">
        <v>33</v>
      </c>
      <c r="B47" s="23">
        <v>5.5787037037037036E-4</v>
      </c>
      <c r="C47" s="5">
        <v>2</v>
      </c>
      <c r="D47" s="5">
        <v>32</v>
      </c>
      <c r="E47" s="5">
        <v>442</v>
      </c>
      <c r="F47" s="5">
        <v>442</v>
      </c>
      <c r="G47" s="5">
        <v>442</v>
      </c>
      <c r="H47" s="5">
        <v>82.6</v>
      </c>
      <c r="I47" s="5">
        <v>82.6</v>
      </c>
      <c r="J47" s="5">
        <v>1701</v>
      </c>
      <c r="K47" s="5">
        <v>59</v>
      </c>
      <c r="L47" s="5">
        <v>59</v>
      </c>
      <c r="M47" s="5">
        <v>0.18</v>
      </c>
      <c r="N47" s="5">
        <v>0.180039</v>
      </c>
      <c r="O47" s="5">
        <v>1</v>
      </c>
      <c r="P47" s="5">
        <v>1.069442</v>
      </c>
      <c r="Q47" s="5">
        <v>-4.1900000000000004</v>
      </c>
      <c r="R47" s="5">
        <v>-4.185791</v>
      </c>
      <c r="S47" s="5">
        <v>149.44</v>
      </c>
      <c r="T47" s="5">
        <v>149.4375</v>
      </c>
      <c r="U47" s="5">
        <v>3.5</v>
      </c>
      <c r="V47" s="5">
        <v>3.5</v>
      </c>
      <c r="W47" s="5">
        <v>300</v>
      </c>
      <c r="X47" s="5">
        <v>300</v>
      </c>
      <c r="Y47" s="5">
        <v>3.5</v>
      </c>
      <c r="Z47" s="5">
        <v>3.5</v>
      </c>
      <c r="AA47" s="5">
        <v>300</v>
      </c>
      <c r="AB47" s="5">
        <v>300</v>
      </c>
      <c r="AC47" s="5">
        <v>0</v>
      </c>
      <c r="AD47" s="5">
        <v>137.8937</v>
      </c>
      <c r="AE47" s="5">
        <v>0</v>
      </c>
      <c r="AF47" s="5">
        <v>137.8937</v>
      </c>
      <c r="AG47" s="5">
        <v>40</v>
      </c>
      <c r="AH47" s="5">
        <v>0.17</v>
      </c>
      <c r="AI47" s="5">
        <v>78.59</v>
      </c>
      <c r="AJ47" s="5">
        <v>106.1</v>
      </c>
      <c r="AK47" s="5">
        <v>172.29</v>
      </c>
      <c r="AL47" s="5">
        <v>171.64</v>
      </c>
      <c r="AM47" s="5">
        <v>465.59</v>
      </c>
      <c r="AN47" s="5">
        <v>211.06739999999999</v>
      </c>
      <c r="AO47" s="5">
        <v>110.73</v>
      </c>
      <c r="AP47" s="5">
        <v>131</v>
      </c>
      <c r="AQ47" s="5">
        <v>123.42</v>
      </c>
      <c r="AR47" s="5">
        <v>528.46</v>
      </c>
      <c r="AS47" s="5">
        <v>61.56</v>
      </c>
      <c r="AT47" s="5">
        <v>69.75</v>
      </c>
      <c r="AU47" s="5">
        <v>115.7</v>
      </c>
      <c r="AV47" s="5">
        <v>117.88</v>
      </c>
      <c r="AW47" s="5">
        <v>0.26800000000000002</v>
      </c>
      <c r="AX47" s="5">
        <v>3.83</v>
      </c>
      <c r="AY47" s="5">
        <v>2.8694000000000002</v>
      </c>
      <c r="AZ47" s="5">
        <v>132.63999999999999</v>
      </c>
      <c r="BA47" s="5">
        <v>36.42</v>
      </c>
      <c r="BB47" s="5">
        <v>7.69</v>
      </c>
      <c r="BC47" s="5">
        <v>1.74</v>
      </c>
      <c r="BD47" s="5">
        <v>9.9499999999999993</v>
      </c>
      <c r="BE47" s="5">
        <v>1.81</v>
      </c>
      <c r="BF47" s="5">
        <v>204.27</v>
      </c>
      <c r="BG47" s="5">
        <v>22.64</v>
      </c>
      <c r="BH47" s="5">
        <v>0.2</v>
      </c>
      <c r="BI47" s="5">
        <v>239.1</v>
      </c>
      <c r="BJ47" s="5">
        <v>28.1</v>
      </c>
      <c r="BK47" s="5">
        <v>84.2</v>
      </c>
      <c r="BL47" s="5">
        <v>154.66999999999999</v>
      </c>
      <c r="BM47" s="5">
        <v>2.27</v>
      </c>
      <c r="BN47" s="5">
        <v>30.56</v>
      </c>
      <c r="BO47" s="5">
        <v>35.99</v>
      </c>
      <c r="BP47" s="5">
        <v>547.27</v>
      </c>
      <c r="BQ47" s="5">
        <v>69.281139999999994</v>
      </c>
      <c r="BR47" s="5">
        <v>267.74939999999998</v>
      </c>
      <c r="BS47" s="5">
        <v>49.69144</v>
      </c>
      <c r="BT47" s="5">
        <v>55.309890000000003</v>
      </c>
      <c r="BU47" s="5">
        <v>54.13917</v>
      </c>
      <c r="BV47" s="5">
        <v>0.101594</v>
      </c>
      <c r="BW47" s="5">
        <v>9.1888999999999998E-2</v>
      </c>
      <c r="BX47" s="5">
        <v>62.155940000000001</v>
      </c>
      <c r="BY47" s="5">
        <v>18.995360000000002</v>
      </c>
      <c r="BZ47" s="5">
        <v>0</v>
      </c>
      <c r="CA47" s="5">
        <v>0.93629399999999996</v>
      </c>
      <c r="CB47" s="5">
        <v>716.60540000000003</v>
      </c>
      <c r="CC47" s="5">
        <v>733.86710000000005</v>
      </c>
      <c r="CD47" s="5">
        <v>69.159639999999996</v>
      </c>
      <c r="CE47" s="5">
        <v>471.24</v>
      </c>
      <c r="CF47" s="5">
        <v>94.74</v>
      </c>
      <c r="CG47" s="5">
        <v>109.34</v>
      </c>
      <c r="CH47" s="5">
        <v>411.05</v>
      </c>
      <c r="CI47" s="5">
        <v>423.58</v>
      </c>
      <c r="CJ47" s="5">
        <v>431.62</v>
      </c>
      <c r="CK47" s="5">
        <v>469.8</v>
      </c>
      <c r="CL47" s="5">
        <v>453.93</v>
      </c>
      <c r="CM47" s="5">
        <v>457.68</v>
      </c>
      <c r="CN47" s="5">
        <v>335.21</v>
      </c>
      <c r="CO47" s="5">
        <v>25.01</v>
      </c>
      <c r="CP47" s="5">
        <v>441.1</v>
      </c>
      <c r="CQ47" s="5">
        <v>442.04</v>
      </c>
      <c r="CR47" s="5">
        <v>7.9</v>
      </c>
      <c r="CS47" s="5">
        <v>7.9</v>
      </c>
      <c r="CT47" s="5">
        <v>24.55</v>
      </c>
      <c r="CU47" s="5">
        <v>21.52</v>
      </c>
      <c r="CV47" s="5">
        <v>100.74</v>
      </c>
      <c r="CW47" s="5">
        <v>0.83973255000000002</v>
      </c>
      <c r="CX47" s="5">
        <v>1.519915916</v>
      </c>
    </row>
    <row r="48" spans="1:102" x14ac:dyDescent="0.25">
      <c r="A48" s="5">
        <v>16</v>
      </c>
      <c r="B48" s="23">
        <v>2.0215277777777776E-2</v>
      </c>
      <c r="C48" s="5">
        <v>2</v>
      </c>
      <c r="D48" s="5">
        <v>15</v>
      </c>
      <c r="E48" s="5">
        <v>361</v>
      </c>
      <c r="F48" s="5">
        <v>361</v>
      </c>
      <c r="G48" s="5">
        <v>361</v>
      </c>
      <c r="H48" s="5">
        <v>82.6</v>
      </c>
      <c r="I48" s="5">
        <v>82.6</v>
      </c>
      <c r="J48" s="5">
        <v>1701</v>
      </c>
      <c r="K48" s="5">
        <v>8</v>
      </c>
      <c r="L48" s="5">
        <v>8</v>
      </c>
      <c r="M48" s="5">
        <v>0.15</v>
      </c>
      <c r="N48" s="5">
        <v>0.15001100000000001</v>
      </c>
      <c r="O48" s="5">
        <v>1</v>
      </c>
      <c r="P48" s="5">
        <v>1.069512</v>
      </c>
      <c r="Q48" s="5">
        <v>-3.61</v>
      </c>
      <c r="R48" s="5">
        <v>-3.6145019999999999</v>
      </c>
      <c r="S48" s="5">
        <v>132.51</v>
      </c>
      <c r="T48" s="5">
        <v>132.51560000000001</v>
      </c>
      <c r="U48" s="5">
        <v>3.5</v>
      </c>
      <c r="V48" s="5">
        <v>3.5</v>
      </c>
      <c r="W48" s="5">
        <v>300</v>
      </c>
      <c r="X48" s="5">
        <v>300</v>
      </c>
      <c r="Y48" s="5">
        <v>3.96</v>
      </c>
      <c r="Z48" s="5">
        <v>3.96875</v>
      </c>
      <c r="AA48" s="5">
        <v>300</v>
      </c>
      <c r="AB48" s="5">
        <v>300</v>
      </c>
      <c r="AC48" s="5">
        <v>0</v>
      </c>
      <c r="AD48" s="5">
        <v>89.204430000000002</v>
      </c>
      <c r="AE48" s="5">
        <v>0</v>
      </c>
      <c r="AF48" s="5">
        <v>89.204430000000002</v>
      </c>
      <c r="AG48" s="5">
        <v>40</v>
      </c>
      <c r="AH48" s="5">
        <v>0.17</v>
      </c>
      <c r="AI48" s="5">
        <v>50.25</v>
      </c>
      <c r="AJ48" s="5">
        <v>68.989999999999995</v>
      </c>
      <c r="AK48" s="5">
        <v>44.96</v>
      </c>
      <c r="AL48" s="5">
        <v>46.06</v>
      </c>
      <c r="AM48" s="5">
        <v>518.38</v>
      </c>
      <c r="AN48" s="5">
        <v>129.15559999999999</v>
      </c>
      <c r="AO48" s="5">
        <v>28.26</v>
      </c>
      <c r="AP48" s="5">
        <v>68.59</v>
      </c>
      <c r="AQ48" s="5">
        <v>37.97</v>
      </c>
      <c r="AR48" s="5">
        <v>396.3</v>
      </c>
      <c r="AS48" s="5">
        <v>16.7</v>
      </c>
      <c r="AT48" s="5">
        <v>51.21</v>
      </c>
      <c r="AU48" s="5">
        <v>96.77</v>
      </c>
      <c r="AV48" s="5">
        <v>114.53</v>
      </c>
      <c r="AW48" s="5">
        <v>0.40100000000000002</v>
      </c>
      <c r="AX48" s="5">
        <v>5.96</v>
      </c>
      <c r="AY48" s="5">
        <v>4.8543000000000003</v>
      </c>
      <c r="AZ48" s="5">
        <v>155.38999999999999</v>
      </c>
      <c r="BA48" s="5">
        <v>53.11</v>
      </c>
      <c r="BB48" s="5">
        <v>8.4600000000000009</v>
      </c>
      <c r="BC48" s="5">
        <v>0.89</v>
      </c>
      <c r="BD48" s="5">
        <v>8.89</v>
      </c>
      <c r="BE48" s="5">
        <v>2.89</v>
      </c>
      <c r="BF48" s="5">
        <v>358.88</v>
      </c>
      <c r="BG48" s="5">
        <v>10.53</v>
      </c>
      <c r="BH48" s="5">
        <v>0.32</v>
      </c>
      <c r="BI48" s="5">
        <v>239.3</v>
      </c>
      <c r="BJ48" s="5">
        <v>25.8</v>
      </c>
      <c r="BK48" s="5">
        <v>87</v>
      </c>
      <c r="BL48" s="5">
        <v>46.66</v>
      </c>
      <c r="BM48" s="5">
        <v>1.42</v>
      </c>
      <c r="BN48" s="5">
        <v>29.77</v>
      </c>
      <c r="BO48" s="5">
        <v>36.6</v>
      </c>
      <c r="BP48" s="5">
        <v>411.68</v>
      </c>
      <c r="BQ48" s="5">
        <v>53.239109999999997</v>
      </c>
      <c r="BR48" s="5">
        <v>145.7022</v>
      </c>
      <c r="BS48" s="5">
        <v>56.556840000000001</v>
      </c>
      <c r="BT48" s="5">
        <v>43.2774</v>
      </c>
      <c r="BU48" s="5">
        <v>43.357500000000002</v>
      </c>
      <c r="BV48" s="5">
        <v>8.9625999999999997E-2</v>
      </c>
      <c r="BW48" s="5">
        <v>9.7407999999999995E-2</v>
      </c>
      <c r="BX48" s="5">
        <v>48.765729999999998</v>
      </c>
      <c r="BY48" s="5">
        <v>18.995360000000002</v>
      </c>
      <c r="BZ48" s="5">
        <v>0</v>
      </c>
      <c r="CA48" s="5">
        <v>0.93513199999999996</v>
      </c>
      <c r="CB48" s="5">
        <v>459.45870000000002</v>
      </c>
      <c r="CC48" s="5">
        <v>473.47629999999998</v>
      </c>
      <c r="CD48" s="5">
        <v>56.236719999999998</v>
      </c>
      <c r="CE48" s="5">
        <v>447.86</v>
      </c>
      <c r="CF48" s="5">
        <v>78.319999999999993</v>
      </c>
      <c r="CG48" s="5">
        <v>90.99</v>
      </c>
      <c r="CH48" s="5">
        <v>429.42</v>
      </c>
      <c r="CI48" s="5">
        <v>441.1</v>
      </c>
      <c r="CJ48" s="5">
        <v>451.85</v>
      </c>
      <c r="CK48" s="5">
        <v>494.2</v>
      </c>
      <c r="CL48" s="5">
        <v>471.8</v>
      </c>
      <c r="CM48" s="5">
        <v>476.55</v>
      </c>
      <c r="CN48" s="5">
        <v>441.56</v>
      </c>
      <c r="CO48" s="5">
        <v>26.32</v>
      </c>
      <c r="CP48" s="5">
        <v>360.5</v>
      </c>
      <c r="CQ48" s="5">
        <v>361.05</v>
      </c>
      <c r="CR48" s="5">
        <v>6.5</v>
      </c>
      <c r="CS48" s="5">
        <v>6.5</v>
      </c>
      <c r="CT48" s="5">
        <v>21.93</v>
      </c>
      <c r="CU48" s="5">
        <v>20.23</v>
      </c>
      <c r="CV48" s="5">
        <v>100.67</v>
      </c>
      <c r="CW48" s="5">
        <v>0.81840564999999998</v>
      </c>
      <c r="CX48" s="5">
        <v>2.3651923290000001</v>
      </c>
    </row>
    <row r="49" spans="1:102" x14ac:dyDescent="0.25">
      <c r="A49" s="5">
        <v>28</v>
      </c>
      <c r="B49" s="23">
        <v>1.5047453703703704E-2</v>
      </c>
      <c r="C49" s="5">
        <v>2</v>
      </c>
      <c r="D49" s="5">
        <v>27</v>
      </c>
      <c r="E49" s="5">
        <v>417</v>
      </c>
      <c r="F49" s="5">
        <v>417</v>
      </c>
      <c r="G49" s="5">
        <v>417</v>
      </c>
      <c r="H49" s="5">
        <v>82.6</v>
      </c>
      <c r="I49" s="5">
        <v>82.6</v>
      </c>
      <c r="J49" s="5">
        <v>1701</v>
      </c>
      <c r="K49" s="5">
        <v>5</v>
      </c>
      <c r="L49" s="5">
        <v>5</v>
      </c>
      <c r="M49" s="5">
        <v>0.13</v>
      </c>
      <c r="N49" s="5">
        <v>0.13000700000000001</v>
      </c>
      <c r="O49" s="5">
        <v>1</v>
      </c>
      <c r="P49" s="5">
        <v>1.069369</v>
      </c>
      <c r="Q49" s="5">
        <v>-3.98</v>
      </c>
      <c r="R49" s="5">
        <v>-3.9770509999999999</v>
      </c>
      <c r="S49" s="5">
        <v>144.21</v>
      </c>
      <c r="T49" s="5">
        <v>144.20310000000001</v>
      </c>
      <c r="U49" s="5">
        <v>3.5</v>
      </c>
      <c r="V49" s="5">
        <v>3.5</v>
      </c>
      <c r="W49" s="5">
        <v>300</v>
      </c>
      <c r="X49" s="5">
        <v>300</v>
      </c>
      <c r="Y49" s="5">
        <v>3.5</v>
      </c>
      <c r="Z49" s="5">
        <v>3.5</v>
      </c>
      <c r="AA49" s="5">
        <v>300</v>
      </c>
      <c r="AB49" s="5">
        <v>300</v>
      </c>
      <c r="AC49" s="5">
        <v>0</v>
      </c>
      <c r="AD49" s="5">
        <v>94.498800000000003</v>
      </c>
      <c r="AE49" s="5">
        <v>0</v>
      </c>
      <c r="AF49" s="5">
        <v>94.498800000000003</v>
      </c>
      <c r="AG49" s="5">
        <v>40</v>
      </c>
      <c r="AH49" s="5">
        <v>0.17</v>
      </c>
      <c r="AI49" s="5">
        <v>53.24</v>
      </c>
      <c r="AJ49" s="5">
        <v>73.84</v>
      </c>
      <c r="AK49" s="5">
        <v>51.12</v>
      </c>
      <c r="AL49" s="5">
        <v>52.8</v>
      </c>
      <c r="AM49" s="5">
        <v>562.41999999999996</v>
      </c>
      <c r="AN49" s="5">
        <v>136.07140000000001</v>
      </c>
      <c r="AO49" s="5">
        <v>34.71</v>
      </c>
      <c r="AP49" s="5">
        <v>73.17</v>
      </c>
      <c r="AQ49" s="5">
        <v>44.93</v>
      </c>
      <c r="AR49" s="5">
        <v>421.22</v>
      </c>
      <c r="AS49" s="5">
        <v>16.41</v>
      </c>
      <c r="AT49" s="5">
        <v>48.38</v>
      </c>
      <c r="AU49" s="5">
        <v>97.1</v>
      </c>
      <c r="AV49" s="5">
        <v>113.3</v>
      </c>
      <c r="AW49" s="5">
        <v>0.37</v>
      </c>
      <c r="AX49" s="5">
        <v>5.44</v>
      </c>
      <c r="AY49" s="5">
        <v>4.0044000000000004</v>
      </c>
      <c r="AZ49" s="5">
        <v>156.25</v>
      </c>
      <c r="BA49" s="5">
        <v>42.72</v>
      </c>
      <c r="BB49" s="5">
        <v>9.08</v>
      </c>
      <c r="BC49" s="5">
        <v>0.78</v>
      </c>
      <c r="BD49" s="5">
        <v>8.0500000000000007</v>
      </c>
      <c r="BE49" s="5">
        <v>3.04</v>
      </c>
      <c r="BF49" s="5">
        <v>415.78</v>
      </c>
      <c r="BG49" s="5">
        <v>8.6300000000000008</v>
      </c>
      <c r="BH49" s="5">
        <v>0.27</v>
      </c>
      <c r="BI49" s="5">
        <v>237.1</v>
      </c>
      <c r="BJ49" s="5">
        <v>23.9</v>
      </c>
      <c r="BK49" s="5">
        <v>85.7</v>
      </c>
      <c r="BL49" s="5">
        <v>39.78</v>
      </c>
      <c r="BM49" s="5">
        <v>1.5</v>
      </c>
      <c r="BN49" s="5">
        <v>29.68</v>
      </c>
      <c r="BO49" s="5">
        <v>37.159999999999997</v>
      </c>
      <c r="BP49" s="5">
        <v>438.87</v>
      </c>
      <c r="BQ49" s="5">
        <v>50.417189999999998</v>
      </c>
      <c r="BR49" s="5">
        <v>152.92420000000001</v>
      </c>
      <c r="BS49" s="5">
        <v>51.849510000000002</v>
      </c>
      <c r="BT49" s="5">
        <v>39.357100000000003</v>
      </c>
      <c r="BU49" s="5">
        <v>39.403230000000001</v>
      </c>
      <c r="BV49" s="5">
        <v>9.6800999999999998E-2</v>
      </c>
      <c r="BW49" s="5">
        <v>0.10384500000000001</v>
      </c>
      <c r="BX49" s="5">
        <v>58.156199999999998</v>
      </c>
      <c r="BY49" s="5">
        <v>18.995360000000002</v>
      </c>
      <c r="BZ49" s="5">
        <v>0</v>
      </c>
      <c r="CA49" s="5">
        <v>0.93532400000000004</v>
      </c>
      <c r="CB49" s="5">
        <v>488.38479999999998</v>
      </c>
      <c r="CC49" s="5">
        <v>504.64109999999999</v>
      </c>
      <c r="CD49" s="5">
        <v>65.155779999999993</v>
      </c>
      <c r="CE49" s="5">
        <v>459.51</v>
      </c>
      <c r="CF49" s="5">
        <v>75.680000000000007</v>
      </c>
      <c r="CG49" s="5">
        <v>90.34</v>
      </c>
      <c r="CH49" s="5">
        <v>452.75</v>
      </c>
      <c r="CI49" s="5">
        <v>473.64</v>
      </c>
      <c r="CJ49" s="5">
        <v>485.64</v>
      </c>
      <c r="CK49" s="5">
        <v>545.98</v>
      </c>
      <c r="CL49" s="5">
        <v>506.41</v>
      </c>
      <c r="CM49" s="5">
        <v>505.14</v>
      </c>
      <c r="CN49" s="5">
        <v>478.05</v>
      </c>
      <c r="CO49" s="5">
        <v>25.53</v>
      </c>
      <c r="CP49" s="5">
        <v>416.1</v>
      </c>
      <c r="CQ49" s="5">
        <v>417.05</v>
      </c>
      <c r="CR49" s="5">
        <v>7.5</v>
      </c>
      <c r="CS49" s="5">
        <v>7.5</v>
      </c>
      <c r="CT49" s="5">
        <v>22.22</v>
      </c>
      <c r="CU49" s="5">
        <v>20.45</v>
      </c>
      <c r="CV49" s="5">
        <v>100.73</v>
      </c>
      <c r="CW49" s="5">
        <v>0.81939445600000005</v>
      </c>
      <c r="CX49" s="5">
        <v>2.4909591459999998</v>
      </c>
    </row>
    <row r="50" spans="1:102" x14ac:dyDescent="0.25">
      <c r="A50" s="5">
        <v>5</v>
      </c>
      <c r="B50" s="23">
        <v>4.0313657407407409E-2</v>
      </c>
      <c r="C50" s="5">
        <v>2</v>
      </c>
      <c r="D50" s="5">
        <v>5</v>
      </c>
      <c r="E50" s="5">
        <v>317</v>
      </c>
      <c r="F50" s="5">
        <v>317</v>
      </c>
      <c r="G50" s="5">
        <v>317</v>
      </c>
      <c r="H50" s="5">
        <v>82.6</v>
      </c>
      <c r="I50" s="5">
        <v>82.6</v>
      </c>
      <c r="J50" s="5">
        <v>1701</v>
      </c>
      <c r="K50" s="5">
        <v>48</v>
      </c>
      <c r="L50" s="5">
        <v>48</v>
      </c>
      <c r="M50" s="5">
        <v>0.22</v>
      </c>
      <c r="N50" s="5">
        <v>0.21995000000000001</v>
      </c>
      <c r="O50" s="5">
        <v>1</v>
      </c>
      <c r="P50" s="5">
        <v>1.0700620000000001</v>
      </c>
      <c r="Q50" s="5">
        <v>-3.34</v>
      </c>
      <c r="R50" s="5">
        <v>-3.3398439999999998</v>
      </c>
      <c r="S50" s="5">
        <v>123.29</v>
      </c>
      <c r="T50" s="5">
        <v>123.29689999999999</v>
      </c>
      <c r="U50" s="5">
        <v>3.5</v>
      </c>
      <c r="V50" s="5">
        <v>3.5</v>
      </c>
      <c r="W50" s="5">
        <v>300</v>
      </c>
      <c r="X50" s="5">
        <v>300</v>
      </c>
      <c r="Y50" s="5">
        <v>3.99</v>
      </c>
      <c r="Z50" s="5">
        <v>4</v>
      </c>
      <c r="AA50" s="5">
        <v>300</v>
      </c>
      <c r="AB50" s="5">
        <v>300</v>
      </c>
      <c r="AC50" s="5">
        <v>0</v>
      </c>
      <c r="AD50" s="5">
        <v>103.5848</v>
      </c>
      <c r="AE50" s="5">
        <v>0</v>
      </c>
      <c r="AF50" s="5">
        <v>103.5848</v>
      </c>
      <c r="AG50" s="5">
        <v>40</v>
      </c>
      <c r="AH50" s="5">
        <v>0.17</v>
      </c>
      <c r="AI50" s="5">
        <v>59.14</v>
      </c>
      <c r="AJ50" s="5">
        <v>82.61</v>
      </c>
      <c r="AK50" s="5">
        <v>84.72</v>
      </c>
      <c r="AL50" s="5">
        <v>84.05</v>
      </c>
      <c r="AM50" s="5">
        <v>430.37</v>
      </c>
      <c r="AN50" s="5">
        <v>156.30789999999999</v>
      </c>
      <c r="AO50" s="5">
        <v>56.14</v>
      </c>
      <c r="AP50" s="5">
        <v>88.01</v>
      </c>
      <c r="AQ50" s="5">
        <v>65.900000000000006</v>
      </c>
      <c r="AR50" s="5">
        <v>411.84</v>
      </c>
      <c r="AS50" s="5">
        <v>28.58</v>
      </c>
      <c r="AT50" s="5">
        <v>64.13</v>
      </c>
      <c r="AU50" s="5">
        <v>103.53</v>
      </c>
      <c r="AV50" s="5">
        <v>113.6</v>
      </c>
      <c r="AW50" s="5">
        <v>0.49099999999999999</v>
      </c>
      <c r="AX50" s="5">
        <v>7.49</v>
      </c>
      <c r="AY50" s="5">
        <v>6.0589000000000004</v>
      </c>
      <c r="AZ50" s="5">
        <v>159.22</v>
      </c>
      <c r="BA50" s="5">
        <v>60.94</v>
      </c>
      <c r="BB50" s="5">
        <v>7.32</v>
      </c>
      <c r="BC50" s="5">
        <v>1.51</v>
      </c>
      <c r="BD50" s="5">
        <v>10.5</v>
      </c>
      <c r="BE50" s="5">
        <v>2.0499999999999998</v>
      </c>
      <c r="BF50" s="5">
        <v>210.47</v>
      </c>
      <c r="BG50" s="5">
        <v>20.58</v>
      </c>
      <c r="BH50" s="5">
        <v>0.4</v>
      </c>
      <c r="BI50" s="5">
        <v>244.3</v>
      </c>
      <c r="BJ50" s="5">
        <v>29.9</v>
      </c>
      <c r="BK50" s="5">
        <v>85.4</v>
      </c>
      <c r="BL50" s="5">
        <v>106.71</v>
      </c>
      <c r="BM50" s="5">
        <v>1.7</v>
      </c>
      <c r="BN50" s="5">
        <v>30.33</v>
      </c>
      <c r="BO50" s="5">
        <v>35.58</v>
      </c>
      <c r="BP50" s="5">
        <v>425.67</v>
      </c>
      <c r="BQ50" s="5">
        <v>64.677499999999995</v>
      </c>
      <c r="BR50" s="5">
        <v>181.69669999999999</v>
      </c>
      <c r="BS50" s="5">
        <v>63.01464</v>
      </c>
      <c r="BT50" s="5">
        <v>59.952559999999998</v>
      </c>
      <c r="BU50" s="5">
        <v>59.324840000000002</v>
      </c>
      <c r="BV50" s="5">
        <v>8.4717000000000001E-2</v>
      </c>
      <c r="BW50" s="5">
        <v>8.3964999999999998E-2</v>
      </c>
      <c r="BX50" s="5">
        <v>40.98536</v>
      </c>
      <c r="BY50" s="5">
        <v>18.995360000000002</v>
      </c>
      <c r="BZ50" s="5">
        <v>0</v>
      </c>
      <c r="CA50" s="5">
        <v>0.93731299999999995</v>
      </c>
      <c r="CB50" s="5">
        <v>538.48599999999999</v>
      </c>
      <c r="CC50" s="5">
        <v>550.56809999999996</v>
      </c>
      <c r="CD50" s="5">
        <v>48.487810000000003</v>
      </c>
      <c r="CE50" s="5">
        <v>425.75</v>
      </c>
      <c r="CF50" s="5">
        <v>84.8</v>
      </c>
      <c r="CG50" s="5">
        <v>96.18</v>
      </c>
      <c r="CH50" s="5">
        <v>378.44</v>
      </c>
      <c r="CI50" s="5">
        <v>380.22</v>
      </c>
      <c r="CJ50" s="5">
        <v>392.07</v>
      </c>
      <c r="CK50" s="5">
        <v>431.59</v>
      </c>
      <c r="CL50" s="5">
        <v>411.89</v>
      </c>
      <c r="CM50" s="5">
        <v>417.27</v>
      </c>
      <c r="CN50" s="5">
        <v>338.69</v>
      </c>
      <c r="CO50" s="5">
        <v>23.93</v>
      </c>
      <c r="CP50" s="5">
        <v>316.2</v>
      </c>
      <c r="CQ50" s="5">
        <v>317.05</v>
      </c>
      <c r="CR50" s="5">
        <v>5.7</v>
      </c>
      <c r="CS50" s="5">
        <v>5.7</v>
      </c>
      <c r="CT50" s="5">
        <v>19.98</v>
      </c>
      <c r="CU50" s="5">
        <v>23.87</v>
      </c>
      <c r="CV50" s="5">
        <v>100.66</v>
      </c>
      <c r="CW50" s="5">
        <v>0.827024549</v>
      </c>
      <c r="CX50" s="5">
        <v>1.695400325</v>
      </c>
    </row>
    <row r="51" spans="1:102" x14ac:dyDescent="0.25">
      <c r="A51" s="5">
        <v>11</v>
      </c>
      <c r="B51" s="23">
        <v>3.1210648148148151E-2</v>
      </c>
      <c r="C51" s="5">
        <v>2</v>
      </c>
      <c r="D51" s="5">
        <v>11</v>
      </c>
      <c r="E51" s="5">
        <v>348</v>
      </c>
      <c r="F51" s="5">
        <v>348</v>
      </c>
      <c r="G51" s="5">
        <v>348.1</v>
      </c>
      <c r="H51" s="5">
        <v>82.6</v>
      </c>
      <c r="I51" s="5">
        <v>82.6</v>
      </c>
      <c r="J51" s="5">
        <v>1701</v>
      </c>
      <c r="K51" s="5">
        <v>63</v>
      </c>
      <c r="L51" s="5">
        <v>63</v>
      </c>
      <c r="M51" s="5">
        <v>0.12</v>
      </c>
      <c r="N51" s="5">
        <v>0.119979</v>
      </c>
      <c r="O51" s="5">
        <v>1</v>
      </c>
      <c r="P51" s="5">
        <v>1.0699259999999999</v>
      </c>
      <c r="Q51" s="5">
        <v>-3.53</v>
      </c>
      <c r="R51" s="5">
        <v>-3.5266109999999999</v>
      </c>
      <c r="S51" s="5">
        <v>129.79</v>
      </c>
      <c r="T51" s="5">
        <v>129.79689999999999</v>
      </c>
      <c r="U51" s="5">
        <v>3.5</v>
      </c>
      <c r="V51" s="5">
        <v>3.5</v>
      </c>
      <c r="W51" s="5">
        <v>300</v>
      </c>
      <c r="X51" s="5">
        <v>300</v>
      </c>
      <c r="Y51" s="5">
        <v>3.96</v>
      </c>
      <c r="Z51" s="5">
        <v>3.96875</v>
      </c>
      <c r="AA51" s="5">
        <v>300</v>
      </c>
      <c r="AB51" s="5">
        <v>300</v>
      </c>
      <c r="AC51" s="5">
        <v>0</v>
      </c>
      <c r="AD51" s="5">
        <v>136.9631</v>
      </c>
      <c r="AE51" s="5">
        <v>0</v>
      </c>
      <c r="AF51" s="5">
        <v>136.9631</v>
      </c>
      <c r="AG51" s="5">
        <v>40</v>
      </c>
      <c r="AH51" s="5">
        <v>0.17</v>
      </c>
      <c r="AI51" s="5">
        <v>77.17</v>
      </c>
      <c r="AJ51" s="5">
        <v>106</v>
      </c>
      <c r="AK51" s="5">
        <v>196.01</v>
      </c>
      <c r="AL51" s="5">
        <v>195.88</v>
      </c>
      <c r="AM51" s="5">
        <v>408.83</v>
      </c>
      <c r="AN51" s="5">
        <v>207.53569999999999</v>
      </c>
      <c r="AO51" s="5">
        <v>107.13</v>
      </c>
      <c r="AP51" s="5">
        <v>127.64</v>
      </c>
      <c r="AQ51" s="5">
        <v>120.58</v>
      </c>
      <c r="AR51" s="5">
        <v>550.27</v>
      </c>
      <c r="AS51" s="5">
        <v>88.88</v>
      </c>
      <c r="AT51" s="5">
        <v>65.150000000000006</v>
      </c>
      <c r="AU51" s="5">
        <v>105.4</v>
      </c>
      <c r="AV51" s="5">
        <v>112.83</v>
      </c>
      <c r="AW51" s="5">
        <v>0.15</v>
      </c>
      <c r="AX51" s="5">
        <v>2.06</v>
      </c>
      <c r="AY51" s="5">
        <v>1.6766000000000001</v>
      </c>
      <c r="AZ51" s="5">
        <v>88.63</v>
      </c>
      <c r="BA51" s="5">
        <v>43.69</v>
      </c>
      <c r="BB51" s="5">
        <v>6.18</v>
      </c>
      <c r="BC51" s="5">
        <v>1.1299999999999999</v>
      </c>
      <c r="BD51" s="5">
        <v>12.11</v>
      </c>
      <c r="BE51" s="5">
        <v>3.25</v>
      </c>
      <c r="BF51" s="5">
        <v>267.7</v>
      </c>
      <c r="BG51" s="5">
        <v>18.23</v>
      </c>
      <c r="BH51" s="5">
        <v>0.12</v>
      </c>
      <c r="BI51" s="5">
        <v>253.4</v>
      </c>
      <c r="BJ51" s="5">
        <v>35</v>
      </c>
      <c r="BK51" s="5">
        <v>84.9</v>
      </c>
      <c r="BL51" s="5">
        <v>122.72</v>
      </c>
      <c r="BM51" s="5">
        <v>2.2200000000000002</v>
      </c>
      <c r="BN51" s="5">
        <v>30</v>
      </c>
      <c r="BO51" s="5">
        <v>34.630000000000003</v>
      </c>
      <c r="BP51" s="5">
        <v>566.08000000000004</v>
      </c>
      <c r="BQ51" s="5">
        <v>65.560569999999998</v>
      </c>
      <c r="BR51" s="5">
        <v>294.46480000000003</v>
      </c>
      <c r="BS51" s="5">
        <v>56.63852</v>
      </c>
      <c r="BT51" s="5">
        <v>69.221789999999999</v>
      </c>
      <c r="BU51" s="5">
        <v>67.335939999999994</v>
      </c>
      <c r="BV51" s="5">
        <v>8.9585999999999999E-2</v>
      </c>
      <c r="BW51" s="5">
        <v>7.6372999999999996E-2</v>
      </c>
      <c r="BX51" s="5">
        <v>48.605629999999998</v>
      </c>
      <c r="BY51" s="5">
        <v>18.995360000000002</v>
      </c>
      <c r="BZ51" s="5">
        <v>0</v>
      </c>
      <c r="CA51" s="5">
        <v>0.93517799999999995</v>
      </c>
      <c r="CB51" s="5">
        <v>711.49059999999997</v>
      </c>
      <c r="CC51" s="5">
        <v>725.47270000000003</v>
      </c>
      <c r="CD51" s="5">
        <v>56.076099999999997</v>
      </c>
      <c r="CE51" s="5">
        <v>402</v>
      </c>
      <c r="CF51" s="5">
        <v>86.17</v>
      </c>
      <c r="CG51" s="5">
        <v>98.94</v>
      </c>
      <c r="CH51" s="5">
        <v>382.22</v>
      </c>
      <c r="CI51" s="5">
        <v>381.07</v>
      </c>
      <c r="CJ51" s="5">
        <v>387.1</v>
      </c>
      <c r="CK51" s="5">
        <v>410.7</v>
      </c>
      <c r="CL51" s="5">
        <v>400.43</v>
      </c>
      <c r="CM51" s="5">
        <v>402.05</v>
      </c>
      <c r="CN51" s="5">
        <v>288.27</v>
      </c>
      <c r="CO51" s="5">
        <v>25.22</v>
      </c>
      <c r="CP51" s="5">
        <v>347.3</v>
      </c>
      <c r="CQ51" s="5">
        <v>348.05</v>
      </c>
      <c r="CR51" s="5">
        <v>6.2</v>
      </c>
      <c r="CS51" s="5">
        <v>6.2</v>
      </c>
      <c r="CT51" s="5">
        <v>20.89</v>
      </c>
      <c r="CU51" s="5">
        <v>20.86</v>
      </c>
      <c r="CV51" s="5">
        <v>100.67</v>
      </c>
      <c r="CW51" s="5">
        <v>0.83323272000000004</v>
      </c>
      <c r="CX51" s="5">
        <v>2.7080063399999998</v>
      </c>
    </row>
    <row r="52" spans="1:102" x14ac:dyDescent="0.25">
      <c r="A52" s="5">
        <v>30</v>
      </c>
      <c r="B52" s="23">
        <v>2.5920138888888892E-2</v>
      </c>
      <c r="C52" s="5">
        <v>2</v>
      </c>
      <c r="D52" s="5">
        <v>29</v>
      </c>
      <c r="E52" s="5">
        <v>430</v>
      </c>
      <c r="F52" s="5">
        <v>430</v>
      </c>
      <c r="G52" s="5">
        <v>430</v>
      </c>
      <c r="H52" s="5">
        <v>82.6</v>
      </c>
      <c r="I52" s="5">
        <v>82.6</v>
      </c>
      <c r="J52" s="5">
        <v>1701</v>
      </c>
      <c r="K52" s="5">
        <v>14</v>
      </c>
      <c r="L52" s="5">
        <v>14</v>
      </c>
      <c r="M52" s="5">
        <v>0.1</v>
      </c>
      <c r="N52" s="5">
        <v>0.100049</v>
      </c>
      <c r="O52" s="5">
        <v>1</v>
      </c>
      <c r="P52" s="5">
        <v>1.0694459999999999</v>
      </c>
      <c r="Q52" s="5">
        <v>-4.09</v>
      </c>
      <c r="R52" s="5">
        <v>-4.0869140000000002</v>
      </c>
      <c r="S52" s="5">
        <v>146.93</v>
      </c>
      <c r="T52" s="5">
        <v>146.9375</v>
      </c>
      <c r="U52" s="5">
        <v>3.5</v>
      </c>
      <c r="V52" s="5">
        <v>3.5</v>
      </c>
      <c r="W52" s="5">
        <v>300</v>
      </c>
      <c r="X52" s="5">
        <v>300</v>
      </c>
      <c r="Y52" s="5">
        <v>3.5</v>
      </c>
      <c r="Z52" s="5">
        <v>3.5</v>
      </c>
      <c r="AA52" s="5">
        <v>300</v>
      </c>
      <c r="AB52" s="5">
        <v>300</v>
      </c>
      <c r="AC52" s="5">
        <v>0</v>
      </c>
      <c r="AD52" s="5">
        <v>99.562029999999993</v>
      </c>
      <c r="AE52" s="5">
        <v>0</v>
      </c>
      <c r="AF52" s="5">
        <v>99.562029999999993</v>
      </c>
      <c r="AG52" s="5">
        <v>40</v>
      </c>
      <c r="AH52" s="5">
        <v>0.17</v>
      </c>
      <c r="AI52" s="5">
        <v>56.51</v>
      </c>
      <c r="AJ52" s="5">
        <v>80.67</v>
      </c>
      <c r="AK52" s="5">
        <v>61.98</v>
      </c>
      <c r="AL52" s="5">
        <v>64.010000000000005</v>
      </c>
      <c r="AM52" s="5">
        <v>543.26</v>
      </c>
      <c r="AN52" s="5">
        <v>145.44159999999999</v>
      </c>
      <c r="AO52" s="5">
        <v>44.24</v>
      </c>
      <c r="AP52" s="5">
        <v>83.69</v>
      </c>
      <c r="AQ52" s="5">
        <v>55.48</v>
      </c>
      <c r="AR52" s="5">
        <v>460.55</v>
      </c>
      <c r="AS52" s="5">
        <v>17.739999999999998</v>
      </c>
      <c r="AT52" s="5">
        <v>52.43</v>
      </c>
      <c r="AU52" s="5">
        <v>97.06</v>
      </c>
      <c r="AV52" s="5">
        <v>114.43</v>
      </c>
      <c r="AW52" s="5">
        <v>0.2</v>
      </c>
      <c r="AX52" s="5">
        <v>2.79</v>
      </c>
      <c r="AY52" s="5">
        <v>2.234</v>
      </c>
      <c r="AZ52" s="5">
        <v>108.8</v>
      </c>
      <c r="BA52" s="5">
        <v>35.869999999999997</v>
      </c>
      <c r="BB52" s="5">
        <v>8.4600000000000009</v>
      </c>
      <c r="BC52" s="5">
        <v>0.59</v>
      </c>
      <c r="BD52" s="5">
        <v>8.92</v>
      </c>
      <c r="BE52" s="5">
        <v>3.86</v>
      </c>
      <c r="BF52" s="5">
        <v>491.99</v>
      </c>
      <c r="BG52" s="5">
        <v>7.02</v>
      </c>
      <c r="BH52" s="5">
        <v>0.16</v>
      </c>
      <c r="BI52" s="5">
        <v>233.6</v>
      </c>
      <c r="BJ52" s="5">
        <v>25.7</v>
      </c>
      <c r="BK52" s="5">
        <v>87.6</v>
      </c>
      <c r="BL52" s="5">
        <v>34.79</v>
      </c>
      <c r="BM52" s="5">
        <v>1.58</v>
      </c>
      <c r="BN52" s="5">
        <v>29.51</v>
      </c>
      <c r="BO52" s="5">
        <v>36.6</v>
      </c>
      <c r="BP52" s="5">
        <v>478.37</v>
      </c>
      <c r="BQ52" s="5">
        <v>54.283700000000003</v>
      </c>
      <c r="BR52" s="5">
        <v>164.89949999999999</v>
      </c>
      <c r="BS52" s="5">
        <v>51.32452</v>
      </c>
      <c r="BT52" s="5">
        <v>41.017670000000003</v>
      </c>
      <c r="BU52" s="5">
        <v>40.95729</v>
      </c>
      <c r="BV52" s="5">
        <v>9.7969000000000001E-2</v>
      </c>
      <c r="BW52" s="5">
        <v>0.10316</v>
      </c>
      <c r="BX52" s="5">
        <v>59.130989999999997</v>
      </c>
      <c r="BY52" s="5">
        <v>18.995360000000002</v>
      </c>
      <c r="BZ52" s="5">
        <v>0</v>
      </c>
      <c r="CA52" s="5">
        <v>0.93555999999999995</v>
      </c>
      <c r="CB52" s="5">
        <v>515.98710000000005</v>
      </c>
      <c r="CC52" s="5">
        <v>532.49189999999999</v>
      </c>
      <c r="CD52" s="5">
        <v>66.133229999999998</v>
      </c>
      <c r="CE52" s="5">
        <v>419.56</v>
      </c>
      <c r="CF52" s="5">
        <v>75.47</v>
      </c>
      <c r="CG52" s="5">
        <v>89.66</v>
      </c>
      <c r="CH52" s="5">
        <v>443.19</v>
      </c>
      <c r="CI52" s="5">
        <v>462.28</v>
      </c>
      <c r="CJ52" s="5">
        <v>472.39</v>
      </c>
      <c r="CK52" s="5">
        <v>521.77</v>
      </c>
      <c r="CL52" s="5">
        <v>492.94</v>
      </c>
      <c r="CM52" s="5">
        <v>486.25</v>
      </c>
      <c r="CN52" s="5">
        <v>453.73</v>
      </c>
      <c r="CO52" s="5">
        <v>27.47</v>
      </c>
      <c r="CP52" s="5">
        <v>429.5</v>
      </c>
      <c r="CQ52" s="5">
        <v>430.05</v>
      </c>
      <c r="CR52" s="5">
        <v>7.7</v>
      </c>
      <c r="CS52" s="5">
        <v>7.7</v>
      </c>
      <c r="CT52" s="5">
        <v>22.37</v>
      </c>
      <c r="CU52" s="5">
        <v>18.690000000000001</v>
      </c>
      <c r="CV52" s="5">
        <v>100.74</v>
      </c>
      <c r="CW52" s="5">
        <v>0.82083962799999999</v>
      </c>
      <c r="CX52" s="5">
        <v>3.1684409640000002</v>
      </c>
    </row>
    <row r="53" spans="1:102" x14ac:dyDescent="0.25">
      <c r="A53" s="5">
        <v>7</v>
      </c>
      <c r="B53" s="23">
        <v>9.5034722222222222E-3</v>
      </c>
      <c r="C53" s="5">
        <v>2</v>
      </c>
      <c r="D53" s="5">
        <v>7</v>
      </c>
      <c r="E53" s="5">
        <v>330</v>
      </c>
      <c r="F53" s="5">
        <v>330</v>
      </c>
      <c r="G53" s="5">
        <v>330</v>
      </c>
      <c r="H53" s="5">
        <v>82.6</v>
      </c>
      <c r="I53" s="5">
        <v>82.6</v>
      </c>
      <c r="J53" s="5">
        <v>1701</v>
      </c>
      <c r="K53" s="5">
        <v>65</v>
      </c>
      <c r="L53" s="5">
        <v>65</v>
      </c>
      <c r="M53" s="5">
        <v>0.17</v>
      </c>
      <c r="N53" s="5">
        <v>0.170068</v>
      </c>
      <c r="O53" s="5">
        <v>1</v>
      </c>
      <c r="P53" s="5">
        <v>1.0699890000000001</v>
      </c>
      <c r="Q53" s="5">
        <v>-3.42</v>
      </c>
      <c r="R53" s="5">
        <v>-3.4167480000000001</v>
      </c>
      <c r="S53" s="5">
        <v>126.02</v>
      </c>
      <c r="T53" s="5">
        <v>126.01560000000001</v>
      </c>
      <c r="U53" s="5">
        <v>3.5</v>
      </c>
      <c r="V53" s="5">
        <v>3.5</v>
      </c>
      <c r="W53" s="5">
        <v>300</v>
      </c>
      <c r="X53" s="5">
        <v>300</v>
      </c>
      <c r="Y53" s="5">
        <v>3.98</v>
      </c>
      <c r="Z53" s="5">
        <v>3.96875</v>
      </c>
      <c r="AA53" s="5">
        <v>300</v>
      </c>
      <c r="AB53" s="5">
        <v>300</v>
      </c>
      <c r="AC53" s="5">
        <v>0</v>
      </c>
      <c r="AD53" s="5">
        <v>125.1919</v>
      </c>
      <c r="AE53" s="5">
        <v>0</v>
      </c>
      <c r="AF53" s="5">
        <v>125.1919</v>
      </c>
      <c r="AG53" s="5">
        <v>40</v>
      </c>
      <c r="AH53" s="5">
        <v>0.17</v>
      </c>
      <c r="AI53" s="5">
        <v>71.459999999999994</v>
      </c>
      <c r="AJ53" s="5">
        <v>97.96</v>
      </c>
      <c r="AK53" s="5">
        <v>168.54</v>
      </c>
      <c r="AL53" s="5">
        <v>167.18</v>
      </c>
      <c r="AM53" s="5">
        <v>417.48</v>
      </c>
      <c r="AN53" s="5">
        <v>192.52279999999999</v>
      </c>
      <c r="AO53" s="5">
        <v>92.34</v>
      </c>
      <c r="AP53" s="5">
        <v>116.35</v>
      </c>
      <c r="AQ53" s="5">
        <v>103.5</v>
      </c>
      <c r="AR53" s="5">
        <v>464.31</v>
      </c>
      <c r="AS53" s="5">
        <v>76.19</v>
      </c>
      <c r="AT53" s="5">
        <v>69.39</v>
      </c>
      <c r="AU53" s="5">
        <v>113.67</v>
      </c>
      <c r="AV53" s="5">
        <v>118.75</v>
      </c>
      <c r="AW53" s="5">
        <v>0.434</v>
      </c>
      <c r="AX53" s="5">
        <v>6.51</v>
      </c>
      <c r="AY53" s="5">
        <v>5.4135999999999997</v>
      </c>
      <c r="AZ53" s="5">
        <v>139.16</v>
      </c>
      <c r="BA53" s="5">
        <v>55.18</v>
      </c>
      <c r="BB53" s="5">
        <v>7.01</v>
      </c>
      <c r="BC53" s="5">
        <v>1.79</v>
      </c>
      <c r="BD53" s="5">
        <v>10.93</v>
      </c>
      <c r="BE53" s="5">
        <v>1.81</v>
      </c>
      <c r="BF53" s="5">
        <v>170.36</v>
      </c>
      <c r="BG53" s="5">
        <v>25.54</v>
      </c>
      <c r="BH53" s="5">
        <v>0.36</v>
      </c>
      <c r="BI53" s="5">
        <v>255.5</v>
      </c>
      <c r="BJ53" s="5">
        <v>30.9</v>
      </c>
      <c r="BK53" s="5">
        <v>84</v>
      </c>
      <c r="BL53" s="5">
        <v>159.32</v>
      </c>
      <c r="BM53" s="5">
        <v>2.0699999999999998</v>
      </c>
      <c r="BN53" s="5">
        <v>30.6</v>
      </c>
      <c r="BO53" s="5">
        <v>35.36</v>
      </c>
      <c r="BP53" s="5">
        <v>479.38</v>
      </c>
      <c r="BQ53" s="5">
        <v>68.837289999999996</v>
      </c>
      <c r="BR53" s="5">
        <v>263.93299999999999</v>
      </c>
      <c r="BS53" s="5">
        <v>57.728479999999998</v>
      </c>
      <c r="BT53" s="5">
        <v>65.813829999999996</v>
      </c>
      <c r="BU53" s="5">
        <v>64.342860000000002</v>
      </c>
      <c r="BV53" s="5">
        <v>8.9616000000000001E-2</v>
      </c>
      <c r="BW53" s="5">
        <v>7.9772999999999997E-2</v>
      </c>
      <c r="BX53" s="5">
        <v>46.480519999999999</v>
      </c>
      <c r="BY53" s="5">
        <v>18.995360000000002</v>
      </c>
      <c r="BZ53" s="5">
        <v>0</v>
      </c>
      <c r="CA53" s="5">
        <v>0.93577399999999999</v>
      </c>
      <c r="CB53" s="5">
        <v>654.11850000000004</v>
      </c>
      <c r="CC53" s="5">
        <v>667.56100000000004</v>
      </c>
      <c r="CD53" s="5">
        <v>53.953069999999997</v>
      </c>
      <c r="CE53" s="5">
        <v>420.28</v>
      </c>
      <c r="CF53" s="5">
        <v>92.3</v>
      </c>
      <c r="CG53" s="5">
        <v>106.88</v>
      </c>
      <c r="CH53" s="5">
        <v>389.54</v>
      </c>
      <c r="CI53" s="5">
        <v>389.28</v>
      </c>
      <c r="CJ53" s="5">
        <v>392.45</v>
      </c>
      <c r="CK53" s="5">
        <v>425.59</v>
      </c>
      <c r="CL53" s="5">
        <v>409.68</v>
      </c>
      <c r="CM53" s="5">
        <v>413.54</v>
      </c>
      <c r="CN53" s="5">
        <v>305.73</v>
      </c>
      <c r="CO53" s="5">
        <v>25.15</v>
      </c>
      <c r="CP53" s="5">
        <v>329.3</v>
      </c>
      <c r="CQ53" s="5">
        <v>330.05</v>
      </c>
      <c r="CR53" s="5">
        <v>5.9</v>
      </c>
      <c r="CS53" s="5">
        <v>5.9</v>
      </c>
      <c r="CT53" s="5">
        <v>20.23</v>
      </c>
      <c r="CU53" s="5">
        <v>21.9</v>
      </c>
      <c r="CV53" s="5">
        <v>100.66</v>
      </c>
      <c r="CW53" s="5">
        <v>0.82589493400000002</v>
      </c>
      <c r="CX53" s="5">
        <v>1.4948698309999999</v>
      </c>
    </row>
    <row r="54" spans="1:102" x14ac:dyDescent="0.25">
      <c r="A54" s="5">
        <v>2</v>
      </c>
      <c r="B54" s="23">
        <v>2.3997685185185181E-2</v>
      </c>
      <c r="C54" s="5">
        <v>2</v>
      </c>
      <c r="D54" s="5">
        <v>2</v>
      </c>
      <c r="E54" s="5">
        <v>305</v>
      </c>
      <c r="F54" s="5">
        <v>305</v>
      </c>
      <c r="G54" s="5">
        <v>305</v>
      </c>
      <c r="H54" s="5">
        <v>82.6</v>
      </c>
      <c r="I54" s="5">
        <v>82.6</v>
      </c>
      <c r="J54" s="5">
        <v>1701</v>
      </c>
      <c r="K54" s="5">
        <v>25</v>
      </c>
      <c r="L54" s="5">
        <v>25</v>
      </c>
      <c r="M54" s="5">
        <v>0.17</v>
      </c>
      <c r="N54" s="5">
        <v>0.16997699999999999</v>
      </c>
      <c r="O54" s="5">
        <v>1</v>
      </c>
      <c r="P54" s="5">
        <v>1.070109</v>
      </c>
      <c r="Q54" s="5">
        <v>-3.27</v>
      </c>
      <c r="R54" s="5">
        <v>-3.2739259999999999</v>
      </c>
      <c r="S54" s="5">
        <v>120.78</v>
      </c>
      <c r="T54" s="5">
        <v>120.7813</v>
      </c>
      <c r="U54" s="5">
        <v>3.5</v>
      </c>
      <c r="V54" s="5">
        <v>3.5</v>
      </c>
      <c r="W54" s="5">
        <v>300</v>
      </c>
      <c r="X54" s="5">
        <v>300</v>
      </c>
      <c r="Y54" s="5">
        <v>4</v>
      </c>
      <c r="Z54" s="5">
        <v>4</v>
      </c>
      <c r="AA54" s="5">
        <v>300</v>
      </c>
      <c r="AB54" s="5">
        <v>300</v>
      </c>
      <c r="AC54" s="5">
        <v>0</v>
      </c>
      <c r="AD54" s="5">
        <v>93.970410000000001</v>
      </c>
      <c r="AE54" s="5">
        <v>0</v>
      </c>
      <c r="AF54" s="5">
        <v>93.970410000000001</v>
      </c>
      <c r="AG54" s="5">
        <v>40</v>
      </c>
      <c r="AH54" s="5">
        <v>0.17</v>
      </c>
      <c r="AI54" s="5">
        <v>51.75</v>
      </c>
      <c r="AJ54" s="5">
        <v>70.83</v>
      </c>
      <c r="AK54" s="5">
        <v>51.16</v>
      </c>
      <c r="AL54" s="5">
        <v>51.25</v>
      </c>
      <c r="AM54" s="5">
        <v>436.07</v>
      </c>
      <c r="AN54" s="5">
        <v>133.53800000000001</v>
      </c>
      <c r="AO54" s="5">
        <v>32.590000000000003</v>
      </c>
      <c r="AP54" s="5">
        <v>66.930000000000007</v>
      </c>
      <c r="AQ54" s="5">
        <v>41.89</v>
      </c>
      <c r="AR54" s="5">
        <v>397.52</v>
      </c>
      <c r="AS54" s="5">
        <v>18.57</v>
      </c>
      <c r="AT54" s="5">
        <v>44.19</v>
      </c>
      <c r="AU54" s="5">
        <v>96.8</v>
      </c>
      <c r="AV54" s="5">
        <v>119.5</v>
      </c>
      <c r="AW54" s="5">
        <v>0.376</v>
      </c>
      <c r="AX54" s="5">
        <v>5.53</v>
      </c>
      <c r="AY54" s="5">
        <v>4.4875999999999996</v>
      </c>
      <c r="AZ54" s="5">
        <v>161.75</v>
      </c>
      <c r="BA54" s="5">
        <v>62.36</v>
      </c>
      <c r="BB54" s="5">
        <v>7.16</v>
      </c>
      <c r="BC54" s="5">
        <v>0.93</v>
      </c>
      <c r="BD54" s="5">
        <v>10.72</v>
      </c>
      <c r="BE54" s="5">
        <v>2.82</v>
      </c>
      <c r="BF54" s="5">
        <v>287.61</v>
      </c>
      <c r="BG54" s="5">
        <v>12.91</v>
      </c>
      <c r="BH54" s="5">
        <v>0.3</v>
      </c>
      <c r="BI54" s="5">
        <v>241.7</v>
      </c>
      <c r="BJ54" s="5">
        <v>30.3</v>
      </c>
      <c r="BK54" s="5">
        <v>84.8</v>
      </c>
      <c r="BL54" s="5">
        <v>58.98</v>
      </c>
      <c r="BM54" s="5">
        <v>1.51</v>
      </c>
      <c r="BN54" s="5">
        <v>29.81</v>
      </c>
      <c r="BO54" s="5">
        <v>35.49</v>
      </c>
      <c r="BP54" s="5">
        <v>410.88</v>
      </c>
      <c r="BQ54" s="5">
        <v>46.281199999999998</v>
      </c>
      <c r="BR54" s="5">
        <v>151.06049999999999</v>
      </c>
      <c r="BS54" s="5">
        <v>67.507919999999999</v>
      </c>
      <c r="BT54" s="5">
        <v>56.830019999999998</v>
      </c>
      <c r="BU54" s="5">
        <v>56.668439999999997</v>
      </c>
      <c r="BV54" s="5">
        <v>7.6291999999999999E-2</v>
      </c>
      <c r="BW54" s="5">
        <v>8.1210000000000004E-2</v>
      </c>
      <c r="BX54" s="5">
        <v>38.899320000000003</v>
      </c>
      <c r="BY54" s="5">
        <v>18.995360000000002</v>
      </c>
      <c r="BZ54" s="5">
        <v>0</v>
      </c>
      <c r="CA54" s="5">
        <v>0.93790200000000001</v>
      </c>
      <c r="CB54" s="5">
        <v>486.83370000000002</v>
      </c>
      <c r="CC54" s="5">
        <v>498.3827</v>
      </c>
      <c r="CD54" s="5">
        <v>46.400680000000001</v>
      </c>
      <c r="CE54" s="5">
        <v>401.53</v>
      </c>
      <c r="CF54" s="5">
        <v>71.069999999999993</v>
      </c>
      <c r="CG54" s="5">
        <v>86.07</v>
      </c>
      <c r="CH54" s="5">
        <v>368.2</v>
      </c>
      <c r="CI54" s="5">
        <v>376.39</v>
      </c>
      <c r="CJ54" s="5">
        <v>391.12</v>
      </c>
      <c r="CK54" s="5">
        <v>433.97</v>
      </c>
      <c r="CL54" s="5">
        <v>407.58</v>
      </c>
      <c r="CM54" s="5">
        <v>412.46</v>
      </c>
      <c r="CN54" s="5">
        <v>365.35</v>
      </c>
      <c r="CO54" s="5">
        <v>22.71</v>
      </c>
      <c r="CP54" s="5">
        <v>304.10000000000002</v>
      </c>
      <c r="CQ54" s="5">
        <v>305.05</v>
      </c>
      <c r="CR54" s="5">
        <v>5.4</v>
      </c>
      <c r="CS54" s="5">
        <v>5.5</v>
      </c>
      <c r="CT54" s="5">
        <v>19.13</v>
      </c>
      <c r="CU54" s="5">
        <v>26.56</v>
      </c>
      <c r="CV54" s="5">
        <v>100.65</v>
      </c>
      <c r="CW54" s="5">
        <v>0.83037764000000003</v>
      </c>
      <c r="CX54" s="5">
        <v>2.3416649450000002</v>
      </c>
    </row>
    <row r="55" spans="1:102" x14ac:dyDescent="0.25">
      <c r="A55" s="5">
        <v>37</v>
      </c>
      <c r="B55" s="23">
        <v>2.8657407407407406E-2</v>
      </c>
      <c r="C55" s="5">
        <v>2</v>
      </c>
      <c r="D55" s="5">
        <v>35</v>
      </c>
      <c r="E55" s="5">
        <v>455</v>
      </c>
      <c r="F55" s="5">
        <v>455</v>
      </c>
      <c r="G55" s="5">
        <v>455.1</v>
      </c>
      <c r="H55" s="5">
        <v>82.6</v>
      </c>
      <c r="I55" s="5">
        <v>82.6</v>
      </c>
      <c r="J55" s="5">
        <v>1701</v>
      </c>
      <c r="K55" s="5">
        <v>14</v>
      </c>
      <c r="L55" s="5">
        <v>14</v>
      </c>
      <c r="M55" s="5">
        <v>0.25</v>
      </c>
      <c r="N55" s="5">
        <v>0.24995800000000001</v>
      </c>
      <c r="O55" s="5">
        <v>1</v>
      </c>
      <c r="P55" s="5">
        <v>1.069367</v>
      </c>
      <c r="Q55" s="5">
        <v>-4.3</v>
      </c>
      <c r="R55" s="5">
        <v>-4.2956539999999999</v>
      </c>
      <c r="S55" s="5">
        <v>152.15</v>
      </c>
      <c r="T55" s="5">
        <v>152.15629999999999</v>
      </c>
      <c r="U55" s="5">
        <v>3.5</v>
      </c>
      <c r="V55" s="5">
        <v>3.5</v>
      </c>
      <c r="W55" s="5">
        <v>300</v>
      </c>
      <c r="X55" s="5">
        <v>300</v>
      </c>
      <c r="Y55" s="5">
        <v>3.5</v>
      </c>
      <c r="Z55" s="5">
        <v>3.5</v>
      </c>
      <c r="AA55" s="5">
        <v>300</v>
      </c>
      <c r="AB55" s="5">
        <v>300</v>
      </c>
      <c r="AC55" s="5">
        <v>0</v>
      </c>
      <c r="AD55" s="5">
        <v>101.0715</v>
      </c>
      <c r="AE55" s="5">
        <v>0</v>
      </c>
      <c r="AF55" s="5">
        <v>101.0715</v>
      </c>
      <c r="AG55" s="5">
        <v>40</v>
      </c>
      <c r="AH55" s="5">
        <v>0.17</v>
      </c>
      <c r="AI55" s="5">
        <v>56.81</v>
      </c>
      <c r="AJ55" s="5">
        <v>79.680000000000007</v>
      </c>
      <c r="AK55" s="5">
        <v>58.93</v>
      </c>
      <c r="AL55" s="5">
        <v>60.16</v>
      </c>
      <c r="AM55" s="5">
        <v>572.35</v>
      </c>
      <c r="AN55" s="5">
        <v>146.67570000000001</v>
      </c>
      <c r="AO55" s="5">
        <v>45.28</v>
      </c>
      <c r="AP55" s="5">
        <v>82.99</v>
      </c>
      <c r="AQ55" s="5">
        <v>55.75</v>
      </c>
      <c r="AR55" s="5">
        <v>437.44</v>
      </c>
      <c r="AS55" s="5">
        <v>13.65</v>
      </c>
      <c r="AT55" s="5">
        <v>50.21</v>
      </c>
      <c r="AU55" s="5">
        <v>98.91</v>
      </c>
      <c r="AV55" s="5">
        <v>114.34</v>
      </c>
      <c r="AW55" s="5">
        <v>0.46100000000000002</v>
      </c>
      <c r="AX55" s="5">
        <v>6.98</v>
      </c>
      <c r="AY55" s="5">
        <v>4.2224000000000004</v>
      </c>
      <c r="AZ55" s="5">
        <v>179.11</v>
      </c>
      <c r="BA55" s="5">
        <v>38.65</v>
      </c>
      <c r="BB55" s="5">
        <v>9.43</v>
      </c>
      <c r="BC55" s="5">
        <v>1.18</v>
      </c>
      <c r="BD55" s="5">
        <v>7.54</v>
      </c>
      <c r="BE55" s="5">
        <v>2.2799999999999998</v>
      </c>
      <c r="BF55" s="5">
        <v>329.6</v>
      </c>
      <c r="BG55" s="5">
        <v>12.54</v>
      </c>
      <c r="BH55" s="5">
        <v>0.28000000000000003</v>
      </c>
      <c r="BI55" s="5">
        <v>234.2</v>
      </c>
      <c r="BJ55" s="5">
        <v>23</v>
      </c>
      <c r="BK55" s="5">
        <v>85.7</v>
      </c>
      <c r="BL55" s="5">
        <v>62.74</v>
      </c>
      <c r="BM55" s="5">
        <v>1.63</v>
      </c>
      <c r="BN55" s="5">
        <v>30.03</v>
      </c>
      <c r="BO55" s="5">
        <v>37.46</v>
      </c>
      <c r="BP55" s="5">
        <v>456.37</v>
      </c>
      <c r="BQ55" s="5">
        <v>51.857500000000002</v>
      </c>
      <c r="BR55" s="5">
        <v>158.9068</v>
      </c>
      <c r="BS55" s="5">
        <v>49.123390000000001</v>
      </c>
      <c r="BT55" s="5">
        <v>38.994970000000002</v>
      </c>
      <c r="BU55" s="5">
        <v>38.941929999999999</v>
      </c>
      <c r="BV55" s="5">
        <v>0.10255</v>
      </c>
      <c r="BW55" s="5">
        <v>0.107459</v>
      </c>
      <c r="BX55" s="5">
        <v>63.327550000000002</v>
      </c>
      <c r="BY55" s="5">
        <v>18.995360000000002</v>
      </c>
      <c r="BZ55" s="5">
        <v>0</v>
      </c>
      <c r="CA55" s="5">
        <v>0.93657800000000002</v>
      </c>
      <c r="CB55" s="5">
        <v>524.81500000000005</v>
      </c>
      <c r="CC55" s="5">
        <v>542.36329999999998</v>
      </c>
      <c r="CD55" s="5">
        <v>70.328490000000002</v>
      </c>
      <c r="CE55" s="5">
        <v>504.16</v>
      </c>
      <c r="CF55" s="5">
        <v>77.17</v>
      </c>
      <c r="CG55" s="5">
        <v>91.64</v>
      </c>
      <c r="CH55" s="5">
        <v>456.22</v>
      </c>
      <c r="CI55" s="5">
        <v>481.09</v>
      </c>
      <c r="CJ55" s="5">
        <v>495.83</v>
      </c>
      <c r="CK55" s="5">
        <v>544.29999999999995</v>
      </c>
      <c r="CL55" s="5">
        <v>513.34</v>
      </c>
      <c r="CM55" s="5">
        <v>521.11</v>
      </c>
      <c r="CN55" s="5">
        <v>478.27</v>
      </c>
      <c r="CO55" s="5">
        <v>27.36</v>
      </c>
      <c r="CP55" s="5">
        <v>454.5</v>
      </c>
      <c r="CQ55" s="5">
        <v>455.05</v>
      </c>
      <c r="CR55" s="5">
        <v>8.1</v>
      </c>
      <c r="CS55" s="5">
        <v>8.1999999999999993</v>
      </c>
      <c r="CT55" s="5">
        <v>22.32</v>
      </c>
      <c r="CU55" s="5">
        <v>18.48</v>
      </c>
      <c r="CV55" s="5">
        <v>100.77</v>
      </c>
      <c r="CW55" s="5">
        <v>0.81639489099999996</v>
      </c>
      <c r="CX55" s="5">
        <v>1.861380351</v>
      </c>
    </row>
    <row r="56" spans="1:102" x14ac:dyDescent="0.25">
      <c r="A56" s="5">
        <v>8</v>
      </c>
      <c r="B56" s="23">
        <v>1.492939814814815E-2</v>
      </c>
      <c r="C56" s="5">
        <v>2</v>
      </c>
      <c r="D56" s="5">
        <v>8</v>
      </c>
      <c r="E56" s="5">
        <v>333</v>
      </c>
      <c r="F56" s="5">
        <v>333</v>
      </c>
      <c r="G56" s="5">
        <v>333.1</v>
      </c>
      <c r="H56" s="5">
        <v>82.6</v>
      </c>
      <c r="I56" s="5">
        <v>82.6</v>
      </c>
      <c r="J56" s="5">
        <v>1701</v>
      </c>
      <c r="K56" s="5">
        <v>38</v>
      </c>
      <c r="L56" s="5">
        <v>38</v>
      </c>
      <c r="M56" s="5">
        <v>0.1</v>
      </c>
      <c r="N56" s="5">
        <v>0.10002</v>
      </c>
      <c r="O56" s="5">
        <v>1</v>
      </c>
      <c r="P56" s="5">
        <v>1.0699959999999999</v>
      </c>
      <c r="Q56" s="5">
        <v>-3.44</v>
      </c>
      <c r="R56" s="5">
        <v>-3.4387210000000001</v>
      </c>
      <c r="S56" s="5">
        <v>126.65</v>
      </c>
      <c r="T56" s="5">
        <v>126.6563</v>
      </c>
      <c r="U56" s="5">
        <v>3.5</v>
      </c>
      <c r="V56" s="5">
        <v>3.5</v>
      </c>
      <c r="W56" s="5">
        <v>300</v>
      </c>
      <c r="X56" s="5">
        <v>300</v>
      </c>
      <c r="Y56" s="5">
        <v>3.97</v>
      </c>
      <c r="Z56" s="5">
        <v>3.96875</v>
      </c>
      <c r="AA56" s="5">
        <v>300</v>
      </c>
      <c r="AB56" s="5">
        <v>300</v>
      </c>
      <c r="AC56" s="5">
        <v>0</v>
      </c>
      <c r="AD56" s="5">
        <v>106.1121</v>
      </c>
      <c r="AE56" s="5">
        <v>0</v>
      </c>
      <c r="AF56" s="5">
        <v>106.1121</v>
      </c>
      <c r="AG56" s="5">
        <v>40</v>
      </c>
      <c r="AH56" s="5">
        <v>0.17</v>
      </c>
      <c r="AI56" s="5">
        <v>60.55</v>
      </c>
      <c r="AJ56" s="5">
        <v>86.42</v>
      </c>
      <c r="AK56" s="5">
        <v>86.04</v>
      </c>
      <c r="AL56" s="5">
        <v>86.91</v>
      </c>
      <c r="AM56" s="5">
        <v>431.44</v>
      </c>
      <c r="AN56" s="5">
        <v>157.86940000000001</v>
      </c>
      <c r="AO56" s="5">
        <v>57.37</v>
      </c>
      <c r="AP56" s="5">
        <v>90.64</v>
      </c>
      <c r="AQ56" s="5">
        <v>68.989999999999995</v>
      </c>
      <c r="AR56" s="5">
        <v>474.65</v>
      </c>
      <c r="AS56" s="5">
        <v>28.67</v>
      </c>
      <c r="AT56" s="5">
        <v>58.72</v>
      </c>
      <c r="AU56" s="5">
        <v>96.49</v>
      </c>
      <c r="AV56" s="5">
        <v>116.34</v>
      </c>
      <c r="AW56" s="5">
        <v>0.187</v>
      </c>
      <c r="AX56" s="5">
        <v>2.6</v>
      </c>
      <c r="AY56" s="5">
        <v>2.1537999999999999</v>
      </c>
      <c r="AZ56" s="5">
        <v>104.13</v>
      </c>
      <c r="BA56" s="5">
        <v>52.42</v>
      </c>
      <c r="BB56" s="5">
        <v>6.57</v>
      </c>
      <c r="BC56" s="5">
        <v>0.65</v>
      </c>
      <c r="BD56" s="5">
        <v>11.6</v>
      </c>
      <c r="BE56" s="5">
        <v>4.22</v>
      </c>
      <c r="BF56" s="5">
        <v>388.71</v>
      </c>
      <c r="BG56" s="5">
        <v>9.85</v>
      </c>
      <c r="BH56" s="5">
        <v>0.15</v>
      </c>
      <c r="BI56" s="5">
        <v>239.7</v>
      </c>
      <c r="BJ56" s="5">
        <v>33.4</v>
      </c>
      <c r="BK56" s="5">
        <v>86.9</v>
      </c>
      <c r="BL56" s="5">
        <v>51.86</v>
      </c>
      <c r="BM56" s="5">
        <v>1.69</v>
      </c>
      <c r="BN56" s="5">
        <v>29.55</v>
      </c>
      <c r="BO56" s="5">
        <v>34.9</v>
      </c>
      <c r="BP56" s="5">
        <v>488.78</v>
      </c>
      <c r="BQ56" s="5">
        <v>59.795259999999999</v>
      </c>
      <c r="BR56" s="5">
        <v>187.33940000000001</v>
      </c>
      <c r="BS56" s="5">
        <v>59.507840000000002</v>
      </c>
      <c r="BT56" s="5">
        <v>58.642879999999998</v>
      </c>
      <c r="BU56" s="5">
        <v>57.907319999999999</v>
      </c>
      <c r="BV56" s="5">
        <v>9.0673000000000004E-2</v>
      </c>
      <c r="BW56" s="5">
        <v>8.7924000000000002E-2</v>
      </c>
      <c r="BX56" s="5">
        <v>43.015099999999997</v>
      </c>
      <c r="BY56" s="5">
        <v>18.995360000000002</v>
      </c>
      <c r="BZ56" s="5">
        <v>0</v>
      </c>
      <c r="CA56" s="5">
        <v>0.93675200000000003</v>
      </c>
      <c r="CB56" s="5">
        <v>551.50120000000004</v>
      </c>
      <c r="CC56" s="5">
        <v>564.07899999999995</v>
      </c>
      <c r="CD56" s="5">
        <v>50.486719999999998</v>
      </c>
      <c r="CE56" s="5">
        <v>381.79</v>
      </c>
      <c r="CF56" s="5">
        <v>78.03</v>
      </c>
      <c r="CG56" s="5">
        <v>89.74</v>
      </c>
      <c r="CH56" s="5">
        <v>372.67</v>
      </c>
      <c r="CI56" s="5">
        <v>378.15</v>
      </c>
      <c r="CJ56" s="5">
        <v>392.25</v>
      </c>
      <c r="CK56" s="5">
        <v>429.73</v>
      </c>
      <c r="CL56" s="5">
        <v>405.92</v>
      </c>
      <c r="CM56" s="5">
        <v>409.26</v>
      </c>
      <c r="CN56" s="5">
        <v>341.89</v>
      </c>
      <c r="CO56" s="5">
        <v>24.18</v>
      </c>
      <c r="CP56" s="5">
        <v>332.3</v>
      </c>
      <c r="CQ56" s="5">
        <v>333.05</v>
      </c>
      <c r="CR56" s="5">
        <v>6</v>
      </c>
      <c r="CS56" s="5">
        <v>6</v>
      </c>
      <c r="CT56" s="5">
        <v>20.49</v>
      </c>
      <c r="CU56" s="5">
        <v>22.25</v>
      </c>
      <c r="CV56" s="5">
        <v>100.66</v>
      </c>
      <c r="CW56" s="5">
        <v>0.83175328900000001</v>
      </c>
      <c r="CX56" s="5">
        <v>3.5099988799999999</v>
      </c>
    </row>
    <row r="57" spans="1:102" x14ac:dyDescent="0.25">
      <c r="A57" s="5">
        <v>42</v>
      </c>
      <c r="B57" s="23">
        <v>1.4137731481481482E-2</v>
      </c>
      <c r="C57" s="5">
        <v>2</v>
      </c>
      <c r="D57" s="5">
        <v>40</v>
      </c>
      <c r="E57" s="5">
        <v>480</v>
      </c>
      <c r="F57" s="5">
        <v>480</v>
      </c>
      <c r="G57" s="5">
        <v>480.1</v>
      </c>
      <c r="H57" s="5">
        <v>82.6</v>
      </c>
      <c r="I57" s="5">
        <v>82.6</v>
      </c>
      <c r="J57" s="5">
        <v>1701</v>
      </c>
      <c r="K57" s="5">
        <v>40</v>
      </c>
      <c r="L57" s="5">
        <v>40</v>
      </c>
      <c r="M57" s="5">
        <v>0.13</v>
      </c>
      <c r="N57" s="5">
        <v>0.13000300000000001</v>
      </c>
      <c r="O57" s="5">
        <v>1</v>
      </c>
      <c r="P57" s="5">
        <v>1.0693859999999999</v>
      </c>
      <c r="Q57" s="5">
        <v>-4.51</v>
      </c>
      <c r="R57" s="5">
        <v>-4.5153809999999996</v>
      </c>
      <c r="S57" s="5">
        <v>157.32</v>
      </c>
      <c r="T57" s="5">
        <v>157.3125</v>
      </c>
      <c r="U57" s="5">
        <v>3.5</v>
      </c>
      <c r="V57" s="5">
        <v>3.5</v>
      </c>
      <c r="W57" s="5">
        <v>300</v>
      </c>
      <c r="X57" s="5">
        <v>300</v>
      </c>
      <c r="Y57" s="5">
        <v>3.5</v>
      </c>
      <c r="Z57" s="5">
        <v>3.5</v>
      </c>
      <c r="AA57" s="5">
        <v>300</v>
      </c>
      <c r="AB57" s="5">
        <v>300</v>
      </c>
      <c r="AC57" s="5">
        <v>0</v>
      </c>
      <c r="AD57" s="5">
        <v>126.2895</v>
      </c>
      <c r="AE57" s="5">
        <v>0</v>
      </c>
      <c r="AF57" s="5">
        <v>126.2895</v>
      </c>
      <c r="AG57" s="5">
        <v>40</v>
      </c>
      <c r="AH57" s="5">
        <v>0.17</v>
      </c>
      <c r="AI57" s="5">
        <v>72.19</v>
      </c>
      <c r="AJ57" s="5">
        <v>101.7</v>
      </c>
      <c r="AK57" s="5">
        <v>120.47</v>
      </c>
      <c r="AL57" s="5">
        <v>121.92</v>
      </c>
      <c r="AM57" s="5">
        <v>496.73</v>
      </c>
      <c r="AN57" s="5">
        <v>190.35599999999999</v>
      </c>
      <c r="AO57" s="5">
        <v>89.42</v>
      </c>
      <c r="AP57" s="5">
        <v>117.85</v>
      </c>
      <c r="AQ57" s="5">
        <v>103.14</v>
      </c>
      <c r="AR57" s="5">
        <v>559.51</v>
      </c>
      <c r="AS57" s="5">
        <v>31.05</v>
      </c>
      <c r="AT57" s="5">
        <v>61.04</v>
      </c>
      <c r="AU57" s="5">
        <v>100.07</v>
      </c>
      <c r="AV57" s="5">
        <v>121.02</v>
      </c>
      <c r="AW57" s="5">
        <v>0.107</v>
      </c>
      <c r="AX57" s="5">
        <v>1.45</v>
      </c>
      <c r="AY57" s="5">
        <v>1.1475</v>
      </c>
      <c r="AZ57" s="5">
        <v>90.96</v>
      </c>
      <c r="BA57" s="5">
        <v>25.19</v>
      </c>
      <c r="BB57" s="5">
        <v>7.57</v>
      </c>
      <c r="BC57" s="5">
        <v>0.89</v>
      </c>
      <c r="BD57" s="5">
        <v>10.130000000000001</v>
      </c>
      <c r="BE57" s="5">
        <v>3.59</v>
      </c>
      <c r="BF57" s="5">
        <v>413.67</v>
      </c>
      <c r="BG57" s="5">
        <v>11.7</v>
      </c>
      <c r="BH57" s="5">
        <v>0.08</v>
      </c>
      <c r="BI57" s="5">
        <v>229.3</v>
      </c>
      <c r="BJ57" s="5">
        <v>28.6</v>
      </c>
      <c r="BK57" s="5">
        <v>86.9</v>
      </c>
      <c r="BL57" s="5">
        <v>74.180000000000007</v>
      </c>
      <c r="BM57" s="5">
        <v>2.04</v>
      </c>
      <c r="BN57" s="5">
        <v>29.78</v>
      </c>
      <c r="BO57" s="5">
        <v>35.869999999999997</v>
      </c>
      <c r="BP57" s="5">
        <v>579.29</v>
      </c>
      <c r="BQ57" s="5">
        <v>61.929740000000002</v>
      </c>
      <c r="BR57" s="5">
        <v>221.131</v>
      </c>
      <c r="BS57" s="5">
        <v>48.435890000000001</v>
      </c>
      <c r="BT57" s="5">
        <v>48.43083</v>
      </c>
      <c r="BU57" s="5">
        <v>47.742919999999998</v>
      </c>
      <c r="BV57" s="5">
        <v>0.10233299999999999</v>
      </c>
      <c r="BW57" s="5">
        <v>9.7757999999999998E-2</v>
      </c>
      <c r="BX57" s="5">
        <v>65.267139999999998</v>
      </c>
      <c r="BY57" s="5">
        <v>18.995360000000002</v>
      </c>
      <c r="BZ57" s="5">
        <v>0</v>
      </c>
      <c r="CA57" s="5">
        <v>0.93705000000000005</v>
      </c>
      <c r="CB57" s="5">
        <v>660.9819</v>
      </c>
      <c r="CC57" s="5">
        <v>679.02250000000004</v>
      </c>
      <c r="CD57" s="5">
        <v>72.270359999999997</v>
      </c>
      <c r="CE57" s="5">
        <v>454.94</v>
      </c>
      <c r="CF57" s="5">
        <v>82.25</v>
      </c>
      <c r="CG57" s="5">
        <v>94.88</v>
      </c>
      <c r="CH57" s="5">
        <v>411.27</v>
      </c>
      <c r="CI57" s="5">
        <v>431.77</v>
      </c>
      <c r="CJ57" s="5">
        <v>444.43</v>
      </c>
      <c r="CK57" s="5">
        <v>476.58</v>
      </c>
      <c r="CL57" s="5">
        <v>466.78</v>
      </c>
      <c r="CM57" s="5">
        <v>469.14</v>
      </c>
      <c r="CN57" s="5">
        <v>380.59</v>
      </c>
      <c r="CO57" s="5">
        <v>27.78</v>
      </c>
      <c r="CP57" s="5">
        <v>479.2</v>
      </c>
      <c r="CQ57" s="5">
        <v>480.05</v>
      </c>
      <c r="CR57" s="5">
        <v>8.6</v>
      </c>
      <c r="CS57" s="5">
        <v>8.6</v>
      </c>
      <c r="CT57" s="5">
        <v>22.4</v>
      </c>
      <c r="CU57" s="5">
        <v>19.059999999999999</v>
      </c>
      <c r="CV57" s="5">
        <v>100.79</v>
      </c>
      <c r="CW57" s="5">
        <v>0.83067473599999997</v>
      </c>
      <c r="CX57" s="5">
        <v>2.9821223020000001</v>
      </c>
    </row>
    <row r="58" spans="1:102" x14ac:dyDescent="0.25">
      <c r="A58" s="5">
        <v>21</v>
      </c>
      <c r="B58" s="23">
        <v>5.7199074074074071E-3</v>
      </c>
      <c r="C58" s="5">
        <v>2</v>
      </c>
      <c r="D58" s="5">
        <v>20</v>
      </c>
      <c r="E58" s="5">
        <v>386</v>
      </c>
      <c r="F58" s="5">
        <v>386</v>
      </c>
      <c r="G58" s="5">
        <v>386</v>
      </c>
      <c r="H58" s="5">
        <v>82.6</v>
      </c>
      <c r="I58" s="5">
        <v>82.6</v>
      </c>
      <c r="J58" s="5">
        <v>1701</v>
      </c>
      <c r="K58" s="5">
        <v>45</v>
      </c>
      <c r="L58" s="5">
        <v>45</v>
      </c>
      <c r="M58" s="5">
        <v>0.22</v>
      </c>
      <c r="N58" s="5">
        <v>0.220051</v>
      </c>
      <c r="O58" s="5">
        <v>1</v>
      </c>
      <c r="P58" s="5">
        <v>1.0694189999999999</v>
      </c>
      <c r="Q58" s="5">
        <v>-3.76</v>
      </c>
      <c r="R58" s="5">
        <v>-3.7573240000000001</v>
      </c>
      <c r="S58" s="5">
        <v>137.72999999999999</v>
      </c>
      <c r="T58" s="5">
        <v>137.73439999999999</v>
      </c>
      <c r="U58" s="5">
        <v>3.5</v>
      </c>
      <c r="V58" s="5">
        <v>3.5</v>
      </c>
      <c r="W58" s="5">
        <v>300</v>
      </c>
      <c r="X58" s="5">
        <v>300</v>
      </c>
      <c r="Y58" s="5">
        <v>3.97</v>
      </c>
      <c r="Z58" s="5">
        <v>3.96875</v>
      </c>
      <c r="AA58" s="5">
        <v>300</v>
      </c>
      <c r="AB58" s="5">
        <v>300</v>
      </c>
      <c r="AC58" s="5">
        <v>0</v>
      </c>
      <c r="AD58" s="5">
        <v>111.99169999999999</v>
      </c>
      <c r="AE58" s="5">
        <v>0</v>
      </c>
      <c r="AF58" s="5">
        <v>111.99169999999999</v>
      </c>
      <c r="AG58" s="5">
        <v>40</v>
      </c>
      <c r="AH58" s="5">
        <v>0.17</v>
      </c>
      <c r="AI58" s="5">
        <v>64.069999999999993</v>
      </c>
      <c r="AJ58" s="5">
        <v>89.77</v>
      </c>
      <c r="AK58" s="5">
        <v>96.82</v>
      </c>
      <c r="AL58" s="5">
        <v>96.96</v>
      </c>
      <c r="AM58" s="5">
        <v>460.89</v>
      </c>
      <c r="AN58" s="5">
        <v>169.21559999999999</v>
      </c>
      <c r="AO58" s="5">
        <v>68.489999999999995</v>
      </c>
      <c r="AP58" s="5">
        <v>98.73</v>
      </c>
      <c r="AQ58" s="5">
        <v>79.78</v>
      </c>
      <c r="AR58" s="5">
        <v>458.5</v>
      </c>
      <c r="AS58" s="5">
        <v>28.34</v>
      </c>
      <c r="AT58" s="5">
        <v>63.67</v>
      </c>
      <c r="AU58" s="5">
        <v>104.89</v>
      </c>
      <c r="AV58" s="5">
        <v>112.1</v>
      </c>
      <c r="AW58" s="5">
        <v>0.316</v>
      </c>
      <c r="AX58" s="5">
        <v>4.57</v>
      </c>
      <c r="AY58" s="5">
        <v>3.2768999999999999</v>
      </c>
      <c r="AZ58" s="5">
        <v>139.91999999999999</v>
      </c>
      <c r="BA58" s="5">
        <v>47.75</v>
      </c>
      <c r="BB58" s="5">
        <v>7.68</v>
      </c>
      <c r="BC58" s="5">
        <v>1.42</v>
      </c>
      <c r="BD58" s="5">
        <v>10.06</v>
      </c>
      <c r="BE58" s="5">
        <v>2.25</v>
      </c>
      <c r="BF58" s="5">
        <v>254.3</v>
      </c>
      <c r="BG58" s="5">
        <v>18.52</v>
      </c>
      <c r="BH58" s="5">
        <v>0.23</v>
      </c>
      <c r="BI58" s="5">
        <v>235.1</v>
      </c>
      <c r="BJ58" s="5">
        <v>28.4</v>
      </c>
      <c r="BK58" s="5">
        <v>86.1</v>
      </c>
      <c r="BL58" s="5">
        <v>104.29</v>
      </c>
      <c r="BM58" s="5">
        <v>1.83</v>
      </c>
      <c r="BN58" s="5">
        <v>30.26</v>
      </c>
      <c r="BO58" s="5">
        <v>35.909999999999997</v>
      </c>
      <c r="BP58" s="5">
        <v>475.03</v>
      </c>
      <c r="BQ58" s="5">
        <v>64.207920000000001</v>
      </c>
      <c r="BR58" s="5">
        <v>194.06700000000001</v>
      </c>
      <c r="BS58" s="5">
        <v>54.996279999999999</v>
      </c>
      <c r="BT58" s="5">
        <v>52.612549999999999</v>
      </c>
      <c r="BU58" s="5">
        <v>52.029429999999998</v>
      </c>
      <c r="BV58" s="5">
        <v>9.0436000000000002E-2</v>
      </c>
      <c r="BW58" s="5">
        <v>8.8842000000000004E-2</v>
      </c>
      <c r="BX58" s="5">
        <v>51.812399999999997</v>
      </c>
      <c r="BY58" s="5">
        <v>18.995360000000002</v>
      </c>
      <c r="BZ58" s="5">
        <v>0</v>
      </c>
      <c r="CA58" s="5">
        <v>0.93427499999999997</v>
      </c>
      <c r="CB58" s="5">
        <v>581.88369999999998</v>
      </c>
      <c r="CC58" s="5">
        <v>596.6671</v>
      </c>
      <c r="CD58" s="5">
        <v>59.282809999999998</v>
      </c>
      <c r="CE58" s="5">
        <v>447.92</v>
      </c>
      <c r="CF58" s="5">
        <v>85.13</v>
      </c>
      <c r="CG58" s="5">
        <v>97.67</v>
      </c>
      <c r="CH58" s="5">
        <v>393.67</v>
      </c>
      <c r="CI58" s="5">
        <v>401.75</v>
      </c>
      <c r="CJ58" s="5">
        <v>414.72</v>
      </c>
      <c r="CK58" s="5">
        <v>451.96</v>
      </c>
      <c r="CL58" s="5">
        <v>436.42</v>
      </c>
      <c r="CM58" s="5">
        <v>440.27</v>
      </c>
      <c r="CN58" s="5">
        <v>358.96</v>
      </c>
      <c r="CO58" s="5">
        <v>24.89</v>
      </c>
      <c r="CP58" s="5">
        <v>385.2</v>
      </c>
      <c r="CQ58" s="5">
        <v>386.05</v>
      </c>
      <c r="CR58" s="5">
        <v>6.9</v>
      </c>
      <c r="CS58" s="5">
        <v>6.9</v>
      </c>
      <c r="CT58" s="5">
        <v>21.04</v>
      </c>
      <c r="CU58" s="5">
        <v>21.06</v>
      </c>
      <c r="CV58" s="5">
        <v>100.69</v>
      </c>
      <c r="CW58" s="5">
        <v>0.82530004199999996</v>
      </c>
      <c r="CX58" s="5">
        <v>1.856925095</v>
      </c>
    </row>
    <row r="59" spans="1:102" x14ac:dyDescent="0.25">
      <c r="A59" s="5">
        <v>10</v>
      </c>
      <c r="B59" s="23">
        <v>2.579050925925926E-2</v>
      </c>
      <c r="C59" s="5">
        <v>2</v>
      </c>
      <c r="D59" s="5">
        <v>10</v>
      </c>
      <c r="E59" s="5">
        <v>342</v>
      </c>
      <c r="F59" s="5">
        <v>342</v>
      </c>
      <c r="G59" s="5">
        <v>342.1</v>
      </c>
      <c r="H59" s="5">
        <v>82.6</v>
      </c>
      <c r="I59" s="5">
        <v>82.6</v>
      </c>
      <c r="J59" s="5">
        <v>1701</v>
      </c>
      <c r="K59" s="5">
        <v>9</v>
      </c>
      <c r="L59" s="5">
        <v>9</v>
      </c>
      <c r="M59" s="5">
        <v>0.11</v>
      </c>
      <c r="N59" s="5">
        <v>0.110029</v>
      </c>
      <c r="O59" s="5">
        <v>1</v>
      </c>
      <c r="P59" s="5">
        <v>1.0699749999999999</v>
      </c>
      <c r="Q59" s="5">
        <v>-3.49</v>
      </c>
      <c r="R59" s="5">
        <v>-3.493652</v>
      </c>
      <c r="S59" s="5">
        <v>128.53</v>
      </c>
      <c r="T59" s="5">
        <v>128.53129999999999</v>
      </c>
      <c r="U59" s="5">
        <v>3.5</v>
      </c>
      <c r="V59" s="5">
        <v>3.5</v>
      </c>
      <c r="W59" s="5">
        <v>300</v>
      </c>
      <c r="X59" s="5">
        <v>300</v>
      </c>
      <c r="Y59" s="5">
        <v>3.97</v>
      </c>
      <c r="Z59" s="5">
        <v>3.96875</v>
      </c>
      <c r="AA59" s="5">
        <v>300</v>
      </c>
      <c r="AB59" s="5">
        <v>300</v>
      </c>
      <c r="AC59" s="5">
        <v>0</v>
      </c>
      <c r="AD59" s="5">
        <v>88.628439999999998</v>
      </c>
      <c r="AE59" s="5">
        <v>0</v>
      </c>
      <c r="AF59" s="5">
        <v>88.628439999999998</v>
      </c>
      <c r="AG59" s="5">
        <v>40</v>
      </c>
      <c r="AH59" s="5">
        <v>0.17</v>
      </c>
      <c r="AI59" s="5">
        <v>49.83</v>
      </c>
      <c r="AJ59" s="5">
        <v>68.67</v>
      </c>
      <c r="AK59" s="5">
        <v>45.21</v>
      </c>
      <c r="AL59" s="5">
        <v>46.34</v>
      </c>
      <c r="AM59" s="5">
        <v>499.85</v>
      </c>
      <c r="AN59" s="5">
        <v>128.12629999999999</v>
      </c>
      <c r="AO59" s="5">
        <v>27.15</v>
      </c>
      <c r="AP59" s="5">
        <v>66.34</v>
      </c>
      <c r="AQ59" s="5">
        <v>36.979999999999997</v>
      </c>
      <c r="AR59" s="5">
        <v>399.31</v>
      </c>
      <c r="AS59" s="5">
        <v>18.059999999999999</v>
      </c>
      <c r="AT59" s="5">
        <v>50.84</v>
      </c>
      <c r="AU59" s="5">
        <v>96.24</v>
      </c>
      <c r="AV59" s="5">
        <v>110.85</v>
      </c>
      <c r="AW59" s="5">
        <v>0.34899999999999998</v>
      </c>
      <c r="AX59" s="5">
        <v>5.0999999999999996</v>
      </c>
      <c r="AY59" s="5">
        <v>3.9994000000000001</v>
      </c>
      <c r="AZ59" s="5">
        <v>145.51</v>
      </c>
      <c r="BA59" s="5">
        <v>55.48</v>
      </c>
      <c r="BB59" s="5">
        <v>8</v>
      </c>
      <c r="BC59" s="5">
        <v>0.68</v>
      </c>
      <c r="BD59" s="5">
        <v>9.58</v>
      </c>
      <c r="BE59" s="5">
        <v>3.42</v>
      </c>
      <c r="BF59" s="5">
        <v>396.18</v>
      </c>
      <c r="BG59" s="5">
        <v>8.5399999999999991</v>
      </c>
      <c r="BH59" s="5">
        <v>0.27</v>
      </c>
      <c r="BI59" s="5">
        <v>240.4</v>
      </c>
      <c r="BJ59" s="5">
        <v>27.3</v>
      </c>
      <c r="BK59" s="5">
        <v>86.9</v>
      </c>
      <c r="BL59" s="5">
        <v>37.29</v>
      </c>
      <c r="BM59" s="5">
        <v>1.4</v>
      </c>
      <c r="BN59" s="5">
        <v>29.59</v>
      </c>
      <c r="BO59" s="5">
        <v>36.19</v>
      </c>
      <c r="BP59" s="5">
        <v>414.01</v>
      </c>
      <c r="BQ59" s="5">
        <v>52.862549999999999</v>
      </c>
      <c r="BR59" s="5">
        <v>146.7809</v>
      </c>
      <c r="BS59" s="5">
        <v>58.016280000000002</v>
      </c>
      <c r="BT59" s="5">
        <v>45.334359999999997</v>
      </c>
      <c r="BU59" s="5">
        <v>45.39143</v>
      </c>
      <c r="BV59" s="5">
        <v>8.9787000000000006E-2</v>
      </c>
      <c r="BW59" s="5">
        <v>9.7144999999999995E-2</v>
      </c>
      <c r="BX59" s="5">
        <v>45.918700000000001</v>
      </c>
      <c r="BY59" s="5">
        <v>18.995360000000002</v>
      </c>
      <c r="BZ59" s="5">
        <v>0</v>
      </c>
      <c r="CA59" s="5">
        <v>0.93593199999999999</v>
      </c>
      <c r="CB59" s="5">
        <v>456.71249999999998</v>
      </c>
      <c r="CC59" s="5">
        <v>470.01940000000002</v>
      </c>
      <c r="CD59" s="5">
        <v>53.38964</v>
      </c>
      <c r="CE59" s="5">
        <v>412.77</v>
      </c>
      <c r="CF59" s="5">
        <v>73.81</v>
      </c>
      <c r="CG59" s="5">
        <v>87.49</v>
      </c>
      <c r="CH59" s="5">
        <v>412.67</v>
      </c>
      <c r="CI59" s="5">
        <v>423.97</v>
      </c>
      <c r="CJ59" s="5">
        <v>435.41</v>
      </c>
      <c r="CK59" s="5">
        <v>487.08</v>
      </c>
      <c r="CL59" s="5">
        <v>458.59</v>
      </c>
      <c r="CM59" s="5">
        <v>457.89</v>
      </c>
      <c r="CN59" s="5">
        <v>426.12</v>
      </c>
      <c r="CO59" s="5">
        <v>25.48</v>
      </c>
      <c r="CP59" s="5">
        <v>341.4</v>
      </c>
      <c r="CQ59" s="5">
        <v>342.05</v>
      </c>
      <c r="CR59" s="5">
        <v>6.1</v>
      </c>
      <c r="CS59" s="5">
        <v>6.1</v>
      </c>
      <c r="CT59" s="5">
        <v>20.96</v>
      </c>
      <c r="CU59" s="5">
        <v>21.69</v>
      </c>
      <c r="CV59" s="5">
        <v>100.67</v>
      </c>
      <c r="CW59" s="5">
        <v>0.82032451200000001</v>
      </c>
      <c r="CX59" s="5">
        <v>2.8055098310000002</v>
      </c>
    </row>
    <row r="60" spans="1:102" x14ac:dyDescent="0.25">
      <c r="A60" s="5">
        <v>27</v>
      </c>
      <c r="B60" s="23">
        <v>9.6041666666666671E-3</v>
      </c>
      <c r="C60" s="5">
        <v>2</v>
      </c>
      <c r="D60" s="5">
        <v>26</v>
      </c>
      <c r="E60" s="5">
        <v>411</v>
      </c>
      <c r="F60" s="5">
        <v>411</v>
      </c>
      <c r="G60" s="5">
        <v>411</v>
      </c>
      <c r="H60" s="5">
        <v>82.6</v>
      </c>
      <c r="I60" s="5">
        <v>82.6</v>
      </c>
      <c r="J60" s="5">
        <v>1701</v>
      </c>
      <c r="K60" s="5">
        <v>31</v>
      </c>
      <c r="L60" s="5">
        <v>31</v>
      </c>
      <c r="M60" s="5">
        <v>0.21</v>
      </c>
      <c r="N60" s="5">
        <v>0.21002000000000001</v>
      </c>
      <c r="O60" s="5">
        <v>1</v>
      </c>
      <c r="P60" s="5">
        <v>1.0693090000000001</v>
      </c>
      <c r="Q60" s="5">
        <v>-3.93</v>
      </c>
      <c r="R60" s="5">
        <v>-3.9331049999999999</v>
      </c>
      <c r="S60" s="5">
        <v>142.96</v>
      </c>
      <c r="T60" s="5">
        <v>142.95310000000001</v>
      </c>
      <c r="U60" s="5">
        <v>3.5</v>
      </c>
      <c r="V60" s="5">
        <v>3.5</v>
      </c>
      <c r="W60" s="5">
        <v>300</v>
      </c>
      <c r="X60" s="5">
        <v>300</v>
      </c>
      <c r="Y60" s="5">
        <v>3.53</v>
      </c>
      <c r="Z60" s="5">
        <v>3.53125</v>
      </c>
      <c r="AA60" s="5">
        <v>300</v>
      </c>
      <c r="AB60" s="5">
        <v>300</v>
      </c>
      <c r="AC60" s="5">
        <v>0</v>
      </c>
      <c r="AD60" s="5">
        <v>106.6807</v>
      </c>
      <c r="AE60" s="5">
        <v>0</v>
      </c>
      <c r="AF60" s="5">
        <v>106.6807</v>
      </c>
      <c r="AG60" s="5">
        <v>40</v>
      </c>
      <c r="AH60" s="5">
        <v>0.17</v>
      </c>
      <c r="AI60" s="5">
        <v>60.84</v>
      </c>
      <c r="AJ60" s="5">
        <v>85.81</v>
      </c>
      <c r="AK60" s="5">
        <v>76.89</v>
      </c>
      <c r="AL60" s="5">
        <v>77.84</v>
      </c>
      <c r="AM60" s="5">
        <v>500.12</v>
      </c>
      <c r="AN60" s="5">
        <v>158.3058</v>
      </c>
      <c r="AO60" s="5">
        <v>57.42</v>
      </c>
      <c r="AP60" s="5">
        <v>93.37</v>
      </c>
      <c r="AQ60" s="5">
        <v>68.59</v>
      </c>
      <c r="AR60" s="5">
        <v>458.55</v>
      </c>
      <c r="AS60" s="5">
        <v>19.46</v>
      </c>
      <c r="AT60" s="5">
        <v>57.76</v>
      </c>
      <c r="AU60" s="5">
        <v>100.08</v>
      </c>
      <c r="AV60" s="5">
        <v>114.46</v>
      </c>
      <c r="AW60" s="5">
        <v>0.28199999999999997</v>
      </c>
      <c r="AX60" s="5">
        <v>4.03</v>
      </c>
      <c r="AY60" s="5">
        <v>3.0844999999999998</v>
      </c>
      <c r="AZ60" s="5">
        <v>136.83000000000001</v>
      </c>
      <c r="BA60" s="5">
        <v>46.35</v>
      </c>
      <c r="BB60" s="5">
        <v>8.09</v>
      </c>
      <c r="BC60" s="5">
        <v>1.1299999999999999</v>
      </c>
      <c r="BD60" s="5">
        <v>9.43</v>
      </c>
      <c r="BE60" s="5">
        <v>2.62</v>
      </c>
      <c r="BF60" s="5">
        <v>318.10000000000002</v>
      </c>
      <c r="BG60" s="5">
        <v>14.01</v>
      </c>
      <c r="BH60" s="5">
        <v>0.21</v>
      </c>
      <c r="BI60" s="5">
        <v>233.1</v>
      </c>
      <c r="BJ60" s="5">
        <v>26.9</v>
      </c>
      <c r="BK60" s="5">
        <v>86.4</v>
      </c>
      <c r="BL60" s="5">
        <v>74.66</v>
      </c>
      <c r="BM60" s="5">
        <v>1.72</v>
      </c>
      <c r="BN60" s="5">
        <v>30</v>
      </c>
      <c r="BO60" s="5">
        <v>36.29</v>
      </c>
      <c r="BP60" s="5">
        <v>475.46</v>
      </c>
      <c r="BQ60" s="5">
        <v>58.907339999999998</v>
      </c>
      <c r="BR60" s="5">
        <v>176.1155</v>
      </c>
      <c r="BS60" s="5">
        <v>53.063389999999998</v>
      </c>
      <c r="BT60" s="5">
        <v>46.698569999999997</v>
      </c>
      <c r="BU60" s="5">
        <v>46.408830000000002</v>
      </c>
      <c r="BV60" s="5">
        <v>9.4104999999999994E-2</v>
      </c>
      <c r="BW60" s="5">
        <v>9.5875000000000002E-2</v>
      </c>
      <c r="BX60" s="5">
        <v>55.868699999999997</v>
      </c>
      <c r="BY60" s="5">
        <v>18.995360000000002</v>
      </c>
      <c r="BZ60" s="5">
        <v>0</v>
      </c>
      <c r="CA60" s="5">
        <v>0.93477500000000002</v>
      </c>
      <c r="CB60" s="5">
        <v>553.37019999999995</v>
      </c>
      <c r="CC60" s="5">
        <v>569.0598</v>
      </c>
      <c r="CD60" s="5">
        <v>62.902290000000001</v>
      </c>
      <c r="CE60" s="5">
        <v>461.91</v>
      </c>
      <c r="CF60" s="5">
        <v>81.75</v>
      </c>
      <c r="CG60" s="5">
        <v>93.61</v>
      </c>
      <c r="CH60" s="5">
        <v>412.27</v>
      </c>
      <c r="CI60" s="5">
        <v>426.76</v>
      </c>
      <c r="CJ60" s="5">
        <v>438.31</v>
      </c>
      <c r="CK60" s="5">
        <v>484.14</v>
      </c>
      <c r="CL60" s="5">
        <v>459.09</v>
      </c>
      <c r="CM60" s="5">
        <v>465.57</v>
      </c>
      <c r="CN60" s="5">
        <v>404.48</v>
      </c>
      <c r="CO60" s="5">
        <v>27.19</v>
      </c>
      <c r="CP60" s="5">
        <v>410.5</v>
      </c>
      <c r="CQ60" s="5">
        <v>411.05</v>
      </c>
      <c r="CR60" s="5">
        <v>7.4</v>
      </c>
      <c r="CS60" s="5">
        <v>7.4</v>
      </c>
      <c r="CT60" s="5">
        <v>22.79</v>
      </c>
      <c r="CU60" s="5">
        <v>18.489999999999998</v>
      </c>
      <c r="CV60" s="5">
        <v>100.73</v>
      </c>
      <c r="CW60" s="5">
        <v>0.823066085</v>
      </c>
      <c r="CX60" s="5">
        <v>2.1564331430000001</v>
      </c>
    </row>
    <row r="61" spans="1:102" x14ac:dyDescent="0.25">
      <c r="A61" s="5">
        <v>41</v>
      </c>
      <c r="B61" s="23">
        <v>8.6990740740740743E-3</v>
      </c>
      <c r="C61" s="5">
        <v>2</v>
      </c>
      <c r="D61" s="5">
        <v>39</v>
      </c>
      <c r="E61" s="5">
        <v>473</v>
      </c>
      <c r="F61" s="5">
        <v>473</v>
      </c>
      <c r="G61" s="5">
        <v>473</v>
      </c>
      <c r="H61" s="5">
        <v>82.6</v>
      </c>
      <c r="I61" s="5">
        <v>82.6</v>
      </c>
      <c r="J61" s="5">
        <v>1701</v>
      </c>
      <c r="K61" s="5">
        <v>24</v>
      </c>
      <c r="L61" s="5">
        <v>24</v>
      </c>
      <c r="M61" s="5">
        <v>0.16</v>
      </c>
      <c r="N61" s="5">
        <v>0.16008600000000001</v>
      </c>
      <c r="O61" s="5">
        <v>1</v>
      </c>
      <c r="P61" s="5">
        <v>1.069339</v>
      </c>
      <c r="Q61" s="5">
        <v>-4.45</v>
      </c>
      <c r="R61" s="5">
        <v>-4.4494629999999997</v>
      </c>
      <c r="S61" s="5">
        <v>155.87</v>
      </c>
      <c r="T61" s="5">
        <v>155.875</v>
      </c>
      <c r="U61" s="5">
        <v>3.5</v>
      </c>
      <c r="V61" s="5">
        <v>3.5</v>
      </c>
      <c r="W61" s="5">
        <v>300</v>
      </c>
      <c r="X61" s="5">
        <v>300</v>
      </c>
      <c r="Y61" s="5">
        <v>3.5</v>
      </c>
      <c r="Z61" s="5">
        <v>3.5</v>
      </c>
      <c r="AA61" s="5">
        <v>300</v>
      </c>
      <c r="AB61" s="5">
        <v>300</v>
      </c>
      <c r="AC61" s="5">
        <v>0</v>
      </c>
      <c r="AD61" s="5">
        <v>110.7311</v>
      </c>
      <c r="AE61" s="5">
        <v>0</v>
      </c>
      <c r="AF61" s="5">
        <v>110.7311</v>
      </c>
      <c r="AG61" s="5">
        <v>40</v>
      </c>
      <c r="AH61" s="5">
        <v>0.17</v>
      </c>
      <c r="AI61" s="5">
        <v>63.13</v>
      </c>
      <c r="AJ61" s="5">
        <v>90.11</v>
      </c>
      <c r="AK61" s="5">
        <v>81.53</v>
      </c>
      <c r="AL61" s="5">
        <v>83.36</v>
      </c>
      <c r="AM61" s="5">
        <v>539.83000000000004</v>
      </c>
      <c r="AN61" s="5">
        <v>164.71469999999999</v>
      </c>
      <c r="AO61" s="5">
        <v>63.66</v>
      </c>
      <c r="AP61" s="5">
        <v>98.27</v>
      </c>
      <c r="AQ61" s="5">
        <v>75.92</v>
      </c>
      <c r="AR61" s="5">
        <v>499.4</v>
      </c>
      <c r="AS61" s="5">
        <v>17.87</v>
      </c>
      <c r="AT61" s="5">
        <v>58.01</v>
      </c>
      <c r="AU61" s="5">
        <v>98.07</v>
      </c>
      <c r="AV61" s="5">
        <v>119.9</v>
      </c>
      <c r="AW61" s="5">
        <v>0.17399999999999999</v>
      </c>
      <c r="AX61" s="5">
        <v>2.42</v>
      </c>
      <c r="AY61" s="5">
        <v>1.8969</v>
      </c>
      <c r="AZ61" s="5">
        <v>101.02</v>
      </c>
      <c r="BA61" s="5">
        <v>30.63</v>
      </c>
      <c r="BB61" s="5">
        <v>8.43</v>
      </c>
      <c r="BC61" s="5">
        <v>0.85</v>
      </c>
      <c r="BD61" s="5">
        <v>8.9600000000000009</v>
      </c>
      <c r="BE61" s="5">
        <v>3.38</v>
      </c>
      <c r="BF61" s="5">
        <v>436.55</v>
      </c>
      <c r="BG61" s="5">
        <v>10.09</v>
      </c>
      <c r="BH61" s="5">
        <v>0.13</v>
      </c>
      <c r="BI61" s="5">
        <v>230.6</v>
      </c>
      <c r="BJ61" s="5">
        <v>25.7</v>
      </c>
      <c r="BK61" s="5">
        <v>87.3</v>
      </c>
      <c r="BL61" s="5">
        <v>56.03</v>
      </c>
      <c r="BM61" s="5">
        <v>1.78</v>
      </c>
      <c r="BN61" s="5">
        <v>29.74</v>
      </c>
      <c r="BO61" s="5">
        <v>36.619999999999997</v>
      </c>
      <c r="BP61" s="5">
        <v>518.61</v>
      </c>
      <c r="BQ61" s="5">
        <v>59.183590000000002</v>
      </c>
      <c r="BR61" s="5">
        <v>182.96199999999999</v>
      </c>
      <c r="BS61" s="5">
        <v>48.724699999999999</v>
      </c>
      <c r="BT61" s="5">
        <v>42.362900000000003</v>
      </c>
      <c r="BU61" s="5">
        <v>42.111849999999997</v>
      </c>
      <c r="BV61" s="5">
        <v>0.10242999999999999</v>
      </c>
      <c r="BW61" s="5">
        <v>0.10398</v>
      </c>
      <c r="BX61" s="5">
        <v>64.450940000000003</v>
      </c>
      <c r="BY61" s="5">
        <v>18.995360000000002</v>
      </c>
      <c r="BZ61" s="5">
        <v>0</v>
      </c>
      <c r="CA61" s="5">
        <v>0.93684900000000004</v>
      </c>
      <c r="CB61" s="5">
        <v>576.55100000000004</v>
      </c>
      <c r="CC61" s="5">
        <v>594.38480000000004</v>
      </c>
      <c r="CD61" s="5">
        <v>71.453379999999996</v>
      </c>
      <c r="CE61" s="5">
        <v>467.29</v>
      </c>
      <c r="CF61" s="5">
        <v>80.209999999999994</v>
      </c>
      <c r="CG61" s="5">
        <v>92.64</v>
      </c>
      <c r="CH61" s="5">
        <v>437.42</v>
      </c>
      <c r="CI61" s="5">
        <v>460.75</v>
      </c>
      <c r="CJ61" s="5">
        <v>472.21</v>
      </c>
      <c r="CK61" s="5">
        <v>509.75</v>
      </c>
      <c r="CL61" s="5">
        <v>494.06</v>
      </c>
      <c r="CM61" s="5">
        <v>497.84</v>
      </c>
      <c r="CN61" s="5">
        <v>436.71</v>
      </c>
      <c r="CO61" s="5">
        <v>27.54</v>
      </c>
      <c r="CP61" s="5">
        <v>472.2</v>
      </c>
      <c r="CQ61" s="5">
        <v>473.05</v>
      </c>
      <c r="CR61" s="5">
        <v>8.5</v>
      </c>
      <c r="CS61" s="5">
        <v>8.5</v>
      </c>
      <c r="CT61" s="5">
        <v>22.67</v>
      </c>
      <c r="CU61" s="5">
        <v>19.57</v>
      </c>
      <c r="CV61" s="5">
        <v>100.78</v>
      </c>
      <c r="CW61" s="5">
        <v>0.82707036599999995</v>
      </c>
      <c r="CX61" s="5">
        <v>2.7954978370000001</v>
      </c>
    </row>
    <row r="62" spans="1:102" x14ac:dyDescent="0.25">
      <c r="A62" s="5">
        <v>29</v>
      </c>
      <c r="B62" s="23">
        <v>2.0482638888888891E-2</v>
      </c>
      <c r="C62" s="5">
        <v>2</v>
      </c>
      <c r="D62" s="5">
        <v>28</v>
      </c>
      <c r="E62" s="5">
        <v>423</v>
      </c>
      <c r="F62" s="5">
        <v>423</v>
      </c>
      <c r="G62" s="5">
        <v>423.1</v>
      </c>
      <c r="H62" s="5">
        <v>82.6</v>
      </c>
      <c r="I62" s="5">
        <v>82.6</v>
      </c>
      <c r="J62" s="5">
        <v>1701</v>
      </c>
      <c r="K62" s="5">
        <v>50</v>
      </c>
      <c r="L62" s="5">
        <v>50</v>
      </c>
      <c r="M62" s="5">
        <v>0.11</v>
      </c>
      <c r="N62" s="5">
        <v>0.109954</v>
      </c>
      <c r="O62" s="5">
        <v>1</v>
      </c>
      <c r="P62" s="5">
        <v>1.0694250000000001</v>
      </c>
      <c r="Q62" s="5">
        <v>-4.03</v>
      </c>
      <c r="R62" s="5">
        <v>-4.0319820000000002</v>
      </c>
      <c r="S62" s="5">
        <v>145.47</v>
      </c>
      <c r="T62" s="5">
        <v>145.46879999999999</v>
      </c>
      <c r="U62" s="5">
        <v>3.5</v>
      </c>
      <c r="V62" s="5">
        <v>3.5</v>
      </c>
      <c r="W62" s="5">
        <v>300</v>
      </c>
      <c r="X62" s="5">
        <v>300</v>
      </c>
      <c r="Y62" s="5">
        <v>3.5</v>
      </c>
      <c r="Z62" s="5">
        <v>3.5</v>
      </c>
      <c r="AA62" s="5">
        <v>300</v>
      </c>
      <c r="AB62" s="5">
        <v>300</v>
      </c>
      <c r="AC62" s="5">
        <v>0</v>
      </c>
      <c r="AD62" s="5">
        <v>131.89240000000001</v>
      </c>
      <c r="AE62" s="5">
        <v>0</v>
      </c>
      <c r="AF62" s="5">
        <v>131.89240000000001</v>
      </c>
      <c r="AG62" s="5">
        <v>40</v>
      </c>
      <c r="AH62" s="5">
        <v>0.17</v>
      </c>
      <c r="AI62" s="5">
        <v>75.010000000000005</v>
      </c>
      <c r="AJ62" s="5">
        <v>104.26</v>
      </c>
      <c r="AK62" s="5">
        <v>147.66</v>
      </c>
      <c r="AL62" s="5">
        <v>148.56</v>
      </c>
      <c r="AM62" s="5">
        <v>446.37</v>
      </c>
      <c r="AN62" s="5">
        <v>199.0849</v>
      </c>
      <c r="AO62" s="5">
        <v>98.21</v>
      </c>
      <c r="AP62" s="5">
        <v>122.02</v>
      </c>
      <c r="AQ62" s="5">
        <v>112.14</v>
      </c>
      <c r="AR62" s="5">
        <v>569.33000000000004</v>
      </c>
      <c r="AS62" s="5">
        <v>49.44</v>
      </c>
      <c r="AT62" s="5">
        <v>61.78</v>
      </c>
      <c r="AU62" s="5">
        <v>100.4</v>
      </c>
      <c r="AV62" s="5">
        <v>115.06</v>
      </c>
      <c r="AW62" s="5">
        <v>0.104</v>
      </c>
      <c r="AX62" s="5">
        <v>1.4</v>
      </c>
      <c r="AY62" s="5">
        <v>1.1772</v>
      </c>
      <c r="AZ62" s="5">
        <v>89.56</v>
      </c>
      <c r="BA62" s="5">
        <v>37.53</v>
      </c>
      <c r="BB62" s="5">
        <v>6.76</v>
      </c>
      <c r="BC62" s="5">
        <v>0.89</v>
      </c>
      <c r="BD62" s="5">
        <v>11.32</v>
      </c>
      <c r="BE62" s="5">
        <v>3.74</v>
      </c>
      <c r="BF62" s="5">
        <v>366.11</v>
      </c>
      <c r="BG62" s="5">
        <v>13.13</v>
      </c>
      <c r="BH62" s="5">
        <v>0.09</v>
      </c>
      <c r="BI62" s="5">
        <v>234.7</v>
      </c>
      <c r="BJ62" s="5">
        <v>32.200000000000003</v>
      </c>
      <c r="BK62" s="5">
        <v>86.1</v>
      </c>
      <c r="BL62" s="5">
        <v>86.02</v>
      </c>
      <c r="BM62" s="5">
        <v>2.13</v>
      </c>
      <c r="BN62" s="5">
        <v>29.78</v>
      </c>
      <c r="BO62" s="5">
        <v>35.119999999999997</v>
      </c>
      <c r="BP62" s="5">
        <v>586.84</v>
      </c>
      <c r="BQ62" s="5">
        <v>62.563130000000001</v>
      </c>
      <c r="BR62" s="5">
        <v>247.95249999999999</v>
      </c>
      <c r="BS62" s="5">
        <v>52.112369999999999</v>
      </c>
      <c r="BT62" s="5">
        <v>57.170729999999999</v>
      </c>
      <c r="BU62" s="5">
        <v>56.022289999999998</v>
      </c>
      <c r="BV62" s="5">
        <v>9.6214999999999995E-2</v>
      </c>
      <c r="BW62" s="5">
        <v>8.7686E-2</v>
      </c>
      <c r="BX62" s="5">
        <v>57.66516</v>
      </c>
      <c r="BY62" s="5">
        <v>18.995360000000002</v>
      </c>
      <c r="BZ62" s="5">
        <v>0</v>
      </c>
      <c r="CA62" s="5">
        <v>0.93520700000000001</v>
      </c>
      <c r="CB62" s="5">
        <v>688.63289999999995</v>
      </c>
      <c r="CC62" s="5">
        <v>704.76620000000003</v>
      </c>
      <c r="CD62" s="5">
        <v>64.668080000000003</v>
      </c>
      <c r="CE62" s="5">
        <v>428.29</v>
      </c>
      <c r="CF62" s="5">
        <v>81.430000000000007</v>
      </c>
      <c r="CG62" s="5">
        <v>94.44</v>
      </c>
      <c r="CH62" s="5">
        <v>392.06</v>
      </c>
      <c r="CI62" s="5">
        <v>399.46</v>
      </c>
      <c r="CJ62" s="5">
        <v>409.63</v>
      </c>
      <c r="CK62" s="5">
        <v>453.09</v>
      </c>
      <c r="CL62" s="5">
        <v>429.92</v>
      </c>
      <c r="CM62" s="5">
        <v>434.37</v>
      </c>
      <c r="CN62" s="5">
        <v>328.89</v>
      </c>
      <c r="CO62" s="5">
        <v>26.27</v>
      </c>
      <c r="CP62" s="5">
        <v>422.1</v>
      </c>
      <c r="CQ62" s="5">
        <v>423.05</v>
      </c>
      <c r="CR62" s="5">
        <v>7.6</v>
      </c>
      <c r="CS62" s="5">
        <v>7.6</v>
      </c>
      <c r="CT62" s="5">
        <v>22.2</v>
      </c>
      <c r="CU62" s="5">
        <v>20.98</v>
      </c>
      <c r="CV62" s="5">
        <v>100.73</v>
      </c>
      <c r="CW62" s="5">
        <v>0.83700464100000005</v>
      </c>
      <c r="CX62" s="5">
        <v>3.1303973570000001</v>
      </c>
    </row>
    <row r="63" spans="1:102" x14ac:dyDescent="0.25">
      <c r="A63" s="5">
        <v>26</v>
      </c>
      <c r="B63" s="23">
        <v>4.170138888888889E-3</v>
      </c>
      <c r="C63" s="5">
        <v>2</v>
      </c>
      <c r="D63" s="5">
        <v>25</v>
      </c>
      <c r="E63" s="5">
        <v>408</v>
      </c>
      <c r="F63" s="5">
        <v>408</v>
      </c>
      <c r="G63" s="5">
        <v>408</v>
      </c>
      <c r="H63" s="5">
        <v>82.6</v>
      </c>
      <c r="I63" s="5">
        <v>82.6</v>
      </c>
      <c r="J63" s="5">
        <v>1701</v>
      </c>
      <c r="K63" s="5">
        <v>52</v>
      </c>
      <c r="L63" s="5">
        <v>52</v>
      </c>
      <c r="M63" s="5">
        <v>0.15</v>
      </c>
      <c r="N63" s="5">
        <v>0.149953</v>
      </c>
      <c r="O63" s="5">
        <v>1</v>
      </c>
      <c r="P63" s="5">
        <v>1.069358</v>
      </c>
      <c r="Q63" s="5">
        <v>-3.91</v>
      </c>
      <c r="R63" s="5">
        <v>-3.911133</v>
      </c>
      <c r="S63" s="5">
        <v>142.33000000000001</v>
      </c>
      <c r="T63" s="5">
        <v>142.32810000000001</v>
      </c>
      <c r="U63" s="5">
        <v>3.5</v>
      </c>
      <c r="V63" s="5">
        <v>3.5</v>
      </c>
      <c r="W63" s="5">
        <v>300</v>
      </c>
      <c r="X63" s="5">
        <v>300</v>
      </c>
      <c r="Y63" s="5">
        <v>3.65</v>
      </c>
      <c r="Z63" s="5">
        <v>3.65625</v>
      </c>
      <c r="AA63" s="5">
        <v>300</v>
      </c>
      <c r="AB63" s="5">
        <v>300</v>
      </c>
      <c r="AC63" s="5">
        <v>0</v>
      </c>
      <c r="AD63" s="5">
        <v>126.64360000000001</v>
      </c>
      <c r="AE63" s="5">
        <v>0</v>
      </c>
      <c r="AF63" s="5">
        <v>126.64360000000001</v>
      </c>
      <c r="AG63" s="5">
        <v>40</v>
      </c>
      <c r="AH63" s="5">
        <v>0.17</v>
      </c>
      <c r="AI63" s="5">
        <v>72.34</v>
      </c>
      <c r="AJ63" s="5">
        <v>100.92</v>
      </c>
      <c r="AK63" s="5">
        <v>139.19</v>
      </c>
      <c r="AL63" s="5">
        <v>139.44</v>
      </c>
      <c r="AM63" s="5">
        <v>447.5</v>
      </c>
      <c r="AN63" s="5">
        <v>192.52160000000001</v>
      </c>
      <c r="AO63" s="5">
        <v>91.91</v>
      </c>
      <c r="AP63" s="5">
        <v>119.14</v>
      </c>
      <c r="AQ63" s="5">
        <v>104.89</v>
      </c>
      <c r="AR63" s="5">
        <v>529.17999999999995</v>
      </c>
      <c r="AS63" s="5">
        <v>47.28</v>
      </c>
      <c r="AT63" s="5">
        <v>64.12</v>
      </c>
      <c r="AU63" s="5">
        <v>105.06</v>
      </c>
      <c r="AV63" s="5">
        <v>114.71</v>
      </c>
      <c r="AW63" s="5">
        <v>0.17799999999999999</v>
      </c>
      <c r="AX63" s="5">
        <v>2.46</v>
      </c>
      <c r="AY63" s="5">
        <v>1.7048000000000001</v>
      </c>
      <c r="AZ63" s="5">
        <v>108.81</v>
      </c>
      <c r="BA63" s="5">
        <v>43.25</v>
      </c>
      <c r="BB63" s="5">
        <v>7.05</v>
      </c>
      <c r="BC63" s="5">
        <v>1.2</v>
      </c>
      <c r="BD63" s="5">
        <v>10.83</v>
      </c>
      <c r="BE63" s="5">
        <v>2.84</v>
      </c>
      <c r="BF63" s="5">
        <v>290.8</v>
      </c>
      <c r="BG63" s="5">
        <v>17.07</v>
      </c>
      <c r="BH63" s="5">
        <v>0.12</v>
      </c>
      <c r="BI63" s="5">
        <v>236</v>
      </c>
      <c r="BJ63" s="5">
        <v>30.8</v>
      </c>
      <c r="BK63" s="5">
        <v>86.3</v>
      </c>
      <c r="BL63" s="5">
        <v>108.87</v>
      </c>
      <c r="BM63" s="5">
        <v>2.0699999999999998</v>
      </c>
      <c r="BN63" s="5">
        <v>30.06</v>
      </c>
      <c r="BO63" s="5">
        <v>35.380000000000003</v>
      </c>
      <c r="BP63" s="5">
        <v>546.16999999999996</v>
      </c>
      <c r="BQ63" s="5">
        <v>64.755840000000006</v>
      </c>
      <c r="BR63" s="5">
        <v>237.28120000000001</v>
      </c>
      <c r="BS63" s="5">
        <v>53.114409999999999</v>
      </c>
      <c r="BT63" s="5">
        <v>56.568869999999997</v>
      </c>
      <c r="BU63" s="5">
        <v>55.553069999999998</v>
      </c>
      <c r="BV63" s="5">
        <v>9.3992999999999993E-2</v>
      </c>
      <c r="BW63" s="5">
        <v>8.7111999999999995E-2</v>
      </c>
      <c r="BX63" s="5">
        <v>55.649790000000003</v>
      </c>
      <c r="BY63" s="5">
        <v>18.995360000000002</v>
      </c>
      <c r="BZ63" s="5">
        <v>0</v>
      </c>
      <c r="CA63" s="5">
        <v>0.93475200000000003</v>
      </c>
      <c r="CB63" s="5">
        <v>661.28980000000001</v>
      </c>
      <c r="CC63" s="5">
        <v>676.95420000000001</v>
      </c>
      <c r="CD63" s="5">
        <v>62.808230000000002</v>
      </c>
      <c r="CE63" s="5">
        <v>441.06</v>
      </c>
      <c r="CF63" s="5">
        <v>86.9</v>
      </c>
      <c r="CG63" s="5">
        <v>98.94</v>
      </c>
      <c r="CH63" s="5">
        <v>392.44</v>
      </c>
      <c r="CI63" s="5">
        <v>400.34</v>
      </c>
      <c r="CJ63" s="5">
        <v>412.31</v>
      </c>
      <c r="CK63" s="5">
        <v>441.89</v>
      </c>
      <c r="CL63" s="5">
        <v>430.24</v>
      </c>
      <c r="CM63" s="5">
        <v>434.65</v>
      </c>
      <c r="CN63" s="5">
        <v>331.63</v>
      </c>
      <c r="CO63" s="5">
        <v>27.27</v>
      </c>
      <c r="CP63" s="5">
        <v>407.4</v>
      </c>
      <c r="CQ63" s="5">
        <v>408.05</v>
      </c>
      <c r="CR63" s="5">
        <v>7.3</v>
      </c>
      <c r="CS63" s="5">
        <v>7.3</v>
      </c>
      <c r="CT63" s="5">
        <v>22.67</v>
      </c>
      <c r="CU63" s="5">
        <v>19.53</v>
      </c>
      <c r="CV63" s="5">
        <v>100.72</v>
      </c>
      <c r="CW63" s="5">
        <v>0.83210721799999998</v>
      </c>
      <c r="CX63" s="5">
        <v>2.3631844989999999</v>
      </c>
    </row>
    <row r="64" spans="1:102" x14ac:dyDescent="0.25">
      <c r="A64" s="5">
        <v>30</v>
      </c>
      <c r="B64" s="23">
        <v>41407.669350567128</v>
      </c>
      <c r="C64" s="5">
        <v>3</v>
      </c>
      <c r="D64" s="5">
        <v>6</v>
      </c>
      <c r="E64" s="5">
        <v>573</v>
      </c>
      <c r="F64" s="5">
        <v>573</v>
      </c>
      <c r="G64" s="5">
        <v>573.1</v>
      </c>
      <c r="H64" s="5">
        <v>82.6</v>
      </c>
      <c r="I64" s="5">
        <v>82.6</v>
      </c>
      <c r="J64" s="5">
        <v>1701</v>
      </c>
      <c r="K64" s="5">
        <v>17</v>
      </c>
      <c r="L64" s="5">
        <v>17</v>
      </c>
      <c r="M64" s="5">
        <v>0.18</v>
      </c>
      <c r="N64" s="5">
        <v>0.180002</v>
      </c>
      <c r="O64" s="5">
        <v>1</v>
      </c>
      <c r="P64" s="5">
        <v>1.0693900000000001</v>
      </c>
      <c r="Q64" s="5">
        <v>-3.6</v>
      </c>
      <c r="R64" s="5">
        <v>-3.6035159999999999</v>
      </c>
      <c r="S64" s="5">
        <v>174.16</v>
      </c>
      <c r="T64" s="5">
        <v>174.15629999999999</v>
      </c>
      <c r="U64" s="5">
        <v>3.5</v>
      </c>
      <c r="V64" s="5">
        <v>3.5</v>
      </c>
      <c r="W64" s="5">
        <v>300</v>
      </c>
      <c r="X64" s="5">
        <v>300</v>
      </c>
      <c r="Y64" s="5">
        <v>3.5</v>
      </c>
      <c r="Z64" s="5">
        <v>3.5</v>
      </c>
      <c r="AA64" s="5">
        <v>300</v>
      </c>
      <c r="AB64" s="5">
        <v>300</v>
      </c>
      <c r="AC64" s="5">
        <v>0</v>
      </c>
      <c r="AD64" s="5">
        <v>115.96250000000001</v>
      </c>
      <c r="AE64" s="5">
        <v>0</v>
      </c>
      <c r="AF64" s="5">
        <v>115.96250000000001</v>
      </c>
      <c r="AG64" s="5">
        <v>40</v>
      </c>
      <c r="AH64" s="5">
        <v>0.17</v>
      </c>
      <c r="AI64" s="5">
        <v>66.36</v>
      </c>
      <c r="AJ64" s="5">
        <v>94.54</v>
      </c>
      <c r="AK64" s="5">
        <v>86.44</v>
      </c>
      <c r="AL64" s="5">
        <v>89</v>
      </c>
      <c r="AM64" s="5">
        <v>584.16</v>
      </c>
      <c r="AN64" s="5">
        <v>173.0772</v>
      </c>
      <c r="AO64" s="5">
        <v>73.2</v>
      </c>
      <c r="AP64" s="5">
        <v>99.06</v>
      </c>
      <c r="AQ64" s="5">
        <v>85.98</v>
      </c>
      <c r="AR64" s="5">
        <v>527.89</v>
      </c>
      <c r="AS64" s="5">
        <v>13.23</v>
      </c>
      <c r="AT64" s="5">
        <v>58.82</v>
      </c>
      <c r="AU64" s="5">
        <v>97.11</v>
      </c>
      <c r="AV64" s="5">
        <v>123.63</v>
      </c>
      <c r="AW64" s="5">
        <v>0.156</v>
      </c>
      <c r="AX64" s="5">
        <v>2.15</v>
      </c>
      <c r="AY64" s="5">
        <v>1.4161999999999999</v>
      </c>
      <c r="AZ64" s="5">
        <v>85.23</v>
      </c>
      <c r="BA64" s="5">
        <v>28.45</v>
      </c>
      <c r="BB64" s="5">
        <v>9.19</v>
      </c>
      <c r="BC64" s="5">
        <v>0.78</v>
      </c>
      <c r="BD64" s="5">
        <v>7.69</v>
      </c>
      <c r="BE64" s="5">
        <v>3.75</v>
      </c>
      <c r="BF64" s="5">
        <v>565.46</v>
      </c>
      <c r="BG64" s="5">
        <v>8.4499999999999993</v>
      </c>
      <c r="BH64" s="5">
        <v>0.1</v>
      </c>
      <c r="BI64" s="5">
        <v>225</v>
      </c>
      <c r="BJ64" s="5">
        <v>23</v>
      </c>
      <c r="BK64" s="5">
        <v>86.6</v>
      </c>
      <c r="BL64" s="5">
        <v>48.75</v>
      </c>
      <c r="BM64" s="5">
        <v>1.86</v>
      </c>
      <c r="BN64" s="5">
        <v>29.69</v>
      </c>
      <c r="BO64" s="5">
        <v>37.47</v>
      </c>
      <c r="BP64" s="5">
        <v>551.16999999999996</v>
      </c>
      <c r="BQ64" s="5">
        <v>59.741410000000002</v>
      </c>
      <c r="BR64" s="5">
        <v>188.75040000000001</v>
      </c>
      <c r="BS64" s="5">
        <v>45.045929999999998</v>
      </c>
      <c r="BT64" s="5">
        <v>38.186079999999997</v>
      </c>
      <c r="BU64" s="5">
        <v>37.930909999999997</v>
      </c>
      <c r="BV64" s="5">
        <v>9.6668000000000004E-2</v>
      </c>
      <c r="BW64" s="5">
        <v>9.8103999999999997E-2</v>
      </c>
      <c r="BX64" s="5">
        <v>76.812129999999996</v>
      </c>
      <c r="BY64" s="5">
        <v>18.995360000000002</v>
      </c>
      <c r="BZ64" s="5">
        <v>0</v>
      </c>
      <c r="CA64" s="5">
        <v>0.93682799999999999</v>
      </c>
      <c r="CB64" s="5">
        <v>604.7817</v>
      </c>
      <c r="CC64" s="5">
        <v>625.71579999999994</v>
      </c>
      <c r="CD64" s="5">
        <v>83.809060000000002</v>
      </c>
      <c r="CE64" s="5">
        <v>479.71</v>
      </c>
      <c r="CF64" s="5">
        <v>81.28</v>
      </c>
      <c r="CG64" s="5">
        <v>92.59</v>
      </c>
      <c r="CH64" s="5">
        <v>470.4</v>
      </c>
      <c r="CI64" s="5">
        <v>497.31</v>
      </c>
      <c r="CJ64" s="5">
        <v>512.86</v>
      </c>
      <c r="CK64" s="5">
        <v>547.11</v>
      </c>
      <c r="CL64" s="5">
        <v>533.48</v>
      </c>
      <c r="CM64" s="5">
        <v>534.48</v>
      </c>
      <c r="CN64" s="5">
        <v>477.04</v>
      </c>
      <c r="CO64" s="5">
        <v>26.53</v>
      </c>
      <c r="CP64" s="5">
        <v>570.70000000000005</v>
      </c>
      <c r="CQ64" s="5">
        <v>573.04999999999995</v>
      </c>
      <c r="CR64" s="5">
        <v>10.199999999999999</v>
      </c>
      <c r="CS64" s="5">
        <v>10.3</v>
      </c>
      <c r="CT64" s="5">
        <v>25.14</v>
      </c>
      <c r="CU64" s="5">
        <v>32.82</v>
      </c>
      <c r="CV64" s="5">
        <v>99.87</v>
      </c>
      <c r="CW64" s="5">
        <v>0.84853868436452939</v>
      </c>
      <c r="CX64" s="5">
        <v>3.1820200663669853</v>
      </c>
    </row>
    <row r="65" spans="1:102" x14ac:dyDescent="0.25">
      <c r="A65" s="5">
        <v>10</v>
      </c>
      <c r="B65" s="23">
        <v>41408.481945879626</v>
      </c>
      <c r="C65" s="5">
        <v>3</v>
      </c>
      <c r="D65" s="5">
        <v>32</v>
      </c>
      <c r="E65" s="5">
        <v>692</v>
      </c>
      <c r="F65" s="5">
        <v>692</v>
      </c>
      <c r="G65" s="5">
        <v>692</v>
      </c>
      <c r="H65" s="5">
        <v>82.6</v>
      </c>
      <c r="I65" s="5">
        <v>82.6</v>
      </c>
      <c r="J65" s="5">
        <v>1701</v>
      </c>
      <c r="K65" s="5">
        <v>52</v>
      </c>
      <c r="L65" s="5">
        <v>52</v>
      </c>
      <c r="M65" s="5">
        <v>0.19</v>
      </c>
      <c r="N65" s="5">
        <v>0.18992000000000001</v>
      </c>
      <c r="O65" s="5">
        <v>1</v>
      </c>
      <c r="P65" s="5">
        <v>1.0693809999999999</v>
      </c>
      <c r="Q65" s="5">
        <v>-2.94</v>
      </c>
      <c r="R65" s="5">
        <v>-2.9443359999999998</v>
      </c>
      <c r="S65" s="5">
        <v>173.98</v>
      </c>
      <c r="T65" s="5">
        <v>173.98439999999999</v>
      </c>
      <c r="U65" s="5">
        <v>3.5</v>
      </c>
      <c r="V65" s="5">
        <v>3.5</v>
      </c>
      <c r="W65" s="5">
        <v>300</v>
      </c>
      <c r="X65" s="5">
        <v>300</v>
      </c>
      <c r="Y65" s="5">
        <v>3.5</v>
      </c>
      <c r="Z65" s="5">
        <v>3.5</v>
      </c>
      <c r="AA65" s="5">
        <v>300</v>
      </c>
      <c r="AB65" s="5">
        <v>300</v>
      </c>
      <c r="AC65" s="5">
        <v>0</v>
      </c>
      <c r="AD65" s="5">
        <v>181.06790000000001</v>
      </c>
      <c r="AE65" s="5">
        <v>0</v>
      </c>
      <c r="AF65" s="5">
        <v>151.5325</v>
      </c>
      <c r="AG65" s="5">
        <v>40</v>
      </c>
      <c r="AH65" s="5">
        <v>0.17</v>
      </c>
      <c r="AI65" s="5">
        <v>95.05</v>
      </c>
      <c r="AJ65" s="5">
        <v>124.11</v>
      </c>
      <c r="AK65" s="5">
        <v>220.56</v>
      </c>
      <c r="AL65" s="5">
        <v>220.08</v>
      </c>
      <c r="AM65" s="5">
        <v>534.16999999999996</v>
      </c>
      <c r="AN65" s="5">
        <v>260.04090000000002</v>
      </c>
      <c r="AO65" s="5">
        <v>161.74</v>
      </c>
      <c r="AP65" s="5">
        <v>158</v>
      </c>
      <c r="AQ65" s="5">
        <v>178.41</v>
      </c>
      <c r="AR65" s="5">
        <v>665.82</v>
      </c>
      <c r="AS65" s="5">
        <v>58.82</v>
      </c>
      <c r="AT65" s="5">
        <v>68.47</v>
      </c>
      <c r="AU65" s="5">
        <v>115.1</v>
      </c>
      <c r="AV65" s="5">
        <v>113.03</v>
      </c>
      <c r="AW65" s="5">
        <v>0.13100000000000001</v>
      </c>
      <c r="AX65" s="5">
        <v>1.79</v>
      </c>
      <c r="AY65" s="5">
        <v>10000000000</v>
      </c>
      <c r="AZ65" s="5">
        <v>72.75</v>
      </c>
      <c r="BA65" s="5">
        <v>21.4</v>
      </c>
      <c r="BB65" s="5">
        <v>8.7100000000000009</v>
      </c>
      <c r="BC65" s="5">
        <v>1.73</v>
      </c>
      <c r="BD65" s="5">
        <v>8.5399999999999991</v>
      </c>
      <c r="BE65" s="5">
        <v>1.94</v>
      </c>
      <c r="BF65" s="5">
        <v>277.47000000000003</v>
      </c>
      <c r="BG65" s="5">
        <v>19.82</v>
      </c>
      <c r="BH65" s="5">
        <v>10000000000</v>
      </c>
      <c r="BI65" s="5">
        <v>223.7</v>
      </c>
      <c r="BJ65" s="5">
        <v>24.1</v>
      </c>
      <c r="BK65" s="5">
        <v>82.5</v>
      </c>
      <c r="BL65" s="5">
        <v>164.54</v>
      </c>
      <c r="BM65" s="5">
        <v>2.81</v>
      </c>
      <c r="BN65" s="5">
        <v>30.58</v>
      </c>
      <c r="BO65" s="5">
        <v>37.090000000000003</v>
      </c>
      <c r="BP65" s="5">
        <v>693.3</v>
      </c>
      <c r="BQ65" s="5">
        <v>68.211770000000001</v>
      </c>
      <c r="BR65" s="5">
        <v>314.49470000000002</v>
      </c>
      <c r="BS65" s="5">
        <v>43.294469999999997</v>
      </c>
      <c r="BT65" s="5">
        <v>46.382069999999999</v>
      </c>
      <c r="BU65" s="5">
        <v>45.504269999999998</v>
      </c>
      <c r="BV65" s="5">
        <v>9.4957E-2</v>
      </c>
      <c r="BW65" s="5">
        <v>8.9191000000000006E-2</v>
      </c>
      <c r="BX65" s="5">
        <v>94.542450000000002</v>
      </c>
      <c r="BY65" s="5">
        <v>18.995360000000002</v>
      </c>
      <c r="BZ65" s="5">
        <v>0</v>
      </c>
      <c r="CA65" s="5">
        <v>0.92752599999999996</v>
      </c>
      <c r="CB65" s="5">
        <v>877.37459999999999</v>
      </c>
      <c r="CC65" s="5">
        <v>902.75840000000005</v>
      </c>
      <c r="CD65" s="5">
        <v>101.54819999999999</v>
      </c>
      <c r="CE65" s="5">
        <v>530.57000000000005</v>
      </c>
      <c r="CF65" s="5">
        <v>96.14</v>
      </c>
      <c r="CG65" s="5">
        <v>111.56</v>
      </c>
      <c r="CH65" s="5">
        <v>455.66</v>
      </c>
      <c r="CI65" s="5">
        <v>474.09</v>
      </c>
      <c r="CJ65" s="5">
        <v>489.88</v>
      </c>
      <c r="CK65" s="5">
        <v>517.30999999999995</v>
      </c>
      <c r="CL65" s="5">
        <v>515.61</v>
      </c>
      <c r="CM65" s="5">
        <v>518.87</v>
      </c>
      <c r="CN65" s="5">
        <v>374.14</v>
      </c>
      <c r="CO65" s="5">
        <v>30.43</v>
      </c>
      <c r="CP65" s="5">
        <v>688.9</v>
      </c>
      <c r="CQ65" s="5">
        <v>692.05</v>
      </c>
      <c r="CR65" s="5">
        <v>12.3</v>
      </c>
      <c r="CS65" s="5">
        <v>12.4</v>
      </c>
      <c r="CT65" s="5">
        <v>26.96</v>
      </c>
      <c r="CU65" s="5">
        <v>34.770000000000003</v>
      </c>
      <c r="CV65" s="5">
        <v>99.36</v>
      </c>
      <c r="CW65" s="5">
        <v>0.88013616939453765</v>
      </c>
      <c r="CX65" s="5">
        <v>1.7074641686254031</v>
      </c>
    </row>
    <row r="66" spans="1:102" x14ac:dyDescent="0.25">
      <c r="A66" s="5">
        <v>21</v>
      </c>
      <c r="B66" s="23">
        <v>41408.549898796293</v>
      </c>
      <c r="C66" s="5">
        <v>3</v>
      </c>
      <c r="D66" s="5">
        <v>42</v>
      </c>
      <c r="E66" s="5">
        <v>736</v>
      </c>
      <c r="F66" s="5">
        <v>736</v>
      </c>
      <c r="G66" s="5">
        <v>736</v>
      </c>
      <c r="H66" s="5">
        <v>82.6</v>
      </c>
      <c r="I66" s="5">
        <v>82.6</v>
      </c>
      <c r="J66" s="5">
        <v>1701</v>
      </c>
      <c r="K66" s="5">
        <v>20</v>
      </c>
      <c r="L66" s="5">
        <v>20</v>
      </c>
      <c r="M66" s="5">
        <v>0.12</v>
      </c>
      <c r="N66" s="5">
        <v>0.11997099999999999</v>
      </c>
      <c r="O66" s="5">
        <v>1</v>
      </c>
      <c r="P66" s="5">
        <v>1.0694440000000001</v>
      </c>
      <c r="Q66" s="5">
        <v>-1.47</v>
      </c>
      <c r="R66" s="5">
        <v>-1.4721679999999999</v>
      </c>
      <c r="S66" s="5">
        <v>174.67</v>
      </c>
      <c r="T66" s="5">
        <v>174.67189999999999</v>
      </c>
      <c r="U66" s="5">
        <v>3.5</v>
      </c>
      <c r="V66" s="5">
        <v>3.5</v>
      </c>
      <c r="W66" s="5">
        <v>300</v>
      </c>
      <c r="X66" s="5">
        <v>300</v>
      </c>
      <c r="Y66" s="5">
        <v>0</v>
      </c>
      <c r="Z66" s="5">
        <v>0</v>
      </c>
      <c r="AA66" s="5">
        <v>300</v>
      </c>
      <c r="AB66" s="5">
        <v>300</v>
      </c>
      <c r="AC66" s="5">
        <v>0</v>
      </c>
      <c r="AD66" s="5">
        <v>138.6797</v>
      </c>
      <c r="AE66" s="5">
        <v>0</v>
      </c>
      <c r="AF66" s="5">
        <v>138.6797</v>
      </c>
      <c r="AG66" s="5">
        <v>40</v>
      </c>
      <c r="AH66" s="5">
        <v>0.17</v>
      </c>
      <c r="AI66" s="5">
        <v>79.17</v>
      </c>
      <c r="AJ66" s="5">
        <v>110.29</v>
      </c>
      <c r="AK66" s="5">
        <v>125.47</v>
      </c>
      <c r="AL66" s="5">
        <v>128.78</v>
      </c>
      <c r="AM66" s="5">
        <v>615.88</v>
      </c>
      <c r="AN66" s="5">
        <v>206.3818</v>
      </c>
      <c r="AO66" s="5">
        <v>106.93</v>
      </c>
      <c r="AP66" s="5">
        <v>123.2</v>
      </c>
      <c r="AQ66" s="5">
        <v>123.33</v>
      </c>
      <c r="AR66" s="5">
        <v>634.79</v>
      </c>
      <c r="AS66" s="5">
        <v>18.54</v>
      </c>
      <c r="AT66" s="5">
        <v>59.01</v>
      </c>
      <c r="AU66" s="5">
        <v>98.96</v>
      </c>
      <c r="AV66" s="5">
        <v>118.01</v>
      </c>
      <c r="AW66" s="5">
        <v>0.13700000000000001</v>
      </c>
      <c r="AX66" s="5">
        <v>1.88</v>
      </c>
      <c r="AY66" s="5">
        <v>10000000000</v>
      </c>
      <c r="AZ66" s="5">
        <v>113.28</v>
      </c>
      <c r="BA66" s="5">
        <v>18.5</v>
      </c>
      <c r="BB66" s="5">
        <v>9.59</v>
      </c>
      <c r="BC66" s="5">
        <v>0.61</v>
      </c>
      <c r="BD66" s="5">
        <v>7.33</v>
      </c>
      <c r="BE66" s="5">
        <v>4.88</v>
      </c>
      <c r="BF66" s="5">
        <v>790.51</v>
      </c>
      <c r="BG66" s="5">
        <v>6.33</v>
      </c>
      <c r="BH66" s="5">
        <v>10000000000</v>
      </c>
      <c r="BI66" s="5">
        <v>217.7</v>
      </c>
      <c r="BJ66" s="5">
        <v>22.2</v>
      </c>
      <c r="BK66" s="5">
        <v>85.9</v>
      </c>
      <c r="BL66" s="5">
        <v>42.93</v>
      </c>
      <c r="BM66" s="5">
        <v>2.2000000000000002</v>
      </c>
      <c r="BN66" s="5">
        <v>29.53</v>
      </c>
      <c r="BO66" s="5">
        <v>37.75</v>
      </c>
      <c r="BP66" s="5">
        <v>663.44</v>
      </c>
      <c r="BQ66" s="5">
        <v>60.009839999999997</v>
      </c>
      <c r="BR66" s="5">
        <v>228.69120000000001</v>
      </c>
      <c r="BS66" s="5">
        <v>42.901380000000003</v>
      </c>
      <c r="BT66" s="5">
        <v>34.352379999999997</v>
      </c>
      <c r="BU66" s="5">
        <v>34.161409999999997</v>
      </c>
      <c r="BV66" s="5">
        <v>0.10172200000000001</v>
      </c>
      <c r="BW66" s="5">
        <v>0.10401000000000001</v>
      </c>
      <c r="BX66" s="5">
        <v>105.29940000000001</v>
      </c>
      <c r="BY66" s="5">
        <v>18.995360000000002</v>
      </c>
      <c r="BZ66" s="5">
        <v>0</v>
      </c>
      <c r="CA66" s="5">
        <v>0.92561000000000004</v>
      </c>
      <c r="CB66" s="5">
        <v>711.96</v>
      </c>
      <c r="CC66" s="5">
        <v>739.16420000000005</v>
      </c>
      <c r="CD66" s="5">
        <v>108.8031</v>
      </c>
      <c r="CE66" s="5">
        <v>465.76</v>
      </c>
      <c r="CF66" s="5">
        <v>84.27</v>
      </c>
      <c r="CG66" s="5">
        <v>98.34</v>
      </c>
      <c r="CH66" s="5">
        <v>508.84</v>
      </c>
      <c r="CI66" s="5">
        <v>531.97</v>
      </c>
      <c r="CJ66" s="5">
        <v>545.25</v>
      </c>
      <c r="CK66" s="5">
        <v>562.33000000000004</v>
      </c>
      <c r="CL66" s="5">
        <v>562.4</v>
      </c>
      <c r="CM66" s="5">
        <v>547.84</v>
      </c>
      <c r="CN66" s="5">
        <v>485.84</v>
      </c>
      <c r="CO66" s="5">
        <v>29.27</v>
      </c>
      <c r="CP66" s="5">
        <v>732.5</v>
      </c>
      <c r="CQ66" s="5">
        <v>736.05</v>
      </c>
      <c r="CR66" s="5">
        <v>13.1</v>
      </c>
      <c r="CS66" s="5">
        <v>13.2</v>
      </c>
      <c r="CT66" s="5">
        <v>27.11</v>
      </c>
      <c r="CU66" s="5">
        <v>37.840000000000003</v>
      </c>
      <c r="CV66" s="5">
        <v>99.25</v>
      </c>
      <c r="CW66" s="5">
        <v>0.89011794461148097</v>
      </c>
      <c r="CX66" s="5">
        <v>4.343775569704027</v>
      </c>
    </row>
    <row r="67" spans="1:102" x14ac:dyDescent="0.25">
      <c r="A67" s="5">
        <v>20</v>
      </c>
      <c r="B67" s="23">
        <v>41408.544476689814</v>
      </c>
      <c r="C67" s="5">
        <v>3</v>
      </c>
      <c r="D67" s="5">
        <v>41</v>
      </c>
      <c r="E67" s="5">
        <v>733</v>
      </c>
      <c r="F67" s="5">
        <v>733</v>
      </c>
      <c r="G67" s="5">
        <v>733</v>
      </c>
      <c r="H67" s="5">
        <v>82.6</v>
      </c>
      <c r="I67" s="5">
        <v>82.6</v>
      </c>
      <c r="J67" s="5">
        <v>1701</v>
      </c>
      <c r="K67" s="5">
        <v>55</v>
      </c>
      <c r="L67" s="5">
        <v>55</v>
      </c>
      <c r="M67" s="5">
        <v>0.2</v>
      </c>
      <c r="N67" s="5">
        <v>0.19995599999999999</v>
      </c>
      <c r="O67" s="5">
        <v>1</v>
      </c>
      <c r="P67" s="5">
        <v>1.0695140000000001</v>
      </c>
      <c r="Q67" s="5">
        <v>-1.59</v>
      </c>
      <c r="R67" s="5">
        <v>-1.593018</v>
      </c>
      <c r="S67" s="5">
        <v>174.58</v>
      </c>
      <c r="T67" s="5">
        <v>174.57810000000001</v>
      </c>
      <c r="U67" s="5">
        <v>3.5</v>
      </c>
      <c r="V67" s="5">
        <v>3.5</v>
      </c>
      <c r="W67" s="5">
        <v>300</v>
      </c>
      <c r="X67" s="5">
        <v>300</v>
      </c>
      <c r="Y67" s="5">
        <v>0</v>
      </c>
      <c r="Z67" s="5">
        <v>0</v>
      </c>
      <c r="AA67" s="5">
        <v>300</v>
      </c>
      <c r="AB67" s="5">
        <v>300</v>
      </c>
      <c r="AC67" s="5">
        <v>0</v>
      </c>
      <c r="AD67" s="5">
        <v>186.57919999999999</v>
      </c>
      <c r="AE67" s="5">
        <v>0</v>
      </c>
      <c r="AF67" s="5">
        <v>151.53639999999999</v>
      </c>
      <c r="AG67" s="5">
        <v>40</v>
      </c>
      <c r="AH67" s="5">
        <v>0.17</v>
      </c>
      <c r="AI67" s="5">
        <v>100.02</v>
      </c>
      <c r="AJ67" s="5">
        <v>126.61</v>
      </c>
      <c r="AK67" s="5">
        <v>239.97</v>
      </c>
      <c r="AL67" s="5">
        <v>238.86</v>
      </c>
      <c r="AM67" s="5">
        <v>542.07000000000005</v>
      </c>
      <c r="AN67" s="5">
        <v>270.81119999999999</v>
      </c>
      <c r="AO67" s="5">
        <v>172.83</v>
      </c>
      <c r="AP67" s="5">
        <v>164.28</v>
      </c>
      <c r="AQ67" s="5">
        <v>189.5</v>
      </c>
      <c r="AR67" s="5">
        <v>670.26</v>
      </c>
      <c r="AS67" s="5">
        <v>67.150000000000006</v>
      </c>
      <c r="AT67" s="5">
        <v>71.41</v>
      </c>
      <c r="AU67" s="5">
        <v>120.63</v>
      </c>
      <c r="AV67" s="5">
        <v>111.4</v>
      </c>
      <c r="AW67" s="5">
        <v>0.255</v>
      </c>
      <c r="AX67" s="5">
        <v>3.62</v>
      </c>
      <c r="AY67" s="5">
        <v>10000000000</v>
      </c>
      <c r="AZ67" s="5">
        <v>72.63</v>
      </c>
      <c r="BA67" s="5">
        <v>17.5</v>
      </c>
      <c r="BB67" s="5">
        <v>9.09</v>
      </c>
      <c r="BC67" s="5">
        <v>1.95</v>
      </c>
      <c r="BD67" s="5">
        <v>8.0500000000000007</v>
      </c>
      <c r="BE67" s="5">
        <v>1.71</v>
      </c>
      <c r="BF67" s="5">
        <v>260.52</v>
      </c>
      <c r="BG67" s="5">
        <v>21.43</v>
      </c>
      <c r="BH67" s="5">
        <v>10000000000</v>
      </c>
      <c r="BI67" s="5">
        <v>221.9</v>
      </c>
      <c r="BJ67" s="5">
        <v>23.1</v>
      </c>
      <c r="BK67" s="5">
        <v>81.5</v>
      </c>
      <c r="BL67" s="5">
        <v>182.82</v>
      </c>
      <c r="BM67" s="5">
        <v>2.92</v>
      </c>
      <c r="BN67" s="5">
        <v>30.78</v>
      </c>
      <c r="BO67" s="5">
        <v>37.43</v>
      </c>
      <c r="BP67" s="5">
        <v>699.12</v>
      </c>
      <c r="BQ67" s="5">
        <v>70.564580000000007</v>
      </c>
      <c r="BR67" s="5">
        <v>332.24529999999999</v>
      </c>
      <c r="BS67" s="5">
        <v>42.755809999999997</v>
      </c>
      <c r="BT67" s="5">
        <v>43.479880000000001</v>
      </c>
      <c r="BU67" s="5">
        <v>42.776200000000003</v>
      </c>
      <c r="BV67" s="5">
        <v>0.10295700000000001</v>
      </c>
      <c r="BW67" s="5">
        <v>9.8768999999999996E-2</v>
      </c>
      <c r="BX67" s="5">
        <v>106.80970000000001</v>
      </c>
      <c r="BY67" s="5">
        <v>18.995360000000002</v>
      </c>
      <c r="BZ67" s="5">
        <v>0</v>
      </c>
      <c r="CA67" s="5">
        <v>0.92521399999999998</v>
      </c>
      <c r="CB67" s="5">
        <v>905.17399999999998</v>
      </c>
      <c r="CC67" s="5">
        <v>932.75840000000005</v>
      </c>
      <c r="CD67" s="5">
        <v>110.3147</v>
      </c>
      <c r="CE67" s="5">
        <v>535.74</v>
      </c>
      <c r="CF67" s="5">
        <v>100.77</v>
      </c>
      <c r="CG67" s="5">
        <v>117.34</v>
      </c>
      <c r="CH67" s="5">
        <v>471.46</v>
      </c>
      <c r="CI67" s="5">
        <v>487.28</v>
      </c>
      <c r="CJ67" s="5">
        <v>500.44</v>
      </c>
      <c r="CK67" s="5">
        <v>517.74</v>
      </c>
      <c r="CL67" s="5">
        <v>523.78</v>
      </c>
      <c r="CM67" s="5">
        <v>521.71</v>
      </c>
      <c r="CN67" s="5">
        <v>375.44</v>
      </c>
      <c r="CO67" s="5">
        <v>30.77</v>
      </c>
      <c r="CP67" s="5">
        <v>729.6</v>
      </c>
      <c r="CQ67" s="5">
        <v>733.04</v>
      </c>
      <c r="CR67" s="5">
        <v>13.1</v>
      </c>
      <c r="CS67" s="5">
        <v>13.1</v>
      </c>
      <c r="CT67" s="5">
        <v>26.37</v>
      </c>
      <c r="CU67" s="5">
        <v>36.93</v>
      </c>
      <c r="CV67" s="5">
        <v>99.26</v>
      </c>
      <c r="CW67" s="5">
        <v>0.88451033046493088</v>
      </c>
      <c r="CX67" s="5">
        <v>1.5125126650950318</v>
      </c>
    </row>
    <row r="68" spans="1:102" x14ac:dyDescent="0.25">
      <c r="A68" s="5">
        <v>5</v>
      </c>
      <c r="B68" s="23">
        <v>41408.454712893516</v>
      </c>
      <c r="C68" s="5">
        <v>3</v>
      </c>
      <c r="D68" s="5">
        <v>27</v>
      </c>
      <c r="E68" s="5">
        <v>667</v>
      </c>
      <c r="F68" s="5">
        <v>667</v>
      </c>
      <c r="G68" s="5">
        <v>667</v>
      </c>
      <c r="H68" s="5">
        <v>82.6</v>
      </c>
      <c r="I68" s="5">
        <v>82.6</v>
      </c>
      <c r="J68" s="5">
        <v>1701</v>
      </c>
      <c r="K68" s="5">
        <v>16</v>
      </c>
      <c r="L68" s="5">
        <v>16</v>
      </c>
      <c r="M68" s="5">
        <v>0.12</v>
      </c>
      <c r="N68" s="5">
        <v>0.11995400000000001</v>
      </c>
      <c r="O68" s="5">
        <v>1</v>
      </c>
      <c r="P68" s="5">
        <v>1.069404</v>
      </c>
      <c r="Q68" s="5">
        <v>-3.01</v>
      </c>
      <c r="R68" s="5">
        <v>-3.0102540000000002</v>
      </c>
      <c r="S68" s="5">
        <v>175.3</v>
      </c>
      <c r="T68" s="5">
        <v>175.29689999999999</v>
      </c>
      <c r="U68" s="5">
        <v>3.5</v>
      </c>
      <c r="V68" s="5">
        <v>3.5</v>
      </c>
      <c r="W68" s="5">
        <v>300</v>
      </c>
      <c r="X68" s="5">
        <v>300</v>
      </c>
      <c r="Y68" s="5">
        <v>3.5</v>
      </c>
      <c r="Z68" s="5">
        <v>3.5</v>
      </c>
      <c r="AA68" s="5">
        <v>300</v>
      </c>
      <c r="AB68" s="5">
        <v>300</v>
      </c>
      <c r="AC68" s="5">
        <v>0</v>
      </c>
      <c r="AD68" s="5">
        <v>126.422</v>
      </c>
      <c r="AE68" s="5">
        <v>0</v>
      </c>
      <c r="AF68" s="5">
        <v>126.422</v>
      </c>
      <c r="AG68" s="5">
        <v>40</v>
      </c>
      <c r="AH68" s="5">
        <v>0.17</v>
      </c>
      <c r="AI68" s="5">
        <v>71.81</v>
      </c>
      <c r="AJ68" s="5">
        <v>102.65</v>
      </c>
      <c r="AK68" s="5">
        <v>105.3</v>
      </c>
      <c r="AL68" s="5">
        <v>108.37</v>
      </c>
      <c r="AM68" s="5">
        <v>618.33000000000004</v>
      </c>
      <c r="AN68" s="5">
        <v>188.80590000000001</v>
      </c>
      <c r="AO68" s="5">
        <v>89.11</v>
      </c>
      <c r="AP68" s="5">
        <v>110.01</v>
      </c>
      <c r="AQ68" s="5">
        <v>104.42</v>
      </c>
      <c r="AR68" s="5">
        <v>584.58000000000004</v>
      </c>
      <c r="AS68" s="5">
        <v>16.190000000000001</v>
      </c>
      <c r="AT68" s="5">
        <v>57.65</v>
      </c>
      <c r="AU68" s="5">
        <v>98.57</v>
      </c>
      <c r="AV68" s="5">
        <v>113.23</v>
      </c>
      <c r="AW68" s="5">
        <v>0.13100000000000001</v>
      </c>
      <c r="AX68" s="5">
        <v>1.79</v>
      </c>
      <c r="AY68" s="5">
        <v>10000000000</v>
      </c>
      <c r="AZ68" s="5">
        <v>93.95</v>
      </c>
      <c r="BA68" s="5">
        <v>23.52</v>
      </c>
      <c r="BB68" s="5">
        <v>9.6</v>
      </c>
      <c r="BC68" s="5">
        <v>0.59</v>
      </c>
      <c r="BD68" s="5">
        <v>7.26</v>
      </c>
      <c r="BE68" s="5">
        <v>4.4800000000000004</v>
      </c>
      <c r="BF68" s="5">
        <v>716.09</v>
      </c>
      <c r="BG68" s="5">
        <v>6.18</v>
      </c>
      <c r="BH68" s="5">
        <v>10000000000</v>
      </c>
      <c r="BI68" s="5">
        <v>222.6</v>
      </c>
      <c r="BJ68" s="5">
        <v>22.1</v>
      </c>
      <c r="BK68" s="5">
        <v>86</v>
      </c>
      <c r="BL68" s="5">
        <v>38.520000000000003</v>
      </c>
      <c r="BM68" s="5">
        <v>2.02</v>
      </c>
      <c r="BN68" s="5">
        <v>29.52</v>
      </c>
      <c r="BO68" s="5">
        <v>37.799999999999997</v>
      </c>
      <c r="BP68" s="5">
        <v>610.9</v>
      </c>
      <c r="BQ68" s="5">
        <v>58.85568</v>
      </c>
      <c r="BR68" s="5">
        <v>208.40989999999999</v>
      </c>
      <c r="BS68" s="5">
        <v>43.530329999999999</v>
      </c>
      <c r="BT68" s="5">
        <v>35.818739999999998</v>
      </c>
      <c r="BU68" s="5">
        <v>35.577579999999998</v>
      </c>
      <c r="BV68" s="5">
        <v>9.2353000000000005E-2</v>
      </c>
      <c r="BW68" s="5">
        <v>9.4077999999999995E-2</v>
      </c>
      <c r="BX68" s="5">
        <v>90.467860000000002</v>
      </c>
      <c r="BY68" s="5">
        <v>18.995360000000002</v>
      </c>
      <c r="BZ68" s="5">
        <v>0</v>
      </c>
      <c r="CA68" s="5">
        <v>0.92932300000000001</v>
      </c>
      <c r="CB68" s="5">
        <v>656.22749999999996</v>
      </c>
      <c r="CC68" s="5">
        <v>680.58730000000003</v>
      </c>
      <c r="CD68" s="5">
        <v>97.472549999999998</v>
      </c>
      <c r="CE68" s="5">
        <v>462.49</v>
      </c>
      <c r="CF68" s="5">
        <v>82.15</v>
      </c>
      <c r="CG68" s="5">
        <v>96.9</v>
      </c>
      <c r="CH68" s="5">
        <v>500.47</v>
      </c>
      <c r="CI68" s="5">
        <v>528.85</v>
      </c>
      <c r="CJ68" s="5">
        <v>544.71</v>
      </c>
      <c r="CK68" s="5">
        <v>578.74</v>
      </c>
      <c r="CL68" s="5">
        <v>562.26</v>
      </c>
      <c r="CM68" s="5">
        <v>550.46</v>
      </c>
      <c r="CN68" s="5">
        <v>499.72</v>
      </c>
      <c r="CO68" s="5">
        <v>28.01</v>
      </c>
      <c r="CP68" s="5">
        <v>663.6</v>
      </c>
      <c r="CQ68" s="5">
        <v>667.04</v>
      </c>
      <c r="CR68" s="5">
        <v>11.9</v>
      </c>
      <c r="CS68" s="5">
        <v>12</v>
      </c>
      <c r="CT68" s="5">
        <v>26.33</v>
      </c>
      <c r="CU68" s="5">
        <v>35.22</v>
      </c>
      <c r="CV68" s="5">
        <v>99.41</v>
      </c>
      <c r="CW68" s="5">
        <v>0.8699004397848541</v>
      </c>
      <c r="CX68" s="5">
        <v>3.8971539702361468</v>
      </c>
    </row>
    <row r="69" spans="1:102" x14ac:dyDescent="0.25">
      <c r="A69" s="5">
        <v>44</v>
      </c>
      <c r="B69" s="23">
        <v>41407.748340254628</v>
      </c>
      <c r="C69" s="5">
        <v>3</v>
      </c>
      <c r="D69" s="5">
        <v>19</v>
      </c>
      <c r="E69" s="5">
        <v>633</v>
      </c>
      <c r="F69" s="5">
        <v>633</v>
      </c>
      <c r="G69" s="5">
        <v>633</v>
      </c>
      <c r="H69" s="5">
        <v>82.6</v>
      </c>
      <c r="I69" s="5">
        <v>82.6</v>
      </c>
      <c r="J69" s="5">
        <v>1701</v>
      </c>
      <c r="K69" s="5">
        <v>20</v>
      </c>
      <c r="L69" s="5">
        <v>20</v>
      </c>
      <c r="M69" s="5">
        <v>0.13</v>
      </c>
      <c r="N69" s="5">
        <v>0.13007199999999999</v>
      </c>
      <c r="O69" s="5">
        <v>1</v>
      </c>
      <c r="P69" s="5">
        <v>1.069375</v>
      </c>
      <c r="Q69" s="5">
        <v>-3.1</v>
      </c>
      <c r="R69" s="5">
        <v>-3.0981450000000001</v>
      </c>
      <c r="S69" s="5">
        <v>177.11</v>
      </c>
      <c r="T69" s="5">
        <v>177.10939999999999</v>
      </c>
      <c r="U69" s="5">
        <v>3.5</v>
      </c>
      <c r="V69" s="5">
        <v>3.5</v>
      </c>
      <c r="W69" s="5">
        <v>300</v>
      </c>
      <c r="X69" s="5">
        <v>300</v>
      </c>
      <c r="Y69" s="5">
        <v>3.5</v>
      </c>
      <c r="Z69" s="5">
        <v>3.5</v>
      </c>
      <c r="AA69" s="5">
        <v>300</v>
      </c>
      <c r="AB69" s="5">
        <v>300</v>
      </c>
      <c r="AC69" s="5">
        <v>0</v>
      </c>
      <c r="AD69" s="5">
        <v>128.15430000000001</v>
      </c>
      <c r="AE69" s="5">
        <v>0</v>
      </c>
      <c r="AF69" s="5">
        <v>128.15430000000001</v>
      </c>
      <c r="AG69" s="5">
        <v>40</v>
      </c>
      <c r="AH69" s="5">
        <v>0.17</v>
      </c>
      <c r="AI69" s="5">
        <v>72.94</v>
      </c>
      <c r="AJ69" s="5">
        <v>102.96</v>
      </c>
      <c r="AK69" s="5">
        <v>107.86</v>
      </c>
      <c r="AL69" s="5">
        <v>111.02</v>
      </c>
      <c r="AM69" s="5">
        <v>579.5</v>
      </c>
      <c r="AN69" s="5">
        <v>191.58850000000001</v>
      </c>
      <c r="AO69" s="5">
        <v>91.65</v>
      </c>
      <c r="AP69" s="5">
        <v>109.47</v>
      </c>
      <c r="AQ69" s="5">
        <v>105.88</v>
      </c>
      <c r="AR69" s="5">
        <v>591.72</v>
      </c>
      <c r="AS69" s="5">
        <v>16.21</v>
      </c>
      <c r="AT69" s="5">
        <v>57.8</v>
      </c>
      <c r="AU69" s="5">
        <v>97.91</v>
      </c>
      <c r="AV69" s="5">
        <v>113.36</v>
      </c>
      <c r="AW69" s="5">
        <v>8.7999999999999995E-2</v>
      </c>
      <c r="AX69" s="5">
        <v>1.19</v>
      </c>
      <c r="AY69" s="5">
        <v>10000000000</v>
      </c>
      <c r="AZ69" s="5">
        <v>60.77</v>
      </c>
      <c r="BA69" s="5">
        <v>26.63</v>
      </c>
      <c r="BB69" s="5">
        <v>8.91</v>
      </c>
      <c r="BC69" s="5">
        <v>0.6</v>
      </c>
      <c r="BD69" s="5">
        <v>8.16</v>
      </c>
      <c r="BE69" s="5">
        <v>4.67</v>
      </c>
      <c r="BF69" s="5">
        <v>691.13</v>
      </c>
      <c r="BG69" s="5">
        <v>6.76</v>
      </c>
      <c r="BH69" s="5">
        <v>10000000000</v>
      </c>
      <c r="BI69" s="5">
        <v>220.8</v>
      </c>
      <c r="BJ69" s="5">
        <v>23.8</v>
      </c>
      <c r="BK69" s="5">
        <v>86.3</v>
      </c>
      <c r="BL69" s="5">
        <v>42.88</v>
      </c>
      <c r="BM69" s="5">
        <v>2.0499999999999998</v>
      </c>
      <c r="BN69" s="5">
        <v>29.53</v>
      </c>
      <c r="BO69" s="5">
        <v>37.21</v>
      </c>
      <c r="BP69" s="5">
        <v>616.47</v>
      </c>
      <c r="BQ69" s="5">
        <v>58.95505</v>
      </c>
      <c r="BR69" s="5">
        <v>211.44479999999999</v>
      </c>
      <c r="BS69" s="5">
        <v>43.858960000000003</v>
      </c>
      <c r="BT69" s="5">
        <v>38.842680000000001</v>
      </c>
      <c r="BU69" s="5">
        <v>38.470179999999999</v>
      </c>
      <c r="BV69" s="5">
        <v>8.9855000000000004E-2</v>
      </c>
      <c r="BW69" s="5">
        <v>8.9693999999999996E-2</v>
      </c>
      <c r="BX69" s="5">
        <v>85.030680000000004</v>
      </c>
      <c r="BY69" s="5">
        <v>18.995360000000002</v>
      </c>
      <c r="BZ69" s="5">
        <v>0</v>
      </c>
      <c r="CA69" s="5">
        <v>0.93231600000000003</v>
      </c>
      <c r="CB69" s="5">
        <v>667.83439999999996</v>
      </c>
      <c r="CC69" s="5">
        <v>690.82960000000003</v>
      </c>
      <c r="CD69" s="5">
        <v>92.025779999999997</v>
      </c>
      <c r="CE69" s="5">
        <v>450.89</v>
      </c>
      <c r="CF69" s="5">
        <v>81.98</v>
      </c>
      <c r="CG69" s="5">
        <v>95.44</v>
      </c>
      <c r="CH69" s="5">
        <v>468.31</v>
      </c>
      <c r="CI69" s="5">
        <v>496.67</v>
      </c>
      <c r="CJ69" s="5">
        <v>509.88</v>
      </c>
      <c r="CK69" s="5">
        <v>544.75</v>
      </c>
      <c r="CL69" s="5">
        <v>531.53</v>
      </c>
      <c r="CM69" s="5">
        <v>523.22</v>
      </c>
      <c r="CN69" s="5">
        <v>463.18</v>
      </c>
      <c r="CO69" s="5">
        <v>27.57</v>
      </c>
      <c r="CP69" s="5">
        <v>629.6</v>
      </c>
      <c r="CQ69" s="5">
        <v>633.04999999999995</v>
      </c>
      <c r="CR69" s="5">
        <v>11.3</v>
      </c>
      <c r="CS69" s="5">
        <v>11.3</v>
      </c>
      <c r="CT69" s="5">
        <v>25.36</v>
      </c>
      <c r="CU69" s="5">
        <v>37.090000000000003</v>
      </c>
      <c r="CV69" s="5">
        <v>99.82</v>
      </c>
      <c r="CW69" s="5">
        <v>0.86964667479045521</v>
      </c>
      <c r="CX69" s="5">
        <v>4.0612499712714261</v>
      </c>
    </row>
    <row r="70" spans="1:102" x14ac:dyDescent="0.25">
      <c r="A70" s="5">
        <v>8</v>
      </c>
      <c r="B70" s="23">
        <v>41408.471012199072</v>
      </c>
      <c r="C70" s="5">
        <v>3</v>
      </c>
      <c r="D70" s="5">
        <v>30</v>
      </c>
      <c r="E70" s="5">
        <v>683</v>
      </c>
      <c r="F70" s="5">
        <v>683</v>
      </c>
      <c r="G70" s="5">
        <v>683.1</v>
      </c>
      <c r="H70" s="5">
        <v>82.6</v>
      </c>
      <c r="I70" s="5">
        <v>82.6</v>
      </c>
      <c r="J70" s="5">
        <v>1701</v>
      </c>
      <c r="K70" s="5">
        <v>20</v>
      </c>
      <c r="L70" s="5">
        <v>20</v>
      </c>
      <c r="M70" s="5">
        <v>0.19</v>
      </c>
      <c r="N70" s="5">
        <v>0.18996399999999999</v>
      </c>
      <c r="O70" s="5">
        <v>1</v>
      </c>
      <c r="P70" s="5">
        <v>1.0694669999999999</v>
      </c>
      <c r="Q70" s="5">
        <v>-2.96</v>
      </c>
      <c r="R70" s="5">
        <v>-2.9553219999999998</v>
      </c>
      <c r="S70" s="5">
        <v>174.46</v>
      </c>
      <c r="T70" s="5">
        <v>174.45310000000001</v>
      </c>
      <c r="U70" s="5">
        <v>3.5</v>
      </c>
      <c r="V70" s="5">
        <v>3.5</v>
      </c>
      <c r="W70" s="5">
        <v>300</v>
      </c>
      <c r="X70" s="5">
        <v>300</v>
      </c>
      <c r="Y70" s="5">
        <v>3.5</v>
      </c>
      <c r="Z70" s="5">
        <v>3.5</v>
      </c>
      <c r="AA70" s="5">
        <v>300</v>
      </c>
      <c r="AB70" s="5">
        <v>300</v>
      </c>
      <c r="AC70" s="5">
        <v>0</v>
      </c>
      <c r="AD70" s="5">
        <v>132.21119999999999</v>
      </c>
      <c r="AE70" s="5">
        <v>0</v>
      </c>
      <c r="AF70" s="5">
        <v>132.21119999999999</v>
      </c>
      <c r="AG70" s="5">
        <v>40</v>
      </c>
      <c r="AH70" s="5">
        <v>0.17</v>
      </c>
      <c r="AI70" s="5">
        <v>74.849999999999994</v>
      </c>
      <c r="AJ70" s="5">
        <v>105.95</v>
      </c>
      <c r="AK70" s="5">
        <v>113.68</v>
      </c>
      <c r="AL70" s="5">
        <v>116.44</v>
      </c>
      <c r="AM70" s="5">
        <v>613.77</v>
      </c>
      <c r="AN70" s="5">
        <v>198.07650000000001</v>
      </c>
      <c r="AO70" s="5">
        <v>98.58</v>
      </c>
      <c r="AP70" s="5">
        <v>116.34</v>
      </c>
      <c r="AQ70" s="5">
        <v>114.02</v>
      </c>
      <c r="AR70" s="5">
        <v>596.48</v>
      </c>
      <c r="AS70" s="5">
        <v>15.09</v>
      </c>
      <c r="AT70" s="5">
        <v>59.3</v>
      </c>
      <c r="AU70" s="5">
        <v>98.53</v>
      </c>
      <c r="AV70" s="5">
        <v>111.6</v>
      </c>
      <c r="AW70" s="5">
        <v>0.15</v>
      </c>
      <c r="AX70" s="5">
        <v>2.06</v>
      </c>
      <c r="AY70" s="5">
        <v>10000000000</v>
      </c>
      <c r="AZ70" s="5">
        <v>99.51</v>
      </c>
      <c r="BA70" s="5">
        <v>22.05</v>
      </c>
      <c r="BB70" s="5">
        <v>9.6300000000000008</v>
      </c>
      <c r="BC70" s="5">
        <v>0.85</v>
      </c>
      <c r="BD70" s="5">
        <v>7.22</v>
      </c>
      <c r="BE70" s="5">
        <v>3.74</v>
      </c>
      <c r="BF70" s="5">
        <v>600.05999999999995</v>
      </c>
      <c r="BG70" s="5">
        <v>8.86</v>
      </c>
      <c r="BH70" s="5">
        <v>10000000000</v>
      </c>
      <c r="BI70" s="5">
        <v>221.6</v>
      </c>
      <c r="BJ70" s="5">
        <v>22.1</v>
      </c>
      <c r="BK70" s="5">
        <v>85.8</v>
      </c>
      <c r="BL70" s="5">
        <v>57.99</v>
      </c>
      <c r="BM70" s="5">
        <v>2.13</v>
      </c>
      <c r="BN70" s="5">
        <v>29.75</v>
      </c>
      <c r="BO70" s="5">
        <v>37.799999999999997</v>
      </c>
      <c r="BP70" s="5">
        <v>623.22</v>
      </c>
      <c r="BQ70" s="5">
        <v>60.18338</v>
      </c>
      <c r="BR70" s="5">
        <v>215.02359999999999</v>
      </c>
      <c r="BS70" s="5">
        <v>43.410339999999998</v>
      </c>
      <c r="BT70" s="5">
        <v>36.633139999999997</v>
      </c>
      <c r="BU70" s="5">
        <v>36.354170000000003</v>
      </c>
      <c r="BV70" s="5">
        <v>9.3266000000000002E-2</v>
      </c>
      <c r="BW70" s="5">
        <v>9.4333E-2</v>
      </c>
      <c r="BX70" s="5">
        <v>92.436980000000005</v>
      </c>
      <c r="BY70" s="5">
        <v>18.995360000000002</v>
      </c>
      <c r="BZ70" s="5">
        <v>0</v>
      </c>
      <c r="CA70" s="5">
        <v>0.92824499999999999</v>
      </c>
      <c r="CB70" s="5">
        <v>684.90459999999996</v>
      </c>
      <c r="CC70" s="5">
        <v>709.75649999999996</v>
      </c>
      <c r="CD70" s="5">
        <v>99.441670000000002</v>
      </c>
      <c r="CE70" s="5">
        <v>509.12</v>
      </c>
      <c r="CF70" s="5">
        <v>83.69</v>
      </c>
      <c r="CG70" s="5">
        <v>95.44</v>
      </c>
      <c r="CH70" s="5">
        <v>495.64</v>
      </c>
      <c r="CI70" s="5">
        <v>523.47</v>
      </c>
      <c r="CJ70" s="5">
        <v>538.5</v>
      </c>
      <c r="CK70" s="5">
        <v>571.21</v>
      </c>
      <c r="CL70" s="5">
        <v>559.25</v>
      </c>
      <c r="CM70" s="5">
        <v>557.05999999999995</v>
      </c>
      <c r="CN70" s="5">
        <v>490.4</v>
      </c>
      <c r="CO70" s="5">
        <v>28.4</v>
      </c>
      <c r="CP70" s="5">
        <v>680</v>
      </c>
      <c r="CQ70" s="5">
        <v>683.06</v>
      </c>
      <c r="CR70" s="5">
        <v>12.2</v>
      </c>
      <c r="CS70" s="5">
        <v>12.2</v>
      </c>
      <c r="CT70" s="5">
        <v>27.1</v>
      </c>
      <c r="CU70" s="5">
        <v>34.340000000000003</v>
      </c>
      <c r="CV70" s="5">
        <v>99.37</v>
      </c>
      <c r="CW70" s="5">
        <v>0.87339741780284186</v>
      </c>
      <c r="CX70" s="5">
        <v>3.2665063425826286</v>
      </c>
    </row>
    <row r="71" spans="1:102" x14ac:dyDescent="0.25">
      <c r="A71" s="5">
        <v>39</v>
      </c>
      <c r="B71" s="23">
        <v>41407.721224247682</v>
      </c>
      <c r="C71" s="5">
        <v>3</v>
      </c>
      <c r="D71" s="5">
        <v>14</v>
      </c>
      <c r="E71" s="5">
        <v>608</v>
      </c>
      <c r="F71" s="5">
        <v>608</v>
      </c>
      <c r="G71" s="5">
        <v>608.1</v>
      </c>
      <c r="H71" s="5">
        <v>82.6</v>
      </c>
      <c r="I71" s="5">
        <v>82.6</v>
      </c>
      <c r="J71" s="5">
        <v>1701</v>
      </c>
      <c r="K71" s="5">
        <v>61</v>
      </c>
      <c r="L71" s="5">
        <v>61</v>
      </c>
      <c r="M71" s="5">
        <v>0.2</v>
      </c>
      <c r="N71" s="5">
        <v>0.200041</v>
      </c>
      <c r="O71" s="5">
        <v>1</v>
      </c>
      <c r="P71" s="5">
        <v>1.0694859999999999</v>
      </c>
      <c r="Q71" s="5">
        <v>-3.18</v>
      </c>
      <c r="R71" s="5">
        <v>-3.175049</v>
      </c>
      <c r="S71" s="5">
        <v>178.45</v>
      </c>
      <c r="T71" s="5">
        <v>178.45310000000001</v>
      </c>
      <c r="U71" s="5">
        <v>3.5</v>
      </c>
      <c r="V71" s="5">
        <v>3.5</v>
      </c>
      <c r="W71" s="5">
        <v>300</v>
      </c>
      <c r="X71" s="5">
        <v>300</v>
      </c>
      <c r="Y71" s="5">
        <v>3.5</v>
      </c>
      <c r="Z71" s="5">
        <v>3.5</v>
      </c>
      <c r="AA71" s="5">
        <v>300</v>
      </c>
      <c r="AB71" s="5">
        <v>300</v>
      </c>
      <c r="AC71" s="5">
        <v>0</v>
      </c>
      <c r="AD71" s="5">
        <v>177.38339999999999</v>
      </c>
      <c r="AE71" s="5">
        <v>0</v>
      </c>
      <c r="AF71" s="5">
        <v>151.54150000000001</v>
      </c>
      <c r="AG71" s="5">
        <v>40</v>
      </c>
      <c r="AH71" s="5">
        <v>0.17</v>
      </c>
      <c r="AI71" s="5">
        <v>93.57</v>
      </c>
      <c r="AJ71" s="5">
        <v>120.79</v>
      </c>
      <c r="AK71" s="5">
        <v>242.21</v>
      </c>
      <c r="AL71" s="5">
        <v>240.68</v>
      </c>
      <c r="AM71" s="5">
        <v>501.25</v>
      </c>
      <c r="AN71" s="5">
        <v>257.8272</v>
      </c>
      <c r="AO71" s="5">
        <v>159.66</v>
      </c>
      <c r="AP71" s="5">
        <v>153.79</v>
      </c>
      <c r="AQ71" s="5">
        <v>173.95</v>
      </c>
      <c r="AR71" s="5">
        <v>608.53</v>
      </c>
      <c r="AS71" s="5">
        <v>82.55</v>
      </c>
      <c r="AT71" s="5">
        <v>74.28</v>
      </c>
      <c r="AU71" s="5">
        <v>122.71</v>
      </c>
      <c r="AV71" s="5">
        <v>112.73</v>
      </c>
      <c r="AW71" s="5">
        <v>0.219</v>
      </c>
      <c r="AX71" s="5">
        <v>3.08</v>
      </c>
      <c r="AY71" s="5">
        <v>10000000000</v>
      </c>
      <c r="AZ71" s="5">
        <v>97.02</v>
      </c>
      <c r="BA71" s="5">
        <v>23.78</v>
      </c>
      <c r="BB71" s="5">
        <v>8.5500000000000007</v>
      </c>
      <c r="BC71" s="5">
        <v>2.1800000000000002</v>
      </c>
      <c r="BD71" s="5">
        <v>8.61</v>
      </c>
      <c r="BE71" s="5">
        <v>1.39</v>
      </c>
      <c r="BF71" s="5">
        <v>191.33</v>
      </c>
      <c r="BG71" s="5">
        <v>25.52</v>
      </c>
      <c r="BH71" s="5">
        <v>10000000000</v>
      </c>
      <c r="BI71" s="5">
        <v>230.7</v>
      </c>
      <c r="BJ71" s="5">
        <v>24.3</v>
      </c>
      <c r="BK71" s="5">
        <v>81.8</v>
      </c>
      <c r="BL71" s="5">
        <v>208.3</v>
      </c>
      <c r="BM71" s="5">
        <v>2.79</v>
      </c>
      <c r="BN71" s="5">
        <v>31.03</v>
      </c>
      <c r="BO71" s="5">
        <v>37.03</v>
      </c>
      <c r="BP71" s="5">
        <v>632.94000000000005</v>
      </c>
      <c r="BQ71" s="5">
        <v>72.920469999999995</v>
      </c>
      <c r="BR71" s="5">
        <v>334.67649999999998</v>
      </c>
      <c r="BS71" s="5">
        <v>43.8459</v>
      </c>
      <c r="BT71" s="5">
        <v>50.736989999999999</v>
      </c>
      <c r="BU71" s="5">
        <v>49.556609999999999</v>
      </c>
      <c r="BV71" s="5">
        <v>8.9946999999999999E-2</v>
      </c>
      <c r="BW71" s="5">
        <v>8.1420000000000006E-2</v>
      </c>
      <c r="BX71" s="5">
        <v>85.242189999999994</v>
      </c>
      <c r="BY71" s="5">
        <v>18.995360000000002</v>
      </c>
      <c r="BZ71" s="5">
        <v>0</v>
      </c>
      <c r="CA71" s="5">
        <v>0.932203</v>
      </c>
      <c r="CB71" s="5">
        <v>862.34640000000002</v>
      </c>
      <c r="CC71" s="5">
        <v>885.39430000000004</v>
      </c>
      <c r="CD71" s="5">
        <v>92.235519999999994</v>
      </c>
      <c r="CE71" s="5">
        <v>517.44000000000005</v>
      </c>
      <c r="CF71" s="5">
        <v>102.67</v>
      </c>
      <c r="CG71" s="5">
        <v>119.14</v>
      </c>
      <c r="CH71" s="5">
        <v>442.97</v>
      </c>
      <c r="CI71" s="5">
        <v>461.4</v>
      </c>
      <c r="CJ71" s="5">
        <v>467.4</v>
      </c>
      <c r="CK71" s="5">
        <v>495.68</v>
      </c>
      <c r="CL71" s="5">
        <v>500.58</v>
      </c>
      <c r="CM71" s="5">
        <v>501.27</v>
      </c>
      <c r="CN71" s="5">
        <v>345.08</v>
      </c>
      <c r="CO71" s="5">
        <v>29.75</v>
      </c>
      <c r="CP71" s="5">
        <v>604.70000000000005</v>
      </c>
      <c r="CQ71" s="5">
        <v>608.04999999999995</v>
      </c>
      <c r="CR71" s="5">
        <v>10.8</v>
      </c>
      <c r="CS71" s="5">
        <v>10.9</v>
      </c>
      <c r="CT71" s="5">
        <v>26.05</v>
      </c>
      <c r="CU71" s="5">
        <v>35.93</v>
      </c>
      <c r="CV71" s="5">
        <v>99.84</v>
      </c>
      <c r="CW71" s="5">
        <v>0.86959195211324147</v>
      </c>
      <c r="CX71" s="5">
        <v>1.2087328134374056</v>
      </c>
    </row>
    <row r="72" spans="1:102" x14ac:dyDescent="0.25">
      <c r="A72" s="5">
        <v>40</v>
      </c>
      <c r="B72" s="23">
        <v>41407.726648171294</v>
      </c>
      <c r="C72" s="5">
        <v>3</v>
      </c>
      <c r="D72" s="5">
        <v>15</v>
      </c>
      <c r="E72" s="5">
        <v>611</v>
      </c>
      <c r="F72" s="5">
        <v>611</v>
      </c>
      <c r="G72" s="5">
        <v>611</v>
      </c>
      <c r="H72" s="5">
        <v>82.6</v>
      </c>
      <c r="I72" s="5">
        <v>82.6</v>
      </c>
      <c r="J72" s="5">
        <v>1701</v>
      </c>
      <c r="K72" s="5">
        <v>16</v>
      </c>
      <c r="L72" s="5">
        <v>16</v>
      </c>
      <c r="M72" s="5">
        <v>0.13</v>
      </c>
      <c r="N72" s="5">
        <v>0.13003300000000001</v>
      </c>
      <c r="O72" s="5">
        <v>1</v>
      </c>
      <c r="P72" s="5">
        <v>1.0694399999999999</v>
      </c>
      <c r="Q72" s="5">
        <v>-3.17</v>
      </c>
      <c r="R72" s="5">
        <v>-3.175049</v>
      </c>
      <c r="S72" s="5">
        <v>178.29</v>
      </c>
      <c r="T72" s="5">
        <v>178.29689999999999</v>
      </c>
      <c r="U72" s="5">
        <v>3.5</v>
      </c>
      <c r="V72" s="5">
        <v>3.5</v>
      </c>
      <c r="W72" s="5">
        <v>300</v>
      </c>
      <c r="X72" s="5">
        <v>300</v>
      </c>
      <c r="Y72" s="5">
        <v>3.5</v>
      </c>
      <c r="Z72" s="5">
        <v>3.5</v>
      </c>
      <c r="AA72" s="5">
        <v>300</v>
      </c>
      <c r="AB72" s="5">
        <v>300</v>
      </c>
      <c r="AC72" s="5">
        <v>0</v>
      </c>
      <c r="AD72" s="5">
        <v>120.8485</v>
      </c>
      <c r="AE72" s="5">
        <v>0</v>
      </c>
      <c r="AF72" s="5">
        <v>120.8485</v>
      </c>
      <c r="AG72" s="5">
        <v>40</v>
      </c>
      <c r="AH72" s="5">
        <v>0.17</v>
      </c>
      <c r="AI72" s="5">
        <v>68.959999999999994</v>
      </c>
      <c r="AJ72" s="5">
        <v>98.11</v>
      </c>
      <c r="AK72" s="5">
        <v>94.76</v>
      </c>
      <c r="AL72" s="5">
        <v>97.81</v>
      </c>
      <c r="AM72" s="5">
        <v>588.52</v>
      </c>
      <c r="AN72" s="5">
        <v>180.59729999999999</v>
      </c>
      <c r="AO72" s="5">
        <v>80.61</v>
      </c>
      <c r="AP72" s="5">
        <v>102.3</v>
      </c>
      <c r="AQ72" s="5">
        <v>94.1</v>
      </c>
      <c r="AR72" s="5">
        <v>560.85</v>
      </c>
      <c r="AS72" s="5">
        <v>14.16</v>
      </c>
      <c r="AT72" s="5">
        <v>58.51</v>
      </c>
      <c r="AU72" s="5">
        <v>97.68</v>
      </c>
      <c r="AV72" s="5">
        <v>119.5</v>
      </c>
      <c r="AW72" s="5">
        <v>0.106</v>
      </c>
      <c r="AX72" s="5">
        <v>1.44</v>
      </c>
      <c r="AY72" s="5">
        <v>10000000000</v>
      </c>
      <c r="AZ72" s="5">
        <v>69.92</v>
      </c>
      <c r="BA72" s="5">
        <v>27.14</v>
      </c>
      <c r="BB72" s="5">
        <v>9.15</v>
      </c>
      <c r="BC72" s="5">
        <v>0.59</v>
      </c>
      <c r="BD72" s="5">
        <v>7.8</v>
      </c>
      <c r="BE72" s="5">
        <v>4.6500000000000004</v>
      </c>
      <c r="BF72" s="5">
        <v>702.21</v>
      </c>
      <c r="BG72" s="5">
        <v>6.45</v>
      </c>
      <c r="BH72" s="5">
        <v>10000000000</v>
      </c>
      <c r="BI72" s="5">
        <v>222.5</v>
      </c>
      <c r="BJ72" s="5">
        <v>23.2</v>
      </c>
      <c r="BK72" s="5">
        <v>86.8</v>
      </c>
      <c r="BL72" s="5">
        <v>38.71</v>
      </c>
      <c r="BM72" s="5">
        <v>1.93</v>
      </c>
      <c r="BN72" s="5">
        <v>29.51</v>
      </c>
      <c r="BO72" s="5">
        <v>37.409999999999997</v>
      </c>
      <c r="BP72" s="5">
        <v>585.57000000000005</v>
      </c>
      <c r="BQ72" s="5">
        <v>59.659480000000002</v>
      </c>
      <c r="BR72" s="5">
        <v>198.40129999999999</v>
      </c>
      <c r="BS72" s="5">
        <v>44.129530000000003</v>
      </c>
      <c r="BT72" s="5">
        <v>37.712040000000002</v>
      </c>
      <c r="BU72" s="5">
        <v>37.415909999999997</v>
      </c>
      <c r="BV72" s="5">
        <v>9.0011999999999995E-2</v>
      </c>
      <c r="BW72" s="5">
        <v>9.0941999999999995E-2</v>
      </c>
      <c r="BX72" s="5">
        <v>82.153490000000005</v>
      </c>
      <c r="BY72" s="5">
        <v>18.995360000000002</v>
      </c>
      <c r="BZ72" s="5">
        <v>0</v>
      </c>
      <c r="CA72" s="5">
        <v>0.93389200000000006</v>
      </c>
      <c r="CB72" s="5">
        <v>629.2627</v>
      </c>
      <c r="CC72" s="5">
        <v>651.53539999999998</v>
      </c>
      <c r="CD72" s="5">
        <v>89.147350000000003</v>
      </c>
      <c r="CE72" s="5">
        <v>449.86</v>
      </c>
      <c r="CF72" s="5">
        <v>82.51</v>
      </c>
      <c r="CG72" s="5">
        <v>96.14</v>
      </c>
      <c r="CH72" s="5">
        <v>476.45</v>
      </c>
      <c r="CI72" s="5">
        <v>502.6</v>
      </c>
      <c r="CJ72" s="5">
        <v>516.13</v>
      </c>
      <c r="CK72" s="5">
        <v>553.24</v>
      </c>
      <c r="CL72" s="5">
        <v>539.29</v>
      </c>
      <c r="CM72" s="5">
        <v>532.35</v>
      </c>
      <c r="CN72" s="5">
        <v>477.55</v>
      </c>
      <c r="CO72" s="5">
        <v>27.65</v>
      </c>
      <c r="CP72" s="5">
        <v>607.9</v>
      </c>
      <c r="CQ72" s="5">
        <v>611.04999999999995</v>
      </c>
      <c r="CR72" s="5">
        <v>10.9</v>
      </c>
      <c r="CS72" s="5">
        <v>10.9</v>
      </c>
      <c r="CT72" s="5">
        <v>26.34</v>
      </c>
      <c r="CU72" s="5">
        <v>35.03</v>
      </c>
      <c r="CV72" s="5">
        <v>99.85</v>
      </c>
      <c r="CW72" s="5">
        <v>0.86584558514277776</v>
      </c>
      <c r="CX72" s="5">
        <v>4.0261819709139166</v>
      </c>
    </row>
    <row r="73" spans="1:102" x14ac:dyDescent="0.25">
      <c r="A73" s="5">
        <v>41</v>
      </c>
      <c r="B73" s="23">
        <v>41407.732072314815</v>
      </c>
      <c r="C73" s="5">
        <v>3</v>
      </c>
      <c r="D73" s="5">
        <v>16</v>
      </c>
      <c r="E73" s="5">
        <v>617</v>
      </c>
      <c r="F73" s="5">
        <v>617</v>
      </c>
      <c r="G73" s="5">
        <v>617</v>
      </c>
      <c r="H73" s="5">
        <v>82.6</v>
      </c>
      <c r="I73" s="5">
        <v>82.6</v>
      </c>
      <c r="J73" s="5">
        <v>1701</v>
      </c>
      <c r="K73" s="5">
        <v>26</v>
      </c>
      <c r="L73" s="5">
        <v>26</v>
      </c>
      <c r="M73" s="5">
        <v>0.16</v>
      </c>
      <c r="N73" s="5">
        <v>0.15990099999999999</v>
      </c>
      <c r="O73" s="5">
        <v>1</v>
      </c>
      <c r="P73" s="5">
        <v>1.0694570000000001</v>
      </c>
      <c r="Q73" s="5">
        <v>-3.16</v>
      </c>
      <c r="R73" s="5">
        <v>-3.1640630000000001</v>
      </c>
      <c r="S73" s="5">
        <v>177.97</v>
      </c>
      <c r="T73" s="5">
        <v>177.96879999999999</v>
      </c>
      <c r="U73" s="5">
        <v>3.5</v>
      </c>
      <c r="V73" s="5">
        <v>3.5</v>
      </c>
      <c r="W73" s="5">
        <v>300</v>
      </c>
      <c r="X73" s="5">
        <v>300</v>
      </c>
      <c r="Y73" s="5">
        <v>3.5</v>
      </c>
      <c r="Z73" s="5">
        <v>3.5</v>
      </c>
      <c r="AA73" s="5">
        <v>300</v>
      </c>
      <c r="AB73" s="5">
        <v>300</v>
      </c>
      <c r="AC73" s="5">
        <v>0</v>
      </c>
      <c r="AD73" s="5">
        <v>131.39320000000001</v>
      </c>
      <c r="AE73" s="5">
        <v>0</v>
      </c>
      <c r="AF73" s="5">
        <v>131.39320000000001</v>
      </c>
      <c r="AG73" s="5">
        <v>40</v>
      </c>
      <c r="AH73" s="5">
        <v>0.17</v>
      </c>
      <c r="AI73" s="5">
        <v>74.8</v>
      </c>
      <c r="AJ73" s="5">
        <v>104.53</v>
      </c>
      <c r="AK73" s="5">
        <v>115.17</v>
      </c>
      <c r="AL73" s="5">
        <v>117.85</v>
      </c>
      <c r="AM73" s="5">
        <v>560.28</v>
      </c>
      <c r="AN73" s="5">
        <v>197.167</v>
      </c>
      <c r="AO73" s="5">
        <v>97.35</v>
      </c>
      <c r="AP73" s="5">
        <v>113.12</v>
      </c>
      <c r="AQ73" s="5">
        <v>111.53</v>
      </c>
      <c r="AR73" s="5">
        <v>592.02</v>
      </c>
      <c r="AS73" s="5">
        <v>17.82</v>
      </c>
      <c r="AT73" s="5">
        <v>59.46</v>
      </c>
      <c r="AU73" s="5">
        <v>97.9</v>
      </c>
      <c r="AV73" s="5">
        <v>110.47</v>
      </c>
      <c r="AW73" s="5">
        <v>7.9000000000000001E-2</v>
      </c>
      <c r="AX73" s="5">
        <v>1.07</v>
      </c>
      <c r="AY73" s="5">
        <v>10000000000</v>
      </c>
      <c r="AZ73" s="5">
        <v>55.03</v>
      </c>
      <c r="BA73" s="5">
        <v>25.32</v>
      </c>
      <c r="BB73" s="5">
        <v>8.6199999999999992</v>
      </c>
      <c r="BC73" s="5">
        <v>0.75</v>
      </c>
      <c r="BD73" s="5">
        <v>8.57</v>
      </c>
      <c r="BE73" s="5">
        <v>4.26</v>
      </c>
      <c r="BF73" s="5">
        <v>611.32000000000005</v>
      </c>
      <c r="BG73" s="5">
        <v>8.65</v>
      </c>
      <c r="BH73" s="5">
        <v>10000000000</v>
      </c>
      <c r="BI73" s="5">
        <v>220.3</v>
      </c>
      <c r="BJ73" s="5">
        <v>24.5</v>
      </c>
      <c r="BK73" s="5">
        <v>85.6</v>
      </c>
      <c r="BL73" s="5">
        <v>56.09</v>
      </c>
      <c r="BM73" s="5">
        <v>2.12</v>
      </c>
      <c r="BN73" s="5">
        <v>29.66</v>
      </c>
      <c r="BO73" s="5">
        <v>36.99</v>
      </c>
      <c r="BP73" s="5">
        <v>616.23</v>
      </c>
      <c r="BQ73" s="5">
        <v>60.41281</v>
      </c>
      <c r="BR73" s="5">
        <v>217.4435</v>
      </c>
      <c r="BS73" s="5">
        <v>44.133360000000003</v>
      </c>
      <c r="BT73" s="5">
        <v>41.254519999999999</v>
      </c>
      <c r="BU73" s="5">
        <v>40.767859999999999</v>
      </c>
      <c r="BV73" s="5">
        <v>9.0032000000000001E-2</v>
      </c>
      <c r="BW73" s="5">
        <v>8.8155999999999998E-2</v>
      </c>
      <c r="BX73" s="5">
        <v>82.123649999999998</v>
      </c>
      <c r="BY73" s="5">
        <v>18.995360000000002</v>
      </c>
      <c r="BZ73" s="5">
        <v>0</v>
      </c>
      <c r="CA73" s="5">
        <v>0.93390899999999999</v>
      </c>
      <c r="CB73" s="5">
        <v>685.44979999999998</v>
      </c>
      <c r="CC73" s="5">
        <v>707.71579999999994</v>
      </c>
      <c r="CD73" s="5">
        <v>89.121200000000002</v>
      </c>
      <c r="CE73" s="5">
        <v>470.08</v>
      </c>
      <c r="CF73" s="5">
        <v>82.66</v>
      </c>
      <c r="CG73" s="5">
        <v>94.27</v>
      </c>
      <c r="CH73" s="5">
        <v>452.83</v>
      </c>
      <c r="CI73" s="5">
        <v>477.27</v>
      </c>
      <c r="CJ73" s="5">
        <v>493.37</v>
      </c>
      <c r="CK73" s="5">
        <v>531.88</v>
      </c>
      <c r="CL73" s="5">
        <v>514.41999999999996</v>
      </c>
      <c r="CM73" s="5">
        <v>514.91999999999996</v>
      </c>
      <c r="CN73" s="5">
        <v>440.33</v>
      </c>
      <c r="CO73" s="5">
        <v>27.26</v>
      </c>
      <c r="CP73" s="5">
        <v>613.70000000000005</v>
      </c>
      <c r="CQ73" s="5">
        <v>617.04</v>
      </c>
      <c r="CR73" s="5">
        <v>11</v>
      </c>
      <c r="CS73" s="5">
        <v>11.1</v>
      </c>
      <c r="CT73" s="5">
        <v>26.03</v>
      </c>
      <c r="CU73" s="5">
        <v>36.56</v>
      </c>
      <c r="CV73" s="5">
        <v>99.82</v>
      </c>
      <c r="CW73" s="5">
        <v>0.87276381897245592</v>
      </c>
      <c r="CX73" s="5">
        <v>3.717973868822662</v>
      </c>
    </row>
    <row r="74" spans="1:102" x14ac:dyDescent="0.25">
      <c r="A74" s="5">
        <v>9</v>
      </c>
      <c r="B74" s="23">
        <v>41408.476441377315</v>
      </c>
      <c r="C74" s="5">
        <v>3</v>
      </c>
      <c r="D74" s="5">
        <v>31</v>
      </c>
      <c r="E74" s="5">
        <v>686</v>
      </c>
      <c r="F74" s="5">
        <v>686</v>
      </c>
      <c r="G74" s="5">
        <v>686</v>
      </c>
      <c r="H74" s="5">
        <v>82.6</v>
      </c>
      <c r="I74" s="5">
        <v>82.6</v>
      </c>
      <c r="J74" s="5">
        <v>1701</v>
      </c>
      <c r="K74" s="5">
        <v>54</v>
      </c>
      <c r="L74" s="5">
        <v>54</v>
      </c>
      <c r="M74" s="5">
        <v>0.15</v>
      </c>
      <c r="N74" s="5">
        <v>0.150116</v>
      </c>
      <c r="O74" s="5">
        <v>1</v>
      </c>
      <c r="P74" s="5">
        <v>1.0694159999999999</v>
      </c>
      <c r="Q74" s="5">
        <v>-2.96</v>
      </c>
      <c r="R74" s="5">
        <v>-2.9553219999999998</v>
      </c>
      <c r="S74" s="5">
        <v>174.3</v>
      </c>
      <c r="T74" s="5">
        <v>174.29689999999999</v>
      </c>
      <c r="U74" s="5">
        <v>3.5</v>
      </c>
      <c r="V74" s="5">
        <v>3.5</v>
      </c>
      <c r="W74" s="5">
        <v>300</v>
      </c>
      <c r="X74" s="5">
        <v>300</v>
      </c>
      <c r="Y74" s="5">
        <v>3.5</v>
      </c>
      <c r="Z74" s="5">
        <v>3.5</v>
      </c>
      <c r="AA74" s="5">
        <v>300</v>
      </c>
      <c r="AB74" s="5">
        <v>300</v>
      </c>
      <c r="AC74" s="5">
        <v>0</v>
      </c>
      <c r="AD74" s="5">
        <v>185.89400000000001</v>
      </c>
      <c r="AE74" s="5">
        <v>0</v>
      </c>
      <c r="AF74" s="5">
        <v>151.53710000000001</v>
      </c>
      <c r="AG74" s="5">
        <v>40</v>
      </c>
      <c r="AH74" s="5">
        <v>0.17</v>
      </c>
      <c r="AI74" s="5">
        <v>97.56</v>
      </c>
      <c r="AJ74" s="5">
        <v>126.72</v>
      </c>
      <c r="AK74" s="5">
        <v>240.89</v>
      </c>
      <c r="AL74" s="5">
        <v>240.68</v>
      </c>
      <c r="AM74" s="5">
        <v>521.23</v>
      </c>
      <c r="AN74" s="5">
        <v>266.66820000000001</v>
      </c>
      <c r="AO74" s="5">
        <v>168.16</v>
      </c>
      <c r="AP74" s="5">
        <v>161.81</v>
      </c>
      <c r="AQ74" s="5">
        <v>185.68</v>
      </c>
      <c r="AR74" s="5">
        <v>697.36</v>
      </c>
      <c r="AS74" s="5">
        <v>72.739999999999995</v>
      </c>
      <c r="AT74" s="5">
        <v>66.61</v>
      </c>
      <c r="AU74" s="5">
        <v>111.84</v>
      </c>
      <c r="AV74" s="5">
        <v>116.34</v>
      </c>
      <c r="AW74" s="5">
        <v>7.9000000000000001E-2</v>
      </c>
      <c r="AX74" s="5">
        <v>1.06</v>
      </c>
      <c r="AY74" s="5">
        <v>10000000000</v>
      </c>
      <c r="AZ74" s="5">
        <v>57.1</v>
      </c>
      <c r="BA74" s="5">
        <v>19.940000000000001</v>
      </c>
      <c r="BB74" s="5">
        <v>8.26</v>
      </c>
      <c r="BC74" s="5">
        <v>1.47</v>
      </c>
      <c r="BD74" s="5">
        <v>9.18</v>
      </c>
      <c r="BE74" s="5">
        <v>2.4900000000000002</v>
      </c>
      <c r="BF74" s="5">
        <v>334.28</v>
      </c>
      <c r="BG74" s="5">
        <v>17.82</v>
      </c>
      <c r="BH74" s="5">
        <v>10000000000</v>
      </c>
      <c r="BI74" s="5">
        <v>224.7</v>
      </c>
      <c r="BJ74" s="5">
        <v>25.4</v>
      </c>
      <c r="BK74" s="5">
        <v>82.5</v>
      </c>
      <c r="BL74" s="5">
        <v>151.27000000000001</v>
      </c>
      <c r="BM74" s="5">
        <v>2.87</v>
      </c>
      <c r="BN74" s="5">
        <v>30.35</v>
      </c>
      <c r="BO74" s="5">
        <v>36.69</v>
      </c>
      <c r="BP74" s="5">
        <v>725.12</v>
      </c>
      <c r="BQ74" s="5">
        <v>66.769419999999997</v>
      </c>
      <c r="BR74" s="5">
        <v>336.33030000000002</v>
      </c>
      <c r="BS74" s="5">
        <v>43.321939999999998</v>
      </c>
      <c r="BT74" s="5">
        <v>48.153590000000001</v>
      </c>
      <c r="BU74" s="5">
        <v>47.135339999999999</v>
      </c>
      <c r="BV74" s="5">
        <v>9.4480999999999996E-2</v>
      </c>
      <c r="BW74" s="5">
        <v>8.7038000000000004E-2</v>
      </c>
      <c r="BX74" s="5">
        <v>94.03989</v>
      </c>
      <c r="BY74" s="5">
        <v>18.995360000000002</v>
      </c>
      <c r="BZ74" s="5">
        <v>0</v>
      </c>
      <c r="CA74" s="5">
        <v>0.92765900000000001</v>
      </c>
      <c r="CB74" s="5">
        <v>903.65629999999999</v>
      </c>
      <c r="CC74" s="5">
        <v>928.92</v>
      </c>
      <c r="CD74" s="5">
        <v>101.0462</v>
      </c>
      <c r="CE74" s="5">
        <v>518.78</v>
      </c>
      <c r="CF74" s="5">
        <v>92.88</v>
      </c>
      <c r="CG74" s="5">
        <v>108.07</v>
      </c>
      <c r="CH74" s="5">
        <v>451</v>
      </c>
      <c r="CI74" s="5">
        <v>467.97</v>
      </c>
      <c r="CJ74" s="5">
        <v>482.18</v>
      </c>
      <c r="CK74" s="5">
        <v>510.64</v>
      </c>
      <c r="CL74" s="5">
        <v>506.91</v>
      </c>
      <c r="CM74" s="5">
        <v>511.01</v>
      </c>
      <c r="CN74" s="5">
        <v>360.07</v>
      </c>
      <c r="CO74" s="5">
        <v>30.33</v>
      </c>
      <c r="CP74" s="5">
        <v>682.7</v>
      </c>
      <c r="CQ74" s="5">
        <v>686.05</v>
      </c>
      <c r="CR74" s="5">
        <v>12.2</v>
      </c>
      <c r="CS74" s="5">
        <v>12.3</v>
      </c>
      <c r="CT74" s="5">
        <v>26.84</v>
      </c>
      <c r="CU74" s="5">
        <v>34.229999999999997</v>
      </c>
      <c r="CV74" s="5">
        <v>99.37</v>
      </c>
      <c r="CW74" s="5">
        <v>0.88054104870893024</v>
      </c>
      <c r="CX74" s="5">
        <v>2.1925472112852367</v>
      </c>
    </row>
    <row r="75" spans="1:102" x14ac:dyDescent="0.25">
      <c r="A75" s="5">
        <v>23</v>
      </c>
      <c r="B75" s="23">
        <v>41408.560743587965</v>
      </c>
      <c r="C75" s="5">
        <v>3</v>
      </c>
      <c r="D75" s="5">
        <v>44</v>
      </c>
      <c r="E75" s="5">
        <v>748</v>
      </c>
      <c r="F75" s="5">
        <v>748</v>
      </c>
      <c r="G75" s="5">
        <v>748</v>
      </c>
      <c r="H75" s="5">
        <v>82.6</v>
      </c>
      <c r="I75" s="5">
        <v>82.6</v>
      </c>
      <c r="J75" s="5">
        <v>1701</v>
      </c>
      <c r="K75" s="5">
        <v>55</v>
      </c>
      <c r="L75" s="5">
        <v>55</v>
      </c>
      <c r="M75" s="5">
        <v>0.16</v>
      </c>
      <c r="N75" s="5">
        <v>0.160028</v>
      </c>
      <c r="O75" s="5">
        <v>1</v>
      </c>
      <c r="P75" s="5">
        <v>1.069526</v>
      </c>
      <c r="Q75" s="5">
        <v>-0.99</v>
      </c>
      <c r="R75" s="5">
        <v>-0.98877000000000004</v>
      </c>
      <c r="S75" s="5">
        <v>175.04</v>
      </c>
      <c r="T75" s="5">
        <v>175.04689999999999</v>
      </c>
      <c r="U75" s="5">
        <v>3.5</v>
      </c>
      <c r="V75" s="5">
        <v>3.5</v>
      </c>
      <c r="W75" s="5">
        <v>300</v>
      </c>
      <c r="X75" s="5">
        <v>300</v>
      </c>
      <c r="Y75" s="5">
        <v>0</v>
      </c>
      <c r="Z75" s="5">
        <v>0</v>
      </c>
      <c r="AA75" s="5">
        <v>300</v>
      </c>
      <c r="AB75" s="5">
        <v>300</v>
      </c>
      <c r="AC75" s="5">
        <v>0</v>
      </c>
      <c r="AD75" s="5">
        <v>189.89599999999999</v>
      </c>
      <c r="AE75" s="5">
        <v>0</v>
      </c>
      <c r="AF75" s="5">
        <v>151.53569999999999</v>
      </c>
      <c r="AG75" s="5">
        <v>40</v>
      </c>
      <c r="AH75" s="5">
        <v>0.17</v>
      </c>
      <c r="AI75" s="5">
        <v>102.58</v>
      </c>
      <c r="AJ75" s="5">
        <v>129.52000000000001</v>
      </c>
      <c r="AK75" s="5">
        <v>255.86</v>
      </c>
      <c r="AL75" s="5">
        <v>255.28</v>
      </c>
      <c r="AM75" s="5">
        <v>536.62</v>
      </c>
      <c r="AN75" s="5">
        <v>276.80040000000002</v>
      </c>
      <c r="AO75" s="5">
        <v>178.6</v>
      </c>
      <c r="AP75" s="5">
        <v>168.51</v>
      </c>
      <c r="AQ75" s="5">
        <v>196.16</v>
      </c>
      <c r="AR75" s="5">
        <v>705.89</v>
      </c>
      <c r="AS75" s="5">
        <v>77.260000000000005</v>
      </c>
      <c r="AT75" s="5">
        <v>68.430000000000007</v>
      </c>
      <c r="AU75" s="5">
        <v>115.92</v>
      </c>
      <c r="AV75" s="5">
        <v>112.22</v>
      </c>
      <c r="AW75" s="5">
        <v>0.13600000000000001</v>
      </c>
      <c r="AX75" s="5">
        <v>1.86</v>
      </c>
      <c r="AY75" s="5">
        <v>10000000000</v>
      </c>
      <c r="AZ75" s="5">
        <v>47.75</v>
      </c>
      <c r="BA75" s="5">
        <v>16.22</v>
      </c>
      <c r="BB75" s="5">
        <v>8.7899999999999991</v>
      </c>
      <c r="BC75" s="5">
        <v>1.67</v>
      </c>
      <c r="BD75" s="5">
        <v>8.52</v>
      </c>
      <c r="BE75" s="5">
        <v>2.29</v>
      </c>
      <c r="BF75" s="5">
        <v>334.81</v>
      </c>
      <c r="BG75" s="5">
        <v>18.97</v>
      </c>
      <c r="BH75" s="5">
        <v>10000000000</v>
      </c>
      <c r="BI75" s="5">
        <v>220.8</v>
      </c>
      <c r="BJ75" s="5">
        <v>24</v>
      </c>
      <c r="BK75" s="5">
        <v>81.5</v>
      </c>
      <c r="BL75" s="5">
        <v>165.23</v>
      </c>
      <c r="BM75" s="5">
        <v>2.99</v>
      </c>
      <c r="BN75" s="5">
        <v>30.52</v>
      </c>
      <c r="BO75" s="5">
        <v>37.130000000000003</v>
      </c>
      <c r="BP75" s="5">
        <v>735.08</v>
      </c>
      <c r="BQ75" s="5">
        <v>68.222030000000004</v>
      </c>
      <c r="BR75" s="5">
        <v>349.99310000000003</v>
      </c>
      <c r="BS75" s="5">
        <v>42.317830000000001</v>
      </c>
      <c r="BT75" s="5">
        <v>44.01144</v>
      </c>
      <c r="BU75" s="5">
        <v>43.235390000000002</v>
      </c>
      <c r="BV75" s="5">
        <v>0.10377599999999999</v>
      </c>
      <c r="BW75" s="5">
        <v>9.8455000000000001E-2</v>
      </c>
      <c r="BX75" s="5">
        <v>108.64239999999999</v>
      </c>
      <c r="BY75" s="5">
        <v>18.995360000000002</v>
      </c>
      <c r="BZ75" s="5">
        <v>0</v>
      </c>
      <c r="CA75" s="5">
        <v>0.924763</v>
      </c>
      <c r="CB75" s="5">
        <v>931.08709999999996</v>
      </c>
      <c r="CC75" s="5">
        <v>959.12810000000002</v>
      </c>
      <c r="CD75" s="5">
        <v>112.1489</v>
      </c>
      <c r="CE75" s="5">
        <v>529.94000000000005</v>
      </c>
      <c r="CF75" s="5">
        <v>96.44</v>
      </c>
      <c r="CG75" s="5">
        <v>112.53</v>
      </c>
      <c r="CH75" s="5">
        <v>467.24</v>
      </c>
      <c r="CI75" s="5">
        <v>483.19</v>
      </c>
      <c r="CJ75" s="5">
        <v>498.1</v>
      </c>
      <c r="CK75" s="5">
        <v>518.17999999999995</v>
      </c>
      <c r="CL75" s="5">
        <v>520.33000000000004</v>
      </c>
      <c r="CM75" s="5">
        <v>519.15</v>
      </c>
      <c r="CN75" s="5">
        <v>367.19</v>
      </c>
      <c r="CO75" s="5">
        <v>30.48</v>
      </c>
      <c r="CP75" s="5">
        <v>744.6</v>
      </c>
      <c r="CQ75" s="5">
        <v>748.05</v>
      </c>
      <c r="CR75" s="5">
        <v>13.3</v>
      </c>
      <c r="CS75" s="5">
        <v>13.4</v>
      </c>
      <c r="CT75" s="5">
        <v>26.22</v>
      </c>
      <c r="CU75" s="5">
        <v>38.74</v>
      </c>
      <c r="CV75" s="5">
        <v>99.22</v>
      </c>
      <c r="CW75" s="5">
        <v>0.89199461113663803</v>
      </c>
      <c r="CX75" s="5">
        <v>2.042667659502901</v>
      </c>
    </row>
    <row r="76" spans="1:102" x14ac:dyDescent="0.25">
      <c r="A76" s="5">
        <v>26</v>
      </c>
      <c r="B76" s="23">
        <v>41407.64765684028</v>
      </c>
      <c r="C76" s="5">
        <v>3</v>
      </c>
      <c r="D76" s="5">
        <v>2</v>
      </c>
      <c r="E76" s="5">
        <v>555</v>
      </c>
      <c r="F76" s="5">
        <v>555</v>
      </c>
      <c r="G76" s="5">
        <v>555.1</v>
      </c>
      <c r="H76" s="5">
        <v>82.6</v>
      </c>
      <c r="I76" s="5">
        <v>82.6</v>
      </c>
      <c r="J76" s="5">
        <v>1701</v>
      </c>
      <c r="K76" s="5">
        <v>28</v>
      </c>
      <c r="L76" s="5">
        <v>28</v>
      </c>
      <c r="M76" s="5">
        <v>0.15</v>
      </c>
      <c r="N76" s="5">
        <v>0.15002399999999999</v>
      </c>
      <c r="O76" s="5">
        <v>1</v>
      </c>
      <c r="P76" s="5">
        <v>1.069374</v>
      </c>
      <c r="Q76" s="5">
        <v>-3.87</v>
      </c>
      <c r="R76" s="5">
        <v>-3.8671880000000001</v>
      </c>
      <c r="S76" s="5">
        <v>171.01</v>
      </c>
      <c r="T76" s="5">
        <v>171.01560000000001</v>
      </c>
      <c r="U76" s="5">
        <v>3.5</v>
      </c>
      <c r="V76" s="5">
        <v>3.5</v>
      </c>
      <c r="W76" s="5">
        <v>300</v>
      </c>
      <c r="X76" s="5">
        <v>300</v>
      </c>
      <c r="Y76" s="5">
        <v>3.5</v>
      </c>
      <c r="Z76" s="5">
        <v>3.5</v>
      </c>
      <c r="AA76" s="5">
        <v>300</v>
      </c>
      <c r="AB76" s="5">
        <v>300</v>
      </c>
      <c r="AC76" s="5">
        <v>0</v>
      </c>
      <c r="AD76" s="5">
        <v>123.886</v>
      </c>
      <c r="AE76" s="5">
        <v>0</v>
      </c>
      <c r="AF76" s="5">
        <v>123.886</v>
      </c>
      <c r="AG76" s="5">
        <v>40</v>
      </c>
      <c r="AH76" s="5">
        <v>0.17</v>
      </c>
      <c r="AI76" s="5">
        <v>70.75</v>
      </c>
      <c r="AJ76" s="5">
        <v>101.67</v>
      </c>
      <c r="AK76" s="5">
        <v>106.33</v>
      </c>
      <c r="AL76" s="5">
        <v>108.38</v>
      </c>
      <c r="AM76" s="5">
        <v>544.46</v>
      </c>
      <c r="AN76" s="5">
        <v>185.6335</v>
      </c>
      <c r="AO76" s="5">
        <v>85.8</v>
      </c>
      <c r="AP76" s="5">
        <v>118.1</v>
      </c>
      <c r="AQ76" s="5">
        <v>99.12</v>
      </c>
      <c r="AR76" s="5">
        <v>568.04</v>
      </c>
      <c r="AS76" s="5">
        <v>20.53</v>
      </c>
      <c r="AT76" s="5">
        <v>59.3</v>
      </c>
      <c r="AU76" s="5">
        <v>98</v>
      </c>
      <c r="AV76" s="5">
        <v>116.48</v>
      </c>
      <c r="AW76" s="5">
        <v>0.11700000000000001</v>
      </c>
      <c r="AX76" s="5">
        <v>1.59</v>
      </c>
      <c r="AY76" s="5">
        <v>0.9335</v>
      </c>
      <c r="AZ76" s="5">
        <v>68.760000000000005</v>
      </c>
      <c r="BA76" s="5">
        <v>25.1</v>
      </c>
      <c r="BB76" s="5">
        <v>8.3800000000000008</v>
      </c>
      <c r="BC76" s="5">
        <v>0.81</v>
      </c>
      <c r="BD76" s="5">
        <v>8.85</v>
      </c>
      <c r="BE76" s="5">
        <v>3.82</v>
      </c>
      <c r="BF76" s="5">
        <v>509.14</v>
      </c>
      <c r="BG76" s="5">
        <v>9.69</v>
      </c>
      <c r="BH76" s="5">
        <v>7.0000000000000007E-2</v>
      </c>
      <c r="BI76" s="5">
        <v>224.5</v>
      </c>
      <c r="BJ76" s="5">
        <v>25.6</v>
      </c>
      <c r="BK76" s="5">
        <v>88</v>
      </c>
      <c r="BL76" s="5">
        <v>60.95</v>
      </c>
      <c r="BM76" s="5">
        <v>2</v>
      </c>
      <c r="BN76" s="5">
        <v>29.71</v>
      </c>
      <c r="BO76" s="5">
        <v>36.64</v>
      </c>
      <c r="BP76" s="5">
        <v>590.25</v>
      </c>
      <c r="BQ76" s="5">
        <v>60.202970000000001</v>
      </c>
      <c r="BR76" s="5">
        <v>207.99010000000001</v>
      </c>
      <c r="BS76" s="5">
        <v>45.529240000000001</v>
      </c>
      <c r="BT76" s="5">
        <v>42.378270000000001</v>
      </c>
      <c r="BU76" s="5">
        <v>41.922449999999998</v>
      </c>
      <c r="BV76" s="5">
        <v>0.100184</v>
      </c>
      <c r="BW76" s="5">
        <v>9.8426E-2</v>
      </c>
      <c r="BX76" s="5">
        <v>73.99776</v>
      </c>
      <c r="BY76" s="5">
        <v>18.995360000000002</v>
      </c>
      <c r="BZ76" s="5">
        <v>0</v>
      </c>
      <c r="CA76" s="5">
        <v>0.93837599999999999</v>
      </c>
      <c r="CB76" s="5">
        <v>648.84109999999998</v>
      </c>
      <c r="CC76" s="5">
        <v>669.06960000000004</v>
      </c>
      <c r="CD76" s="5">
        <v>80.993960000000001</v>
      </c>
      <c r="CE76" s="5">
        <v>469.88</v>
      </c>
      <c r="CF76" s="5">
        <v>81.66</v>
      </c>
      <c r="CG76" s="5">
        <v>93.91</v>
      </c>
      <c r="CH76" s="5">
        <v>443.38</v>
      </c>
      <c r="CI76" s="5">
        <v>468.67</v>
      </c>
      <c r="CJ76" s="5">
        <v>477.75</v>
      </c>
      <c r="CK76" s="5">
        <v>512.88</v>
      </c>
      <c r="CL76" s="5">
        <v>503.89</v>
      </c>
      <c r="CM76" s="5">
        <v>507.92</v>
      </c>
      <c r="CN76" s="5">
        <v>429.2</v>
      </c>
      <c r="CO76" s="5">
        <v>30.53</v>
      </c>
      <c r="CP76" s="5">
        <v>555.20000000000005</v>
      </c>
      <c r="CQ76" s="5">
        <v>555.04999999999995</v>
      </c>
      <c r="CR76" s="5">
        <v>9.9</v>
      </c>
      <c r="CS76" s="5">
        <v>9.9</v>
      </c>
      <c r="CT76" s="5">
        <v>23.76</v>
      </c>
      <c r="CU76" s="5">
        <v>19.940000000000001</v>
      </c>
      <c r="CV76" s="5">
        <v>99.91</v>
      </c>
      <c r="CW76" s="5">
        <v>0.81946830732778242</v>
      </c>
      <c r="CX76" s="5">
        <v>3.1303689339921288</v>
      </c>
    </row>
    <row r="77" spans="1:102" x14ac:dyDescent="0.25">
      <c r="A77" s="5">
        <v>35</v>
      </c>
      <c r="B77" s="23">
        <v>41407.696332685184</v>
      </c>
      <c r="C77" s="5">
        <v>3</v>
      </c>
      <c r="D77" s="5">
        <v>11</v>
      </c>
      <c r="E77" s="5">
        <v>598</v>
      </c>
      <c r="F77" s="5">
        <v>598</v>
      </c>
      <c r="G77" s="5">
        <v>598</v>
      </c>
      <c r="H77" s="5">
        <v>82.6</v>
      </c>
      <c r="I77" s="5">
        <v>82.6</v>
      </c>
      <c r="J77" s="5">
        <v>1701</v>
      </c>
      <c r="K77" s="5">
        <v>54</v>
      </c>
      <c r="L77" s="5">
        <v>54</v>
      </c>
      <c r="M77" s="5">
        <v>0.12</v>
      </c>
      <c r="N77" s="5">
        <v>0.120046</v>
      </c>
      <c r="O77" s="5">
        <v>1</v>
      </c>
      <c r="P77" s="5">
        <v>1.0694870000000001</v>
      </c>
      <c r="Q77" s="5">
        <v>-3.24</v>
      </c>
      <c r="R77" s="5">
        <v>-3.2409669999999999</v>
      </c>
      <c r="S77" s="5">
        <v>178.53</v>
      </c>
      <c r="T77" s="5">
        <v>178.53129999999999</v>
      </c>
      <c r="U77" s="5">
        <v>3.5</v>
      </c>
      <c r="V77" s="5">
        <v>3.5</v>
      </c>
      <c r="W77" s="5">
        <v>300</v>
      </c>
      <c r="X77" s="5">
        <v>300</v>
      </c>
      <c r="Y77" s="5">
        <v>3.5</v>
      </c>
      <c r="Z77" s="5">
        <v>3.5</v>
      </c>
      <c r="AA77" s="5">
        <v>300</v>
      </c>
      <c r="AB77" s="5">
        <v>300</v>
      </c>
      <c r="AC77" s="5">
        <v>0</v>
      </c>
      <c r="AD77" s="5">
        <v>178.1592</v>
      </c>
      <c r="AE77" s="5">
        <v>0</v>
      </c>
      <c r="AF77" s="5">
        <v>151.53649999999999</v>
      </c>
      <c r="AG77" s="5">
        <v>40</v>
      </c>
      <c r="AH77" s="5">
        <v>0.17</v>
      </c>
      <c r="AI77" s="5">
        <v>92.91</v>
      </c>
      <c r="AJ77" s="5">
        <v>122.64</v>
      </c>
      <c r="AK77" s="5">
        <v>227.48</v>
      </c>
      <c r="AL77" s="5">
        <v>228.25</v>
      </c>
      <c r="AM77" s="5">
        <v>480.43</v>
      </c>
      <c r="AN77" s="5">
        <v>252.33070000000001</v>
      </c>
      <c r="AO77" s="5">
        <v>153.13999999999999</v>
      </c>
      <c r="AP77" s="5">
        <v>150.80000000000001</v>
      </c>
      <c r="AQ77" s="5">
        <v>169.48</v>
      </c>
      <c r="AR77" s="5">
        <v>692.35</v>
      </c>
      <c r="AS77" s="5">
        <v>74.34</v>
      </c>
      <c r="AT77" s="5">
        <v>63.64</v>
      </c>
      <c r="AU77" s="5">
        <v>104.17</v>
      </c>
      <c r="AV77" s="5">
        <v>116.79</v>
      </c>
      <c r="AW77" s="5">
        <v>4.5999999999999999E-2</v>
      </c>
      <c r="AX77" s="5">
        <v>0.62</v>
      </c>
      <c r="AY77" s="5">
        <v>0.57420000000000004</v>
      </c>
      <c r="AZ77" s="5">
        <v>51.69</v>
      </c>
      <c r="BA77" s="5">
        <v>21.21</v>
      </c>
      <c r="BB77" s="5">
        <v>7.34</v>
      </c>
      <c r="BC77" s="5">
        <v>1.0900000000000001</v>
      </c>
      <c r="BD77" s="5">
        <v>10.39</v>
      </c>
      <c r="BE77" s="5">
        <v>3.66</v>
      </c>
      <c r="BF77" s="5">
        <v>424.04</v>
      </c>
      <c r="BG77" s="5">
        <v>14.83</v>
      </c>
      <c r="BH77" s="5">
        <v>0.04</v>
      </c>
      <c r="BI77" s="5">
        <v>226.3</v>
      </c>
      <c r="BJ77" s="5">
        <v>28.7</v>
      </c>
      <c r="BK77" s="5">
        <v>83.8</v>
      </c>
      <c r="BL77" s="5">
        <v>120.57</v>
      </c>
      <c r="BM77" s="5">
        <v>2.71</v>
      </c>
      <c r="BN77" s="5">
        <v>29.99</v>
      </c>
      <c r="BO77" s="5">
        <v>35.840000000000003</v>
      </c>
      <c r="BP77" s="5">
        <v>716.36</v>
      </c>
      <c r="BQ77" s="5">
        <v>64.153390000000002</v>
      </c>
      <c r="BR77" s="5">
        <v>326.52390000000003</v>
      </c>
      <c r="BS77" s="5">
        <v>44.197249999999997</v>
      </c>
      <c r="BT77" s="5">
        <v>53.153530000000003</v>
      </c>
      <c r="BU77" s="5">
        <v>51.797449999999998</v>
      </c>
      <c r="BV77" s="5">
        <v>9.0495999999999993E-2</v>
      </c>
      <c r="BW77" s="5">
        <v>8.0193E-2</v>
      </c>
      <c r="BX77" s="5">
        <v>81.745829999999998</v>
      </c>
      <c r="BY77" s="5">
        <v>18.995360000000002</v>
      </c>
      <c r="BZ77" s="5">
        <v>0</v>
      </c>
      <c r="CA77" s="5">
        <v>0.93411699999999998</v>
      </c>
      <c r="CB77" s="5">
        <v>867.69500000000005</v>
      </c>
      <c r="CC77" s="5">
        <v>889.86770000000001</v>
      </c>
      <c r="CD77" s="5">
        <v>88.742869999999996</v>
      </c>
      <c r="CE77" s="5">
        <v>476.04</v>
      </c>
      <c r="CF77" s="5">
        <v>86.47</v>
      </c>
      <c r="CG77" s="5">
        <v>99.5</v>
      </c>
      <c r="CH77" s="5">
        <v>418.64</v>
      </c>
      <c r="CI77" s="5">
        <v>435.93</v>
      </c>
      <c r="CJ77" s="5">
        <v>446.87</v>
      </c>
      <c r="CK77" s="5">
        <v>472.88</v>
      </c>
      <c r="CL77" s="5">
        <v>471.55</v>
      </c>
      <c r="CM77" s="5">
        <v>475.78</v>
      </c>
      <c r="CN77" s="5">
        <v>330.81</v>
      </c>
      <c r="CO77" s="5">
        <v>29.22</v>
      </c>
      <c r="CP77" s="5">
        <v>594.79999999999995</v>
      </c>
      <c r="CQ77" s="5">
        <v>598.04999999999995</v>
      </c>
      <c r="CR77" s="5">
        <v>10.7</v>
      </c>
      <c r="CS77" s="5">
        <v>10.7</v>
      </c>
      <c r="CT77" s="5">
        <v>24.7</v>
      </c>
      <c r="CU77" s="5">
        <v>34.94</v>
      </c>
      <c r="CV77" s="5">
        <v>99.85</v>
      </c>
      <c r="CW77" s="5">
        <v>0.86933877879267218</v>
      </c>
      <c r="CX77" s="5">
        <v>3.1817799303811802</v>
      </c>
    </row>
    <row r="78" spans="1:102" x14ac:dyDescent="0.25">
      <c r="A78" s="5">
        <v>32</v>
      </c>
      <c r="B78" s="23">
        <v>41407.680193194443</v>
      </c>
      <c r="C78" s="5">
        <v>3</v>
      </c>
      <c r="D78" s="5">
        <v>8</v>
      </c>
      <c r="E78" s="5">
        <v>583</v>
      </c>
      <c r="F78" s="5">
        <v>583</v>
      </c>
      <c r="G78" s="5">
        <v>583.1</v>
      </c>
      <c r="H78" s="5">
        <v>82.6</v>
      </c>
      <c r="I78" s="5">
        <v>82.6</v>
      </c>
      <c r="J78" s="5">
        <v>1701</v>
      </c>
      <c r="K78" s="5">
        <v>36</v>
      </c>
      <c r="L78" s="5">
        <v>36</v>
      </c>
      <c r="M78" s="5">
        <v>0.1</v>
      </c>
      <c r="N78" s="5">
        <v>9.9888000000000005E-2</v>
      </c>
      <c r="O78" s="5">
        <v>1</v>
      </c>
      <c r="P78" s="5">
        <v>1.0694440000000001</v>
      </c>
      <c r="Q78" s="5">
        <v>-3.46</v>
      </c>
      <c r="R78" s="5">
        <v>-3.460693</v>
      </c>
      <c r="S78" s="5">
        <v>175.91</v>
      </c>
      <c r="T78" s="5">
        <v>175.90629999999999</v>
      </c>
      <c r="U78" s="5">
        <v>3.5</v>
      </c>
      <c r="V78" s="5">
        <v>3.5</v>
      </c>
      <c r="W78" s="5">
        <v>300</v>
      </c>
      <c r="X78" s="5">
        <v>300</v>
      </c>
      <c r="Y78" s="5">
        <v>3.5</v>
      </c>
      <c r="Z78" s="5">
        <v>3.5</v>
      </c>
      <c r="AA78" s="5">
        <v>300</v>
      </c>
      <c r="AB78" s="5">
        <v>300</v>
      </c>
      <c r="AC78" s="5">
        <v>0</v>
      </c>
      <c r="AD78" s="5">
        <v>142.8974</v>
      </c>
      <c r="AE78" s="5">
        <v>0</v>
      </c>
      <c r="AF78" s="5">
        <v>142.8974</v>
      </c>
      <c r="AG78" s="5">
        <v>40</v>
      </c>
      <c r="AH78" s="5">
        <v>0.17</v>
      </c>
      <c r="AI78" s="5">
        <v>79.83</v>
      </c>
      <c r="AJ78" s="5">
        <v>111.09</v>
      </c>
      <c r="AK78" s="5">
        <v>145.44999999999999</v>
      </c>
      <c r="AL78" s="5">
        <v>147.94999999999999</v>
      </c>
      <c r="AM78" s="5">
        <v>509.09</v>
      </c>
      <c r="AN78" s="5">
        <v>212.00120000000001</v>
      </c>
      <c r="AO78" s="5">
        <v>112.23</v>
      </c>
      <c r="AP78" s="5">
        <v>123.77</v>
      </c>
      <c r="AQ78" s="5">
        <v>127.56</v>
      </c>
      <c r="AR78" s="5">
        <v>637.33000000000004</v>
      </c>
      <c r="AS78" s="5">
        <v>33.22</v>
      </c>
      <c r="AT78" s="5">
        <v>59.26</v>
      </c>
      <c r="AU78" s="5">
        <v>98.57</v>
      </c>
      <c r="AV78" s="5">
        <v>114.65</v>
      </c>
      <c r="AW78" s="5">
        <v>5.2999999999999999E-2</v>
      </c>
      <c r="AX78" s="5">
        <v>0.71</v>
      </c>
      <c r="AY78" s="5">
        <v>0.60199999999999998</v>
      </c>
      <c r="AZ78" s="5">
        <v>48.7</v>
      </c>
      <c r="BA78" s="5">
        <v>24.05</v>
      </c>
      <c r="BB78" s="5">
        <v>7.53</v>
      </c>
      <c r="BC78" s="5">
        <v>0.63</v>
      </c>
      <c r="BD78" s="5">
        <v>10.050000000000001</v>
      </c>
      <c r="BE78" s="5">
        <v>4.82</v>
      </c>
      <c r="BF78" s="5">
        <v>594.34</v>
      </c>
      <c r="BG78" s="5">
        <v>8.36</v>
      </c>
      <c r="BH78" s="5">
        <v>0.05</v>
      </c>
      <c r="BI78" s="5">
        <v>221.7</v>
      </c>
      <c r="BJ78" s="5">
        <v>27.7</v>
      </c>
      <c r="BK78" s="5">
        <v>85.7</v>
      </c>
      <c r="BL78" s="5">
        <v>58.21</v>
      </c>
      <c r="BM78" s="5">
        <v>2.27</v>
      </c>
      <c r="BN78" s="5">
        <v>29.56</v>
      </c>
      <c r="BO78" s="5">
        <v>36.08</v>
      </c>
      <c r="BP78" s="5">
        <v>660.73</v>
      </c>
      <c r="BQ78" s="5">
        <v>60.194009999999999</v>
      </c>
      <c r="BR78" s="5">
        <v>248.20519999999999</v>
      </c>
      <c r="BS78" s="5">
        <v>45.019840000000002</v>
      </c>
      <c r="BT78" s="5">
        <v>47.154989999999998</v>
      </c>
      <c r="BU78" s="5">
        <v>46.326459999999997</v>
      </c>
      <c r="BV78" s="5">
        <v>9.6480999999999997E-2</v>
      </c>
      <c r="BW78" s="5">
        <v>9.0014999999999998E-2</v>
      </c>
      <c r="BX78" s="5">
        <v>76.957449999999994</v>
      </c>
      <c r="BY78" s="5">
        <v>18.995360000000002</v>
      </c>
      <c r="BZ78" s="5">
        <v>0</v>
      </c>
      <c r="CA78" s="5">
        <v>0.93674900000000005</v>
      </c>
      <c r="CB78" s="5">
        <v>739.73230000000001</v>
      </c>
      <c r="CC78" s="5">
        <v>760.70399999999995</v>
      </c>
      <c r="CD78" s="5">
        <v>83.955470000000005</v>
      </c>
      <c r="CE78" s="5">
        <v>438.23</v>
      </c>
      <c r="CF78" s="5">
        <v>80.680000000000007</v>
      </c>
      <c r="CG78" s="5">
        <v>93.09</v>
      </c>
      <c r="CH78" s="5">
        <v>419.42</v>
      </c>
      <c r="CI78" s="5">
        <v>442.02</v>
      </c>
      <c r="CJ78" s="5">
        <v>457.78</v>
      </c>
      <c r="CK78" s="5">
        <v>487.89</v>
      </c>
      <c r="CL78" s="5">
        <v>481.48</v>
      </c>
      <c r="CM78" s="5">
        <v>482.6</v>
      </c>
      <c r="CN78" s="5">
        <v>383</v>
      </c>
      <c r="CO78" s="5">
        <v>26.73</v>
      </c>
      <c r="CP78" s="5">
        <v>579.79999999999995</v>
      </c>
      <c r="CQ78" s="5">
        <v>583.04999999999995</v>
      </c>
      <c r="CR78" s="5">
        <v>10.4</v>
      </c>
      <c r="CS78" s="5">
        <v>10.4</v>
      </c>
      <c r="CT78" s="5">
        <v>25.08</v>
      </c>
      <c r="CU78" s="5">
        <v>36.44</v>
      </c>
      <c r="CV78" s="5">
        <v>99.87</v>
      </c>
      <c r="CW78" s="5">
        <v>0.87164976341937683</v>
      </c>
      <c r="CX78" s="5">
        <v>4.201351859681397</v>
      </c>
    </row>
    <row r="79" spans="1:102" x14ac:dyDescent="0.25">
      <c r="A79" s="5">
        <v>7</v>
      </c>
      <c r="B79" s="23">
        <v>41408.465562430552</v>
      </c>
      <c r="C79" s="5">
        <v>3</v>
      </c>
      <c r="D79" s="5">
        <v>29</v>
      </c>
      <c r="E79" s="5">
        <v>680</v>
      </c>
      <c r="F79" s="5">
        <v>680</v>
      </c>
      <c r="G79" s="5">
        <v>680.1</v>
      </c>
      <c r="H79" s="5">
        <v>82.6</v>
      </c>
      <c r="I79" s="5">
        <v>82.6</v>
      </c>
      <c r="J79" s="5">
        <v>1701</v>
      </c>
      <c r="K79" s="5">
        <v>22</v>
      </c>
      <c r="L79" s="5">
        <v>22</v>
      </c>
      <c r="M79" s="5">
        <v>0.1</v>
      </c>
      <c r="N79" s="5">
        <v>9.9995000000000001E-2</v>
      </c>
      <c r="O79" s="5">
        <v>1</v>
      </c>
      <c r="P79" s="5">
        <v>1.069439</v>
      </c>
      <c r="Q79" s="5">
        <v>-2.97</v>
      </c>
      <c r="R79" s="5">
        <v>-2.9663089999999999</v>
      </c>
      <c r="S79" s="5">
        <v>174.62</v>
      </c>
      <c r="T79" s="5">
        <v>174.625</v>
      </c>
      <c r="U79" s="5">
        <v>3.5</v>
      </c>
      <c r="V79" s="5">
        <v>3.5</v>
      </c>
      <c r="W79" s="5">
        <v>300</v>
      </c>
      <c r="X79" s="5">
        <v>300</v>
      </c>
      <c r="Y79" s="5">
        <v>3.5</v>
      </c>
      <c r="Z79" s="5">
        <v>3.5</v>
      </c>
      <c r="AA79" s="5">
        <v>300</v>
      </c>
      <c r="AB79" s="5">
        <v>300</v>
      </c>
      <c r="AC79" s="5">
        <v>0</v>
      </c>
      <c r="AD79" s="5">
        <v>136.53620000000001</v>
      </c>
      <c r="AE79" s="5">
        <v>0</v>
      </c>
      <c r="AF79" s="5">
        <v>136.53620000000001</v>
      </c>
      <c r="AG79" s="5">
        <v>40</v>
      </c>
      <c r="AH79" s="5">
        <v>0.17</v>
      </c>
      <c r="AI79" s="5">
        <v>76.819999999999993</v>
      </c>
      <c r="AJ79" s="5">
        <v>109.06</v>
      </c>
      <c r="AK79" s="5">
        <v>124.77</v>
      </c>
      <c r="AL79" s="5">
        <v>127.89</v>
      </c>
      <c r="AM79" s="5">
        <v>592.58000000000004</v>
      </c>
      <c r="AN79" s="5">
        <v>203.14609999999999</v>
      </c>
      <c r="AO79" s="5">
        <v>103.6</v>
      </c>
      <c r="AP79" s="5">
        <v>120.88</v>
      </c>
      <c r="AQ79" s="5">
        <v>119.96</v>
      </c>
      <c r="AR79" s="5">
        <v>629.79999999999995</v>
      </c>
      <c r="AS79" s="5">
        <v>21.17</v>
      </c>
      <c r="AT79" s="5">
        <v>58.12</v>
      </c>
      <c r="AU79" s="5">
        <v>98.99</v>
      </c>
      <c r="AV79" s="5">
        <v>115.17</v>
      </c>
      <c r="AW79" s="5">
        <v>8.1000000000000003E-2</v>
      </c>
      <c r="AX79" s="5">
        <v>1.0900000000000001</v>
      </c>
      <c r="AY79" s="5">
        <v>10000000000</v>
      </c>
      <c r="AZ79" s="5">
        <v>56.11</v>
      </c>
      <c r="BA79" s="5">
        <v>23.37</v>
      </c>
      <c r="BB79" s="5">
        <v>8.99</v>
      </c>
      <c r="BC79" s="5">
        <v>0.53</v>
      </c>
      <c r="BD79" s="5">
        <v>8.14</v>
      </c>
      <c r="BE79" s="5">
        <v>4.9800000000000004</v>
      </c>
      <c r="BF79" s="5">
        <v>744.92</v>
      </c>
      <c r="BG79" s="5">
        <v>5.92</v>
      </c>
      <c r="BH79" s="5">
        <v>10000000000</v>
      </c>
      <c r="BI79" s="5">
        <v>220.5</v>
      </c>
      <c r="BJ79" s="5">
        <v>23.6</v>
      </c>
      <c r="BK79" s="5">
        <v>86.1</v>
      </c>
      <c r="BL79" s="5">
        <v>39.64</v>
      </c>
      <c r="BM79" s="5">
        <v>2.17</v>
      </c>
      <c r="BN79" s="5">
        <v>29.46</v>
      </c>
      <c r="BO79" s="5">
        <v>37.270000000000003</v>
      </c>
      <c r="BP79" s="5">
        <v>656.45</v>
      </c>
      <c r="BQ79" s="5">
        <v>59.266039999999997</v>
      </c>
      <c r="BR79" s="5">
        <v>228.25040000000001</v>
      </c>
      <c r="BS79" s="5">
        <v>43.491500000000002</v>
      </c>
      <c r="BT79" s="5">
        <v>38.302289999999999</v>
      </c>
      <c r="BU79" s="5">
        <v>37.947139999999997</v>
      </c>
      <c r="BV79" s="5">
        <v>9.2647999999999994E-2</v>
      </c>
      <c r="BW79" s="5">
        <v>9.2563999999999994E-2</v>
      </c>
      <c r="BX79" s="5">
        <v>91.110150000000004</v>
      </c>
      <c r="BY79" s="5">
        <v>18.995360000000002</v>
      </c>
      <c r="BZ79" s="5">
        <v>0</v>
      </c>
      <c r="CA79" s="5">
        <v>0.92896800000000002</v>
      </c>
      <c r="CB79" s="5">
        <v>704.93960000000004</v>
      </c>
      <c r="CC79" s="5">
        <v>729.46270000000004</v>
      </c>
      <c r="CD79" s="5">
        <v>98.116299999999995</v>
      </c>
      <c r="CE79" s="5">
        <v>446.12</v>
      </c>
      <c r="CF79" s="5">
        <v>81.430000000000007</v>
      </c>
      <c r="CG79" s="5">
        <v>96.12</v>
      </c>
      <c r="CH79" s="5">
        <v>482.31</v>
      </c>
      <c r="CI79" s="5">
        <v>508.2</v>
      </c>
      <c r="CJ79" s="5">
        <v>525.20000000000005</v>
      </c>
      <c r="CK79" s="5">
        <v>555.89</v>
      </c>
      <c r="CL79" s="5">
        <v>541.66</v>
      </c>
      <c r="CM79" s="5">
        <v>532.19000000000005</v>
      </c>
      <c r="CN79" s="5">
        <v>466.95</v>
      </c>
      <c r="CO79" s="5">
        <v>28.49</v>
      </c>
      <c r="CP79" s="5">
        <v>676.9</v>
      </c>
      <c r="CQ79" s="5">
        <v>680.04</v>
      </c>
      <c r="CR79" s="5">
        <v>12.1</v>
      </c>
      <c r="CS79" s="5">
        <v>12.2</v>
      </c>
      <c r="CT79" s="5">
        <v>26.59</v>
      </c>
      <c r="CU79" s="5">
        <v>33.9</v>
      </c>
      <c r="CV79" s="5">
        <v>99.38</v>
      </c>
      <c r="CW79" s="5">
        <v>0.87287193775538885</v>
      </c>
      <c r="CX79" s="5">
        <v>4.3469022500218371</v>
      </c>
    </row>
    <row r="80" spans="1:102" x14ac:dyDescent="0.25">
      <c r="A80" s="5">
        <v>43</v>
      </c>
      <c r="B80" s="23">
        <v>41407.742916805553</v>
      </c>
      <c r="C80" s="5">
        <v>3</v>
      </c>
      <c r="D80" s="5">
        <v>18</v>
      </c>
      <c r="E80" s="5">
        <v>630</v>
      </c>
      <c r="F80" s="5">
        <v>630</v>
      </c>
      <c r="G80" s="5">
        <v>630</v>
      </c>
      <c r="H80" s="5">
        <v>82.6</v>
      </c>
      <c r="I80" s="5">
        <v>82.6</v>
      </c>
      <c r="J80" s="5">
        <v>1701</v>
      </c>
      <c r="K80" s="5">
        <v>20</v>
      </c>
      <c r="L80" s="5">
        <v>20</v>
      </c>
      <c r="M80" s="5">
        <v>0.22</v>
      </c>
      <c r="N80" s="5">
        <v>0.21998400000000001</v>
      </c>
      <c r="O80" s="5">
        <v>1</v>
      </c>
      <c r="P80" s="5">
        <v>1.069412</v>
      </c>
      <c r="Q80" s="5">
        <v>-3.11</v>
      </c>
      <c r="R80" s="5">
        <v>-3.1091310000000001</v>
      </c>
      <c r="S80" s="5">
        <v>177.27</v>
      </c>
      <c r="T80" s="5">
        <v>177.26560000000001</v>
      </c>
      <c r="U80" s="5">
        <v>3.5</v>
      </c>
      <c r="V80" s="5">
        <v>3.5</v>
      </c>
      <c r="W80" s="5">
        <v>300</v>
      </c>
      <c r="X80" s="5">
        <v>300</v>
      </c>
      <c r="Y80" s="5">
        <v>3.5</v>
      </c>
      <c r="Z80" s="5">
        <v>3.5</v>
      </c>
      <c r="AA80" s="5">
        <v>300</v>
      </c>
      <c r="AB80" s="5">
        <v>300</v>
      </c>
      <c r="AC80" s="5">
        <v>0</v>
      </c>
      <c r="AD80" s="5">
        <v>125.5997</v>
      </c>
      <c r="AE80" s="5">
        <v>0</v>
      </c>
      <c r="AF80" s="5">
        <v>125.5997</v>
      </c>
      <c r="AG80" s="5">
        <v>40</v>
      </c>
      <c r="AH80" s="5">
        <v>0.17</v>
      </c>
      <c r="AI80" s="5">
        <v>71.92</v>
      </c>
      <c r="AJ80" s="5">
        <v>100.91</v>
      </c>
      <c r="AK80" s="5">
        <v>101.11</v>
      </c>
      <c r="AL80" s="5">
        <v>103.87</v>
      </c>
      <c r="AM80" s="5">
        <v>591.09</v>
      </c>
      <c r="AN80" s="5">
        <v>188.8434</v>
      </c>
      <c r="AO80" s="5">
        <v>89.05</v>
      </c>
      <c r="AP80" s="5">
        <v>106.77</v>
      </c>
      <c r="AQ80" s="5">
        <v>102.58</v>
      </c>
      <c r="AR80" s="5">
        <v>564.02</v>
      </c>
      <c r="AS80" s="5">
        <v>12.06</v>
      </c>
      <c r="AT80" s="5">
        <v>60.18</v>
      </c>
      <c r="AU80" s="5">
        <v>97.59</v>
      </c>
      <c r="AV80" s="5">
        <v>113.13</v>
      </c>
      <c r="AW80" s="5">
        <v>0.13900000000000001</v>
      </c>
      <c r="AX80" s="5">
        <v>1.9</v>
      </c>
      <c r="AY80" s="5">
        <v>10000000000</v>
      </c>
      <c r="AZ80" s="5">
        <v>82.55</v>
      </c>
      <c r="BA80" s="5">
        <v>26.26</v>
      </c>
      <c r="BB80" s="5">
        <v>9.27</v>
      </c>
      <c r="BC80" s="5">
        <v>0.86</v>
      </c>
      <c r="BD80" s="5">
        <v>7.57</v>
      </c>
      <c r="BE80" s="5">
        <v>3.77</v>
      </c>
      <c r="BF80" s="5">
        <v>586.53</v>
      </c>
      <c r="BG80" s="5">
        <v>9.26</v>
      </c>
      <c r="BH80" s="5">
        <v>10000000000</v>
      </c>
      <c r="BI80" s="5">
        <v>221.5</v>
      </c>
      <c r="BJ80" s="5">
        <v>22.7</v>
      </c>
      <c r="BK80" s="5">
        <v>85.6</v>
      </c>
      <c r="BL80" s="5">
        <v>57.53</v>
      </c>
      <c r="BM80" s="5">
        <v>2.0299999999999998</v>
      </c>
      <c r="BN80" s="5">
        <v>29.77</v>
      </c>
      <c r="BO80" s="5">
        <v>37.58</v>
      </c>
      <c r="BP80" s="5">
        <v>588.83000000000004</v>
      </c>
      <c r="BQ80" s="5">
        <v>61.11448</v>
      </c>
      <c r="BR80" s="5">
        <v>203.03299999999999</v>
      </c>
      <c r="BS80" s="5">
        <v>43.869300000000003</v>
      </c>
      <c r="BT80" s="5">
        <v>38.088099999999997</v>
      </c>
      <c r="BU80" s="5">
        <v>37.75159</v>
      </c>
      <c r="BV80" s="5">
        <v>8.9778999999999998E-2</v>
      </c>
      <c r="BW80" s="5">
        <v>9.0176000000000006E-2</v>
      </c>
      <c r="BX80" s="5">
        <v>84.860780000000005</v>
      </c>
      <c r="BY80" s="5">
        <v>18.995360000000002</v>
      </c>
      <c r="BZ80" s="5">
        <v>0</v>
      </c>
      <c r="CA80" s="5">
        <v>0.93240699999999999</v>
      </c>
      <c r="CB80" s="5">
        <v>654.08209999999997</v>
      </c>
      <c r="CC80" s="5">
        <v>677.03689999999995</v>
      </c>
      <c r="CD80" s="5">
        <v>91.857240000000004</v>
      </c>
      <c r="CE80" s="5">
        <v>497.45</v>
      </c>
      <c r="CF80" s="5">
        <v>84.21</v>
      </c>
      <c r="CG80" s="5">
        <v>95.37</v>
      </c>
      <c r="CH80" s="5">
        <v>472.73</v>
      </c>
      <c r="CI80" s="5">
        <v>503.06</v>
      </c>
      <c r="CJ80" s="5">
        <v>515.83000000000004</v>
      </c>
      <c r="CK80" s="5">
        <v>558.55999999999995</v>
      </c>
      <c r="CL80" s="5">
        <v>540.21</v>
      </c>
      <c r="CM80" s="5">
        <v>538.91</v>
      </c>
      <c r="CN80" s="5">
        <v>474.77</v>
      </c>
      <c r="CO80" s="5">
        <v>27.31</v>
      </c>
      <c r="CP80" s="5">
        <v>626.6</v>
      </c>
      <c r="CQ80" s="5">
        <v>630.04</v>
      </c>
      <c r="CR80" s="5">
        <v>11.2</v>
      </c>
      <c r="CS80" s="5">
        <v>11.3</v>
      </c>
      <c r="CT80" s="5">
        <v>25.75</v>
      </c>
      <c r="CU80" s="5">
        <v>37.71</v>
      </c>
      <c r="CV80" s="5">
        <v>99.82</v>
      </c>
      <c r="CW80" s="5">
        <v>0.86965315520072062</v>
      </c>
      <c r="CX80" s="5">
        <v>3.2785923951067169</v>
      </c>
    </row>
    <row r="81" spans="1:102" x14ac:dyDescent="0.25">
      <c r="A81" s="5">
        <v>2</v>
      </c>
      <c r="B81" s="23">
        <v>41408.438450381946</v>
      </c>
      <c r="C81" s="5">
        <v>3</v>
      </c>
      <c r="D81" s="5">
        <v>24</v>
      </c>
      <c r="E81" s="5">
        <v>655</v>
      </c>
      <c r="F81" s="5">
        <v>655</v>
      </c>
      <c r="G81" s="5">
        <v>655</v>
      </c>
      <c r="H81" s="5">
        <v>82.6</v>
      </c>
      <c r="I81" s="5">
        <v>82.6</v>
      </c>
      <c r="J81" s="5">
        <v>1701</v>
      </c>
      <c r="K81" s="5">
        <v>61</v>
      </c>
      <c r="L81" s="5">
        <v>61</v>
      </c>
      <c r="M81" s="5">
        <v>0.22</v>
      </c>
      <c r="N81" s="5">
        <v>0.219968</v>
      </c>
      <c r="O81" s="5">
        <v>1</v>
      </c>
      <c r="P81" s="5">
        <v>1.06928</v>
      </c>
      <c r="Q81" s="5">
        <v>-3.04</v>
      </c>
      <c r="R81" s="5">
        <v>-3.0432130000000002</v>
      </c>
      <c r="S81" s="5">
        <v>175.94</v>
      </c>
      <c r="T81" s="5">
        <v>175.9375</v>
      </c>
      <c r="U81" s="5">
        <v>3.5</v>
      </c>
      <c r="V81" s="5">
        <v>3.5</v>
      </c>
      <c r="W81" s="5">
        <v>300</v>
      </c>
      <c r="X81" s="5">
        <v>300</v>
      </c>
      <c r="Y81" s="5">
        <v>3.5</v>
      </c>
      <c r="Z81" s="5">
        <v>3.5</v>
      </c>
      <c r="AA81" s="5">
        <v>300</v>
      </c>
      <c r="AB81" s="5">
        <v>300</v>
      </c>
      <c r="AC81" s="5">
        <v>0</v>
      </c>
      <c r="AD81" s="5">
        <v>176.73089999999999</v>
      </c>
      <c r="AE81" s="5">
        <v>0</v>
      </c>
      <c r="AF81" s="5">
        <v>151.53450000000001</v>
      </c>
      <c r="AG81" s="5">
        <v>40</v>
      </c>
      <c r="AH81" s="5">
        <v>0.17</v>
      </c>
      <c r="AI81" s="5">
        <v>93.59</v>
      </c>
      <c r="AJ81" s="5">
        <v>123.66</v>
      </c>
      <c r="AK81" s="5">
        <v>240.33</v>
      </c>
      <c r="AL81" s="5">
        <v>237.41</v>
      </c>
      <c r="AM81" s="5">
        <v>545.26</v>
      </c>
      <c r="AN81" s="5">
        <v>259.0641</v>
      </c>
      <c r="AO81" s="5">
        <v>161.24</v>
      </c>
      <c r="AP81" s="5">
        <v>170.38</v>
      </c>
      <c r="AQ81" s="5">
        <v>176.07</v>
      </c>
      <c r="AR81" s="5">
        <v>611.79</v>
      </c>
      <c r="AS81" s="5">
        <v>79.09</v>
      </c>
      <c r="AT81" s="5">
        <v>77.75</v>
      </c>
      <c r="AU81" s="5">
        <v>129.16999999999999</v>
      </c>
      <c r="AV81" s="5">
        <v>115.21</v>
      </c>
      <c r="AW81" s="5">
        <v>0.65200000000000002</v>
      </c>
      <c r="AX81" s="5">
        <v>10.45</v>
      </c>
      <c r="AY81" s="5">
        <v>10000000000</v>
      </c>
      <c r="AZ81" s="5">
        <v>148.41999999999999</v>
      </c>
      <c r="BA81" s="5">
        <v>23.82</v>
      </c>
      <c r="BB81" s="5">
        <v>9.5299999999999994</v>
      </c>
      <c r="BC81" s="5">
        <v>2.54</v>
      </c>
      <c r="BD81" s="5">
        <v>7.35</v>
      </c>
      <c r="BE81" s="5">
        <v>1</v>
      </c>
      <c r="BF81" s="5">
        <v>149.16</v>
      </c>
      <c r="BG81" s="5">
        <v>26.61</v>
      </c>
      <c r="BH81" s="5">
        <v>10000000000</v>
      </c>
      <c r="BI81" s="5">
        <v>231.9</v>
      </c>
      <c r="BJ81" s="5">
        <v>22.6</v>
      </c>
      <c r="BK81" s="5">
        <v>83.4</v>
      </c>
      <c r="BL81" s="5">
        <v>221.84</v>
      </c>
      <c r="BM81" s="5">
        <v>2.79</v>
      </c>
      <c r="BN81" s="5">
        <v>31.27</v>
      </c>
      <c r="BO81" s="5">
        <v>37.61</v>
      </c>
      <c r="BP81" s="5">
        <v>639.02</v>
      </c>
      <c r="BQ81" s="5">
        <v>75.807029999999997</v>
      </c>
      <c r="BR81" s="5">
        <v>329.93369999999999</v>
      </c>
      <c r="BS81" s="5">
        <v>43.392429999999997</v>
      </c>
      <c r="BT81" s="5">
        <v>46.110660000000003</v>
      </c>
      <c r="BU81" s="5">
        <v>45.256169999999997</v>
      </c>
      <c r="BV81" s="5">
        <v>9.3423999999999993E-2</v>
      </c>
      <c r="BW81" s="5">
        <v>8.8158E-2</v>
      </c>
      <c r="BX81" s="5">
        <v>92.750990000000002</v>
      </c>
      <c r="BY81" s="5">
        <v>18.995360000000002</v>
      </c>
      <c r="BZ81" s="5">
        <v>0</v>
      </c>
      <c r="CA81" s="5">
        <v>0.92808299999999999</v>
      </c>
      <c r="CB81" s="5">
        <v>855.5598</v>
      </c>
      <c r="CC81" s="5">
        <v>880.49440000000004</v>
      </c>
      <c r="CD81" s="5">
        <v>99.757450000000006</v>
      </c>
      <c r="CE81" s="5">
        <v>551.92999999999995</v>
      </c>
      <c r="CF81" s="5">
        <v>107.83</v>
      </c>
      <c r="CG81" s="5">
        <v>125.44</v>
      </c>
      <c r="CH81" s="5">
        <v>471.64</v>
      </c>
      <c r="CI81" s="5">
        <v>492.45</v>
      </c>
      <c r="CJ81" s="5">
        <v>507.5</v>
      </c>
      <c r="CK81" s="5">
        <v>535.37</v>
      </c>
      <c r="CL81" s="5">
        <v>535.98</v>
      </c>
      <c r="CM81" s="5">
        <v>535.26</v>
      </c>
      <c r="CN81" s="5">
        <v>378.93</v>
      </c>
      <c r="CO81" s="5">
        <v>31.95</v>
      </c>
      <c r="CP81" s="5">
        <v>655.20000000000005</v>
      </c>
      <c r="CQ81" s="5">
        <v>655.04999999999995</v>
      </c>
      <c r="CR81" s="5">
        <v>11.7</v>
      </c>
      <c r="CS81" s="5">
        <v>11.7</v>
      </c>
      <c r="CT81" s="5">
        <v>24.48</v>
      </c>
      <c r="CU81" s="5">
        <v>19.739999999999998</v>
      </c>
      <c r="CV81" s="5">
        <v>99.49</v>
      </c>
      <c r="CW81" s="5">
        <v>0.8205019689607721</v>
      </c>
      <c r="CX81" s="5">
        <v>0.8205019689607721</v>
      </c>
    </row>
    <row r="82" spans="1:102" x14ac:dyDescent="0.25">
      <c r="A82" s="5">
        <v>28</v>
      </c>
      <c r="B82" s="23">
        <v>41407.658501562502</v>
      </c>
      <c r="C82" s="5">
        <v>3</v>
      </c>
      <c r="D82" s="5">
        <v>4</v>
      </c>
      <c r="E82" s="5">
        <v>561</v>
      </c>
      <c r="F82" s="5">
        <v>561</v>
      </c>
      <c r="G82" s="5">
        <v>561</v>
      </c>
      <c r="H82" s="5">
        <v>82.6</v>
      </c>
      <c r="I82" s="5">
        <v>82.6</v>
      </c>
      <c r="J82" s="5">
        <v>1701</v>
      </c>
      <c r="K82" s="5">
        <v>63</v>
      </c>
      <c r="L82" s="5">
        <v>63</v>
      </c>
      <c r="M82" s="5">
        <v>0.1</v>
      </c>
      <c r="N82" s="5">
        <v>9.9937999999999999E-2</v>
      </c>
      <c r="O82" s="5">
        <v>1</v>
      </c>
      <c r="P82" s="5">
        <v>1.0694140000000001</v>
      </c>
      <c r="Q82" s="5">
        <v>-3.78</v>
      </c>
      <c r="R82" s="5">
        <v>-3.7792970000000001</v>
      </c>
      <c r="S82" s="5">
        <v>172.06</v>
      </c>
      <c r="T82" s="5">
        <v>172.0625</v>
      </c>
      <c r="U82" s="5">
        <v>3.5</v>
      </c>
      <c r="V82" s="5">
        <v>3.5</v>
      </c>
      <c r="W82" s="5">
        <v>300</v>
      </c>
      <c r="X82" s="5">
        <v>300</v>
      </c>
      <c r="Y82" s="5">
        <v>3.5</v>
      </c>
      <c r="Z82" s="5">
        <v>3.5</v>
      </c>
      <c r="AA82" s="5">
        <v>300</v>
      </c>
      <c r="AB82" s="5">
        <v>300</v>
      </c>
      <c r="AC82" s="5">
        <v>0</v>
      </c>
      <c r="AD82" s="5">
        <v>189.90090000000001</v>
      </c>
      <c r="AE82" s="5">
        <v>0</v>
      </c>
      <c r="AF82" s="5">
        <v>151.53489999999999</v>
      </c>
      <c r="AG82" s="5">
        <v>40</v>
      </c>
      <c r="AH82" s="5">
        <v>0.17</v>
      </c>
      <c r="AI82" s="5">
        <v>100.41</v>
      </c>
      <c r="AJ82" s="5">
        <v>129.99</v>
      </c>
      <c r="AK82" s="5">
        <v>311.77</v>
      </c>
      <c r="AL82" s="5">
        <v>311.92</v>
      </c>
      <c r="AM82" s="5">
        <v>466.85</v>
      </c>
      <c r="AN82" s="5">
        <v>274.54090000000002</v>
      </c>
      <c r="AO82" s="5">
        <v>175.59</v>
      </c>
      <c r="AP82" s="5">
        <v>168.5</v>
      </c>
      <c r="AQ82" s="5">
        <v>192.77</v>
      </c>
      <c r="AR82" s="5">
        <v>738.09</v>
      </c>
      <c r="AS82" s="5">
        <v>136.18</v>
      </c>
      <c r="AT82" s="5">
        <v>64.349999999999994</v>
      </c>
      <c r="AU82" s="5">
        <v>105.4</v>
      </c>
      <c r="AV82" s="5">
        <v>122.68</v>
      </c>
      <c r="AW82" s="5">
        <v>4.2000000000000003E-2</v>
      </c>
      <c r="AX82" s="5">
        <v>0.56000000000000005</v>
      </c>
      <c r="AY82" s="5">
        <v>0.52939999999999998</v>
      </c>
      <c r="AZ82" s="5">
        <v>56.75</v>
      </c>
      <c r="BA82" s="5">
        <v>20.100000000000001</v>
      </c>
      <c r="BB82" s="5">
        <v>6.87</v>
      </c>
      <c r="BC82" s="5">
        <v>1.08</v>
      </c>
      <c r="BD82" s="5">
        <v>11.02</v>
      </c>
      <c r="BE82" s="5">
        <v>3.69</v>
      </c>
      <c r="BF82" s="5">
        <v>372.13</v>
      </c>
      <c r="BG82" s="5">
        <v>15.76</v>
      </c>
      <c r="BH82" s="5">
        <v>0.04</v>
      </c>
      <c r="BI82" s="5">
        <v>240.6</v>
      </c>
      <c r="BJ82" s="5">
        <v>30.7</v>
      </c>
      <c r="BK82" s="5">
        <v>83.2</v>
      </c>
      <c r="BL82" s="5">
        <v>138.11000000000001</v>
      </c>
      <c r="BM82" s="5">
        <v>2.94</v>
      </c>
      <c r="BN82" s="5">
        <v>29.98</v>
      </c>
      <c r="BO82" s="5">
        <v>35.4</v>
      </c>
      <c r="BP82" s="5">
        <v>762.41</v>
      </c>
      <c r="BQ82" s="5">
        <v>64.717089999999999</v>
      </c>
      <c r="BR82" s="5">
        <v>411.5942</v>
      </c>
      <c r="BS82" s="5">
        <v>44.342680000000001</v>
      </c>
      <c r="BT82" s="5">
        <v>59.201979999999999</v>
      </c>
      <c r="BU82" s="5">
        <v>56.755099999999999</v>
      </c>
      <c r="BV82" s="5">
        <v>9.1552999999999995E-2</v>
      </c>
      <c r="BW82" s="5">
        <v>6.9261000000000003E-2</v>
      </c>
      <c r="BX82" s="5">
        <v>80.907970000000006</v>
      </c>
      <c r="BY82" s="5">
        <v>18.995360000000002</v>
      </c>
      <c r="BZ82" s="5">
        <v>0</v>
      </c>
      <c r="CA82" s="5">
        <v>0.93457900000000005</v>
      </c>
      <c r="CB82" s="5">
        <v>942.99130000000002</v>
      </c>
      <c r="CC82" s="5">
        <v>964.95119999999997</v>
      </c>
      <c r="CD82" s="5">
        <v>87.902339999999995</v>
      </c>
      <c r="CE82" s="5">
        <v>468.1</v>
      </c>
      <c r="CF82" s="5">
        <v>88.96</v>
      </c>
      <c r="CG82" s="5">
        <v>100.51</v>
      </c>
      <c r="CH82" s="5">
        <v>430.54</v>
      </c>
      <c r="CI82" s="5">
        <v>438.59</v>
      </c>
      <c r="CJ82" s="5">
        <v>444.35</v>
      </c>
      <c r="CK82" s="5">
        <v>461.18</v>
      </c>
      <c r="CL82" s="5">
        <v>465.05</v>
      </c>
      <c r="CM82" s="5">
        <v>468.29</v>
      </c>
      <c r="CN82" s="5">
        <v>306.52</v>
      </c>
      <c r="CO82" s="5">
        <v>29.09</v>
      </c>
      <c r="CP82" s="5">
        <v>558.4</v>
      </c>
      <c r="CQ82" s="5">
        <v>561.04999999999995</v>
      </c>
      <c r="CR82" s="5">
        <v>10</v>
      </c>
      <c r="CS82" s="5">
        <v>10.1</v>
      </c>
      <c r="CT82" s="5">
        <v>24.76</v>
      </c>
      <c r="CU82" s="5">
        <v>37.18</v>
      </c>
      <c r="CV82" s="5">
        <v>99.92</v>
      </c>
      <c r="CW82" s="5">
        <v>0.87856551913376002</v>
      </c>
      <c r="CX82" s="5">
        <v>3.2419067656035745</v>
      </c>
    </row>
    <row r="83" spans="1:102" x14ac:dyDescent="0.25">
      <c r="A83" s="5">
        <v>16</v>
      </c>
      <c r="B83" s="23">
        <v>41408.522781886575</v>
      </c>
      <c r="C83" s="5">
        <v>3</v>
      </c>
      <c r="D83" s="5">
        <v>37</v>
      </c>
      <c r="E83" s="5">
        <v>711</v>
      </c>
      <c r="F83" s="5">
        <v>711</v>
      </c>
      <c r="G83" s="5">
        <v>711</v>
      </c>
      <c r="H83" s="5">
        <v>82.6</v>
      </c>
      <c r="I83" s="5">
        <v>82.6</v>
      </c>
      <c r="J83" s="5">
        <v>1701</v>
      </c>
      <c r="K83" s="5">
        <v>52</v>
      </c>
      <c r="L83" s="5">
        <v>52</v>
      </c>
      <c r="M83" s="5">
        <v>0.21</v>
      </c>
      <c r="N83" s="5">
        <v>0.21004400000000001</v>
      </c>
      <c r="O83" s="5">
        <v>1</v>
      </c>
      <c r="P83" s="5">
        <v>1.0695030000000001</v>
      </c>
      <c r="Q83" s="5">
        <v>-2.48</v>
      </c>
      <c r="R83" s="5">
        <v>-2.48291</v>
      </c>
      <c r="S83" s="5">
        <v>173.9</v>
      </c>
      <c r="T83" s="5">
        <v>173.90629999999999</v>
      </c>
      <c r="U83" s="5">
        <v>3.5</v>
      </c>
      <c r="V83" s="5">
        <v>3.5</v>
      </c>
      <c r="W83" s="5">
        <v>300</v>
      </c>
      <c r="X83" s="5">
        <v>300</v>
      </c>
      <c r="Y83" s="5">
        <v>0</v>
      </c>
      <c r="Z83" s="5">
        <v>0</v>
      </c>
      <c r="AA83" s="5">
        <v>300</v>
      </c>
      <c r="AB83" s="5">
        <v>300</v>
      </c>
      <c r="AC83" s="5">
        <v>0</v>
      </c>
      <c r="AD83" s="5">
        <v>181.6662</v>
      </c>
      <c r="AE83" s="5">
        <v>0</v>
      </c>
      <c r="AF83" s="5">
        <v>151.53919999999999</v>
      </c>
      <c r="AG83" s="5">
        <v>40</v>
      </c>
      <c r="AH83" s="5">
        <v>0.17</v>
      </c>
      <c r="AI83" s="5">
        <v>96.48</v>
      </c>
      <c r="AJ83" s="5">
        <v>124.17</v>
      </c>
      <c r="AK83" s="5">
        <v>219.65</v>
      </c>
      <c r="AL83" s="5">
        <v>219.05</v>
      </c>
      <c r="AM83" s="5">
        <v>542.39</v>
      </c>
      <c r="AN83" s="5">
        <v>261.9778</v>
      </c>
      <c r="AO83" s="5">
        <v>163.87</v>
      </c>
      <c r="AP83" s="5">
        <v>157.74</v>
      </c>
      <c r="AQ83" s="5">
        <v>180.42</v>
      </c>
      <c r="AR83" s="5">
        <v>658.57</v>
      </c>
      <c r="AS83" s="5">
        <v>55.79</v>
      </c>
      <c r="AT83" s="5">
        <v>70.099999999999994</v>
      </c>
      <c r="AU83" s="5">
        <v>117.57</v>
      </c>
      <c r="AV83" s="5">
        <v>111.22</v>
      </c>
      <c r="AW83" s="5">
        <v>0.246</v>
      </c>
      <c r="AX83" s="5">
        <v>3.48</v>
      </c>
      <c r="AY83" s="5">
        <v>10000000000</v>
      </c>
      <c r="AZ83" s="5">
        <v>79.87</v>
      </c>
      <c r="BA83" s="5">
        <v>18.309999999999999</v>
      </c>
      <c r="BB83" s="5">
        <v>9.02</v>
      </c>
      <c r="BC83" s="5">
        <v>1.85</v>
      </c>
      <c r="BD83" s="5">
        <v>8.2100000000000009</v>
      </c>
      <c r="BE83" s="5">
        <v>1.77</v>
      </c>
      <c r="BF83" s="5">
        <v>264.37</v>
      </c>
      <c r="BG83" s="5">
        <v>20.52</v>
      </c>
      <c r="BH83" s="5">
        <v>10000000000</v>
      </c>
      <c r="BI83" s="5">
        <v>222.3</v>
      </c>
      <c r="BJ83" s="5">
        <v>23.4</v>
      </c>
      <c r="BK83" s="5">
        <v>81.900000000000006</v>
      </c>
      <c r="BL83" s="5">
        <v>170.11</v>
      </c>
      <c r="BM83" s="5">
        <v>2.83</v>
      </c>
      <c r="BN83" s="5">
        <v>30.69</v>
      </c>
      <c r="BO83" s="5">
        <v>37.33</v>
      </c>
      <c r="BP83" s="5">
        <v>686.89</v>
      </c>
      <c r="BQ83" s="5">
        <v>69.527450000000002</v>
      </c>
      <c r="BR83" s="5">
        <v>312.71620000000001</v>
      </c>
      <c r="BS83" s="5">
        <v>42.979909999999997</v>
      </c>
      <c r="BT83" s="5">
        <v>43.531170000000003</v>
      </c>
      <c r="BU83" s="5">
        <v>42.831330000000001</v>
      </c>
      <c r="BV83" s="5">
        <v>0.100372</v>
      </c>
      <c r="BW83" s="5">
        <v>9.6454999999999999E-2</v>
      </c>
      <c r="BX83" s="5">
        <v>103.84829999999999</v>
      </c>
      <c r="BY83" s="5">
        <v>18.995360000000002</v>
      </c>
      <c r="BZ83" s="5">
        <v>0</v>
      </c>
      <c r="CA83" s="5">
        <v>0.92599399999999998</v>
      </c>
      <c r="CB83" s="5">
        <v>879.01620000000003</v>
      </c>
      <c r="CC83" s="5">
        <v>905.85209999999995</v>
      </c>
      <c r="CD83" s="5">
        <v>107.3522</v>
      </c>
      <c r="CE83" s="5">
        <v>531.95000000000005</v>
      </c>
      <c r="CF83" s="5">
        <v>98.59</v>
      </c>
      <c r="CG83" s="5">
        <v>114.03</v>
      </c>
      <c r="CH83" s="5">
        <v>465.37</v>
      </c>
      <c r="CI83" s="5">
        <v>483.42</v>
      </c>
      <c r="CJ83" s="5">
        <v>495.38</v>
      </c>
      <c r="CK83" s="5">
        <v>513.96</v>
      </c>
      <c r="CL83" s="5">
        <v>520.6</v>
      </c>
      <c r="CM83" s="5">
        <v>518.91</v>
      </c>
      <c r="CN83" s="5">
        <v>380.72</v>
      </c>
      <c r="CO83" s="5">
        <v>29.89</v>
      </c>
      <c r="CP83" s="5">
        <v>707.6</v>
      </c>
      <c r="CQ83" s="5">
        <v>711.04</v>
      </c>
      <c r="CR83" s="5">
        <v>12.7</v>
      </c>
      <c r="CS83" s="5">
        <v>12.7</v>
      </c>
      <c r="CT83" s="5">
        <v>26</v>
      </c>
      <c r="CU83" s="5">
        <v>39.35</v>
      </c>
      <c r="CV83" s="5">
        <v>99.28</v>
      </c>
      <c r="CW83" s="5">
        <v>0.88807094687817889</v>
      </c>
      <c r="CX83" s="5">
        <v>1.5718855759743766</v>
      </c>
    </row>
    <row r="84" spans="1:102" x14ac:dyDescent="0.25">
      <c r="A84" s="5">
        <v>22</v>
      </c>
      <c r="B84" s="23">
        <v>41408.55532402778</v>
      </c>
      <c r="C84" s="5">
        <v>3</v>
      </c>
      <c r="D84" s="5">
        <v>43</v>
      </c>
      <c r="E84" s="5">
        <v>742</v>
      </c>
      <c r="F84" s="5">
        <v>742</v>
      </c>
      <c r="G84" s="5">
        <v>742</v>
      </c>
      <c r="H84" s="5">
        <v>82.6</v>
      </c>
      <c r="I84" s="5">
        <v>82.6</v>
      </c>
      <c r="J84" s="5">
        <v>1701</v>
      </c>
      <c r="K84" s="5">
        <v>40</v>
      </c>
      <c r="L84" s="5">
        <v>40</v>
      </c>
      <c r="M84" s="5">
        <v>0.23</v>
      </c>
      <c r="N84" s="5">
        <v>0.230013</v>
      </c>
      <c r="O84" s="5">
        <v>1</v>
      </c>
      <c r="P84" s="5">
        <v>1.069428</v>
      </c>
      <c r="Q84" s="5">
        <v>-1.23</v>
      </c>
      <c r="R84" s="5">
        <v>-1.230469</v>
      </c>
      <c r="S84" s="5">
        <v>174.85</v>
      </c>
      <c r="T84" s="5">
        <v>174.84379999999999</v>
      </c>
      <c r="U84" s="5">
        <v>3.5</v>
      </c>
      <c r="V84" s="5">
        <v>3.5</v>
      </c>
      <c r="W84" s="5">
        <v>300</v>
      </c>
      <c r="X84" s="5">
        <v>300</v>
      </c>
      <c r="Y84" s="5">
        <v>0</v>
      </c>
      <c r="Z84" s="5">
        <v>0</v>
      </c>
      <c r="AA84" s="5">
        <v>300</v>
      </c>
      <c r="AB84" s="5">
        <v>300</v>
      </c>
      <c r="AC84" s="5">
        <v>0</v>
      </c>
      <c r="AD84" s="5">
        <v>167.5187</v>
      </c>
      <c r="AE84" s="5">
        <v>0</v>
      </c>
      <c r="AF84" s="5">
        <v>151.5333</v>
      </c>
      <c r="AG84" s="5">
        <v>40</v>
      </c>
      <c r="AH84" s="5">
        <v>0.17</v>
      </c>
      <c r="AI84" s="5">
        <v>89.64</v>
      </c>
      <c r="AJ84" s="5">
        <v>118.29</v>
      </c>
      <c r="AK84" s="5">
        <v>168.83</v>
      </c>
      <c r="AL84" s="5">
        <v>169.94</v>
      </c>
      <c r="AM84" s="5">
        <v>569.32000000000005</v>
      </c>
      <c r="AN84" s="5">
        <v>238.3699</v>
      </c>
      <c r="AO84" s="5">
        <v>139.47999999999999</v>
      </c>
      <c r="AP84" s="5">
        <v>143.12</v>
      </c>
      <c r="AQ84" s="5">
        <v>156.06</v>
      </c>
      <c r="AR84" s="5">
        <v>651.80999999999995</v>
      </c>
      <c r="AS84" s="5">
        <v>29.36</v>
      </c>
      <c r="AT84" s="5">
        <v>64.180000000000007</v>
      </c>
      <c r="AU84" s="5">
        <v>106.21</v>
      </c>
      <c r="AV84" s="5">
        <v>113.18</v>
      </c>
      <c r="AW84" s="5">
        <v>0.19400000000000001</v>
      </c>
      <c r="AX84" s="5">
        <v>2.71</v>
      </c>
      <c r="AY84" s="5">
        <v>10000000000</v>
      </c>
      <c r="AZ84" s="5">
        <v>79.510000000000005</v>
      </c>
      <c r="BA84" s="5">
        <v>18.21</v>
      </c>
      <c r="BB84" s="5">
        <v>9.23</v>
      </c>
      <c r="BC84" s="5">
        <v>1.38</v>
      </c>
      <c r="BD84" s="5">
        <v>7.88</v>
      </c>
      <c r="BE84" s="5">
        <v>2.7</v>
      </c>
      <c r="BF84" s="5">
        <v>428.59</v>
      </c>
      <c r="BG84" s="5">
        <v>14.93</v>
      </c>
      <c r="BH84" s="5">
        <v>10000000000</v>
      </c>
      <c r="BI84" s="5">
        <v>215.9</v>
      </c>
      <c r="BJ84" s="5">
        <v>22.8</v>
      </c>
      <c r="BK84" s="5">
        <v>83.1</v>
      </c>
      <c r="BL84" s="5">
        <v>114.38</v>
      </c>
      <c r="BM84" s="5">
        <v>2.57</v>
      </c>
      <c r="BN84" s="5">
        <v>30.25</v>
      </c>
      <c r="BO84" s="5">
        <v>37.53</v>
      </c>
      <c r="BP84" s="5">
        <v>680.04</v>
      </c>
      <c r="BQ84" s="5">
        <v>64.674160000000001</v>
      </c>
      <c r="BR84" s="5">
        <v>265.59809999999999</v>
      </c>
      <c r="BS84" s="5">
        <v>42.900590000000001</v>
      </c>
      <c r="BT84" s="5">
        <v>39.325899999999997</v>
      </c>
      <c r="BU84" s="5">
        <v>38.9026</v>
      </c>
      <c r="BV84" s="5">
        <v>0.101743</v>
      </c>
      <c r="BW84" s="5">
        <v>0.100152</v>
      </c>
      <c r="BX84" s="5">
        <v>105.32259999999999</v>
      </c>
      <c r="BY84" s="5">
        <v>18.995360000000002</v>
      </c>
      <c r="BZ84" s="5">
        <v>0</v>
      </c>
      <c r="CA84" s="5">
        <v>0.92560200000000004</v>
      </c>
      <c r="CB84" s="5">
        <v>810.97580000000005</v>
      </c>
      <c r="CC84" s="5">
        <v>838.1848</v>
      </c>
      <c r="CD84" s="5">
        <v>108.827</v>
      </c>
      <c r="CE84" s="5">
        <v>527.62</v>
      </c>
      <c r="CF84" s="5">
        <v>89.89</v>
      </c>
      <c r="CG84" s="5">
        <v>103.01</v>
      </c>
      <c r="CH84" s="5">
        <v>475.31</v>
      </c>
      <c r="CI84" s="5">
        <v>494.48</v>
      </c>
      <c r="CJ84" s="5">
        <v>508.52</v>
      </c>
      <c r="CK84" s="5">
        <v>523.53</v>
      </c>
      <c r="CL84" s="5">
        <v>529.04999999999995</v>
      </c>
      <c r="CM84" s="5">
        <v>529.17999999999995</v>
      </c>
      <c r="CN84" s="5">
        <v>422.67</v>
      </c>
      <c r="CO84" s="5">
        <v>30.52</v>
      </c>
      <c r="CP84" s="5">
        <v>738.6</v>
      </c>
      <c r="CQ84" s="5">
        <v>742.05</v>
      </c>
      <c r="CR84" s="5">
        <v>13.2</v>
      </c>
      <c r="CS84" s="5">
        <v>13.3</v>
      </c>
      <c r="CT84" s="5">
        <v>26.12</v>
      </c>
      <c r="CU84" s="5">
        <v>39.69</v>
      </c>
      <c r="CV84" s="5">
        <v>99.23</v>
      </c>
      <c r="CW84" s="5">
        <v>0.89086056371618472</v>
      </c>
      <c r="CX84" s="5">
        <v>2.405323522033699</v>
      </c>
    </row>
    <row r="85" spans="1:102" x14ac:dyDescent="0.25">
      <c r="A85" s="5">
        <v>15</v>
      </c>
      <c r="B85" s="23">
        <v>41408.517357812503</v>
      </c>
      <c r="C85" s="5">
        <v>3</v>
      </c>
      <c r="D85" s="5">
        <v>36</v>
      </c>
      <c r="E85" s="5">
        <v>708</v>
      </c>
      <c r="F85" s="5">
        <v>708</v>
      </c>
      <c r="G85" s="5">
        <v>708</v>
      </c>
      <c r="H85" s="5">
        <v>82.6</v>
      </c>
      <c r="I85" s="5">
        <v>82.6</v>
      </c>
      <c r="J85" s="5">
        <v>1701</v>
      </c>
      <c r="K85" s="5">
        <v>29</v>
      </c>
      <c r="L85" s="5">
        <v>29</v>
      </c>
      <c r="M85" s="5">
        <v>0.11</v>
      </c>
      <c r="N85" s="5">
        <v>0.110029</v>
      </c>
      <c r="O85" s="5">
        <v>1</v>
      </c>
      <c r="P85" s="5">
        <v>1.0695330000000001</v>
      </c>
      <c r="Q85" s="5">
        <v>-2.6</v>
      </c>
      <c r="R85" s="5">
        <v>-2.6037599999999999</v>
      </c>
      <c r="S85" s="5">
        <v>173.81</v>
      </c>
      <c r="T85" s="5">
        <v>173.8125</v>
      </c>
      <c r="U85" s="5">
        <v>3.5</v>
      </c>
      <c r="V85" s="5">
        <v>3.5</v>
      </c>
      <c r="W85" s="5">
        <v>300</v>
      </c>
      <c r="X85" s="5">
        <v>300</v>
      </c>
      <c r="Y85" s="5">
        <v>0</v>
      </c>
      <c r="Z85" s="5">
        <v>0</v>
      </c>
      <c r="AA85" s="5">
        <v>300</v>
      </c>
      <c r="AB85" s="5">
        <v>300</v>
      </c>
      <c r="AC85" s="5">
        <v>0</v>
      </c>
      <c r="AD85" s="5">
        <v>151.53729999999999</v>
      </c>
      <c r="AE85" s="5">
        <v>0</v>
      </c>
      <c r="AF85" s="5">
        <v>151.4205</v>
      </c>
      <c r="AG85" s="5">
        <v>40</v>
      </c>
      <c r="AH85" s="5">
        <v>0.17</v>
      </c>
      <c r="AI85" s="5">
        <v>82.97</v>
      </c>
      <c r="AJ85" s="5">
        <v>114.64</v>
      </c>
      <c r="AK85" s="5">
        <v>146.59</v>
      </c>
      <c r="AL85" s="5">
        <v>149.65</v>
      </c>
      <c r="AM85" s="5">
        <v>580.23</v>
      </c>
      <c r="AN85" s="5">
        <v>219.95490000000001</v>
      </c>
      <c r="AO85" s="5">
        <v>120.56</v>
      </c>
      <c r="AP85" s="5">
        <v>131.94</v>
      </c>
      <c r="AQ85" s="5">
        <v>137.76</v>
      </c>
      <c r="AR85" s="5">
        <v>665.34</v>
      </c>
      <c r="AS85" s="5">
        <v>26.03</v>
      </c>
      <c r="AT85" s="5">
        <v>59.15</v>
      </c>
      <c r="AU85" s="5">
        <v>99.28</v>
      </c>
      <c r="AV85" s="5">
        <v>113.34</v>
      </c>
      <c r="AW85" s="5">
        <v>8.1000000000000003E-2</v>
      </c>
      <c r="AX85" s="5">
        <v>1.0900000000000001</v>
      </c>
      <c r="AY85" s="5">
        <v>10000000000</v>
      </c>
      <c r="AZ85" s="5">
        <v>59.6</v>
      </c>
      <c r="BA85" s="5">
        <v>20.190000000000001</v>
      </c>
      <c r="BB85" s="5">
        <v>8.74</v>
      </c>
      <c r="BC85" s="5">
        <v>0.64</v>
      </c>
      <c r="BD85" s="5">
        <v>8.5299999999999994</v>
      </c>
      <c r="BE85" s="5">
        <v>4.74</v>
      </c>
      <c r="BF85" s="5">
        <v>695.29</v>
      </c>
      <c r="BG85" s="5">
        <v>7.33</v>
      </c>
      <c r="BH85" s="5">
        <v>10000000000</v>
      </c>
      <c r="BI85" s="5">
        <v>218.4</v>
      </c>
      <c r="BJ85" s="5">
        <v>24.1</v>
      </c>
      <c r="BK85" s="5">
        <v>85.2</v>
      </c>
      <c r="BL85" s="5">
        <v>52.58</v>
      </c>
      <c r="BM85" s="5">
        <v>2.35</v>
      </c>
      <c r="BN85" s="5">
        <v>29.56</v>
      </c>
      <c r="BO85" s="5">
        <v>37.08</v>
      </c>
      <c r="BP85" s="5">
        <v>692.68</v>
      </c>
      <c r="BQ85" s="5">
        <v>60.097189999999998</v>
      </c>
      <c r="BR85" s="5">
        <v>249.24299999999999</v>
      </c>
      <c r="BS85" s="5">
        <v>43.09798</v>
      </c>
      <c r="BT85" s="5">
        <v>38.24353</v>
      </c>
      <c r="BU85" s="5">
        <v>37.884450000000001</v>
      </c>
      <c r="BV85" s="5">
        <v>9.8298999999999997E-2</v>
      </c>
      <c r="BW85" s="5">
        <v>9.7731999999999999E-2</v>
      </c>
      <c r="BX85" s="5">
        <v>101.62739999999999</v>
      </c>
      <c r="BY85" s="5">
        <v>18.995360000000002</v>
      </c>
      <c r="BZ85" s="5">
        <v>0</v>
      </c>
      <c r="CA85" s="5">
        <v>0.92657800000000001</v>
      </c>
      <c r="CB85" s="5">
        <v>759.39670000000001</v>
      </c>
      <c r="CC85" s="5">
        <v>785.67809999999997</v>
      </c>
      <c r="CD85" s="5">
        <v>105.1328</v>
      </c>
      <c r="CE85" s="5">
        <v>464.27</v>
      </c>
      <c r="CF85" s="5">
        <v>82.98</v>
      </c>
      <c r="CG85" s="5">
        <v>96.58</v>
      </c>
      <c r="CH85" s="5">
        <v>479.31</v>
      </c>
      <c r="CI85" s="5">
        <v>502.27</v>
      </c>
      <c r="CJ85" s="5">
        <v>516.30999999999995</v>
      </c>
      <c r="CK85" s="5">
        <v>534.15</v>
      </c>
      <c r="CL85" s="5">
        <v>533.07000000000005</v>
      </c>
      <c r="CM85" s="5">
        <v>524.47</v>
      </c>
      <c r="CN85" s="5">
        <v>444.06</v>
      </c>
      <c r="CO85" s="5">
        <v>30.29</v>
      </c>
      <c r="CP85" s="5">
        <v>704.6</v>
      </c>
      <c r="CQ85" s="5">
        <v>708.05</v>
      </c>
      <c r="CR85" s="5">
        <v>12.6</v>
      </c>
      <c r="CS85" s="5">
        <v>12.7</v>
      </c>
      <c r="CT85" s="5">
        <v>26.27</v>
      </c>
      <c r="CU85" s="5">
        <v>36.65</v>
      </c>
      <c r="CV85" s="5">
        <v>99.29</v>
      </c>
      <c r="CW85" s="5">
        <v>0.8834614155274324</v>
      </c>
      <c r="CX85" s="5">
        <v>4.1876071096000294</v>
      </c>
    </row>
    <row r="86" spans="1:102" x14ac:dyDescent="0.25">
      <c r="A86" s="5">
        <v>3</v>
      </c>
      <c r="B86" s="23">
        <v>41408.443871099538</v>
      </c>
      <c r="C86" s="5">
        <v>3</v>
      </c>
      <c r="D86" s="5">
        <v>25</v>
      </c>
      <c r="E86" s="5">
        <v>658</v>
      </c>
      <c r="F86" s="5">
        <v>658</v>
      </c>
      <c r="G86" s="5">
        <v>658</v>
      </c>
      <c r="H86" s="5">
        <v>82.6</v>
      </c>
      <c r="I86" s="5">
        <v>82.6</v>
      </c>
      <c r="J86" s="5">
        <v>1701</v>
      </c>
      <c r="K86" s="5">
        <v>47</v>
      </c>
      <c r="L86" s="5">
        <v>47</v>
      </c>
      <c r="M86" s="5">
        <v>0.15</v>
      </c>
      <c r="N86" s="5">
        <v>0.149981</v>
      </c>
      <c r="O86" s="5">
        <v>1</v>
      </c>
      <c r="P86" s="5">
        <v>1.069304</v>
      </c>
      <c r="Q86" s="5">
        <v>-3.03</v>
      </c>
      <c r="R86" s="5">
        <v>-3.0322269999999998</v>
      </c>
      <c r="S86" s="5">
        <v>175.78</v>
      </c>
      <c r="T86" s="5">
        <v>175.78129999999999</v>
      </c>
      <c r="U86" s="5">
        <v>3.5</v>
      </c>
      <c r="V86" s="5">
        <v>3.5</v>
      </c>
      <c r="W86" s="5">
        <v>300</v>
      </c>
      <c r="X86" s="5">
        <v>300</v>
      </c>
      <c r="Y86" s="5">
        <v>3.5</v>
      </c>
      <c r="Z86" s="5">
        <v>3.5</v>
      </c>
      <c r="AA86" s="5">
        <v>300</v>
      </c>
      <c r="AB86" s="5">
        <v>300</v>
      </c>
      <c r="AC86" s="5">
        <v>0</v>
      </c>
      <c r="AD86" s="5">
        <v>167.55889999999999</v>
      </c>
      <c r="AE86" s="5">
        <v>0</v>
      </c>
      <c r="AF86" s="5">
        <v>151.53649999999999</v>
      </c>
      <c r="AG86" s="5">
        <v>40</v>
      </c>
      <c r="AH86" s="5">
        <v>0.17</v>
      </c>
      <c r="AI86" s="5">
        <v>88.01</v>
      </c>
      <c r="AJ86" s="5">
        <v>121.24</v>
      </c>
      <c r="AK86" s="5">
        <v>189.36</v>
      </c>
      <c r="AL86" s="5">
        <v>189.81</v>
      </c>
      <c r="AM86" s="5">
        <v>536.42999999999995</v>
      </c>
      <c r="AN86" s="5">
        <v>238.34010000000001</v>
      </c>
      <c r="AO86" s="5">
        <v>139.34</v>
      </c>
      <c r="AP86" s="5">
        <v>157.79</v>
      </c>
      <c r="AQ86" s="5">
        <v>155.94</v>
      </c>
      <c r="AR86" s="5">
        <v>668.59</v>
      </c>
      <c r="AS86" s="5">
        <v>50.02</v>
      </c>
      <c r="AT86" s="5">
        <v>63.99</v>
      </c>
      <c r="AU86" s="5">
        <v>105.88</v>
      </c>
      <c r="AV86" s="5">
        <v>112.69</v>
      </c>
      <c r="AW86" s="5">
        <v>9.6000000000000002E-2</v>
      </c>
      <c r="AX86" s="5">
        <v>1.29</v>
      </c>
      <c r="AY86" s="5">
        <v>10000000000</v>
      </c>
      <c r="AZ86" s="5">
        <v>55.99</v>
      </c>
      <c r="BA86" s="5">
        <v>23.23</v>
      </c>
      <c r="BB86" s="5">
        <v>8.48</v>
      </c>
      <c r="BC86" s="5">
        <v>1.29</v>
      </c>
      <c r="BD86" s="5">
        <v>8.8800000000000008</v>
      </c>
      <c r="BE86" s="5">
        <v>2.92</v>
      </c>
      <c r="BF86" s="5">
        <v>393.12</v>
      </c>
      <c r="BG86" s="5">
        <v>15.2</v>
      </c>
      <c r="BH86" s="5">
        <v>10000000000</v>
      </c>
      <c r="BI86" s="5">
        <v>222.7</v>
      </c>
      <c r="BJ86" s="5">
        <v>25.6</v>
      </c>
      <c r="BK86" s="5">
        <v>85.8</v>
      </c>
      <c r="BL86" s="5">
        <v>119.83</v>
      </c>
      <c r="BM86" s="5">
        <v>2.57</v>
      </c>
      <c r="BN86" s="5">
        <v>30.14</v>
      </c>
      <c r="BO86" s="5">
        <v>36.64</v>
      </c>
      <c r="BP86" s="5">
        <v>694.52</v>
      </c>
      <c r="BQ86" s="5">
        <v>64.547129999999996</v>
      </c>
      <c r="BR86" s="5">
        <v>286.53149999999999</v>
      </c>
      <c r="BS86" s="5">
        <v>43.599620000000002</v>
      </c>
      <c r="BT86" s="5">
        <v>45.540680000000002</v>
      </c>
      <c r="BU86" s="5">
        <v>44.738439999999997</v>
      </c>
      <c r="BV86" s="5">
        <v>9.1824000000000003E-2</v>
      </c>
      <c r="BW86" s="5">
        <v>8.5760000000000003E-2</v>
      </c>
      <c r="BX86" s="5">
        <v>89.322500000000005</v>
      </c>
      <c r="BY86" s="5">
        <v>18.995360000000002</v>
      </c>
      <c r="BZ86" s="5">
        <v>0</v>
      </c>
      <c r="CA86" s="5">
        <v>0.92995300000000003</v>
      </c>
      <c r="CB86" s="5">
        <v>814.98580000000004</v>
      </c>
      <c r="CC86" s="5">
        <v>839.06190000000004</v>
      </c>
      <c r="CD86" s="5">
        <v>96.325620000000001</v>
      </c>
      <c r="CE86" s="5">
        <v>514.42999999999995</v>
      </c>
      <c r="CF86" s="5">
        <v>89</v>
      </c>
      <c r="CG86" s="5">
        <v>102.27</v>
      </c>
      <c r="CH86" s="5">
        <v>449.26</v>
      </c>
      <c r="CI86" s="5">
        <v>472.06</v>
      </c>
      <c r="CJ86" s="5">
        <v>486.86</v>
      </c>
      <c r="CK86" s="5">
        <v>518.07000000000005</v>
      </c>
      <c r="CL86" s="5">
        <v>510.26</v>
      </c>
      <c r="CM86" s="5">
        <v>514.63</v>
      </c>
      <c r="CN86" s="5">
        <v>387.02</v>
      </c>
      <c r="CO86" s="5">
        <v>31.05</v>
      </c>
      <c r="CP86" s="5">
        <v>658.4</v>
      </c>
      <c r="CQ86" s="5">
        <v>658.05</v>
      </c>
      <c r="CR86" s="5">
        <v>11.8</v>
      </c>
      <c r="CS86" s="5">
        <v>11.8</v>
      </c>
      <c r="CT86" s="5">
        <v>25.85</v>
      </c>
      <c r="CU86" s="5">
        <v>18.809999999999999</v>
      </c>
      <c r="CV86" s="5">
        <v>99.44</v>
      </c>
      <c r="CW86" s="5">
        <v>0.83034778741094417</v>
      </c>
      <c r="CX86" s="5">
        <v>2.4246155392399569</v>
      </c>
    </row>
    <row r="87" spans="1:102" x14ac:dyDescent="0.25">
      <c r="A87" s="5">
        <v>18</v>
      </c>
      <c r="B87" s="23">
        <v>41408.53363027778</v>
      </c>
      <c r="C87" s="5">
        <v>3</v>
      </c>
      <c r="D87" s="5">
        <v>39</v>
      </c>
      <c r="E87" s="5">
        <v>723</v>
      </c>
      <c r="F87" s="5">
        <v>723</v>
      </c>
      <c r="G87" s="5">
        <v>723</v>
      </c>
      <c r="H87" s="5">
        <v>82.6</v>
      </c>
      <c r="I87" s="5">
        <v>82.6</v>
      </c>
      <c r="J87" s="5">
        <v>1701</v>
      </c>
      <c r="K87" s="5">
        <v>30</v>
      </c>
      <c r="L87" s="5">
        <v>30</v>
      </c>
      <c r="M87" s="5">
        <v>0.15</v>
      </c>
      <c r="N87" s="5">
        <v>0.15005499999999999</v>
      </c>
      <c r="O87" s="5">
        <v>1</v>
      </c>
      <c r="P87" s="5">
        <v>1.0694319999999999</v>
      </c>
      <c r="Q87" s="5">
        <v>-2</v>
      </c>
      <c r="R87" s="5">
        <v>-1.999512</v>
      </c>
      <c r="S87" s="5">
        <v>174.27</v>
      </c>
      <c r="T87" s="5">
        <v>174.26560000000001</v>
      </c>
      <c r="U87" s="5">
        <v>3.5</v>
      </c>
      <c r="V87" s="5">
        <v>3.5</v>
      </c>
      <c r="W87" s="5">
        <v>300</v>
      </c>
      <c r="X87" s="5">
        <v>300</v>
      </c>
      <c r="Y87" s="5">
        <v>0</v>
      </c>
      <c r="Z87" s="5">
        <v>0</v>
      </c>
      <c r="AA87" s="5">
        <v>300</v>
      </c>
      <c r="AB87" s="5">
        <v>300</v>
      </c>
      <c r="AC87" s="5">
        <v>0</v>
      </c>
      <c r="AD87" s="5">
        <v>153.6798</v>
      </c>
      <c r="AE87" s="5">
        <v>0</v>
      </c>
      <c r="AF87" s="5">
        <v>151.53739999999999</v>
      </c>
      <c r="AG87" s="5">
        <v>40</v>
      </c>
      <c r="AH87" s="5">
        <v>0.17</v>
      </c>
      <c r="AI87" s="5">
        <v>84.68</v>
      </c>
      <c r="AJ87" s="5">
        <v>115.02</v>
      </c>
      <c r="AK87" s="5">
        <v>148.01</v>
      </c>
      <c r="AL87" s="5">
        <v>150.49</v>
      </c>
      <c r="AM87" s="5">
        <v>583.72</v>
      </c>
      <c r="AN87" s="5">
        <v>222.5284</v>
      </c>
      <c r="AO87" s="5">
        <v>123.22</v>
      </c>
      <c r="AP87" s="5">
        <v>134.52000000000001</v>
      </c>
      <c r="AQ87" s="5">
        <v>140.1</v>
      </c>
      <c r="AR87" s="5">
        <v>657.43</v>
      </c>
      <c r="AS87" s="5">
        <v>24.78</v>
      </c>
      <c r="AT87" s="5">
        <v>60.25</v>
      </c>
      <c r="AU87" s="5">
        <v>99.91</v>
      </c>
      <c r="AV87" s="5">
        <v>116.98</v>
      </c>
      <c r="AW87" s="5">
        <v>0.107</v>
      </c>
      <c r="AX87" s="5">
        <v>1.45</v>
      </c>
      <c r="AY87" s="5">
        <v>10000000000</v>
      </c>
      <c r="AZ87" s="5">
        <v>69.44</v>
      </c>
      <c r="BA87" s="5">
        <v>20.149999999999999</v>
      </c>
      <c r="BB87" s="5">
        <v>9.0500000000000007</v>
      </c>
      <c r="BC87" s="5">
        <v>0.85</v>
      </c>
      <c r="BD87" s="5">
        <v>8.16</v>
      </c>
      <c r="BE87" s="5">
        <v>4.13</v>
      </c>
      <c r="BF87" s="5">
        <v>630.07000000000005</v>
      </c>
      <c r="BG87" s="5">
        <v>9.34</v>
      </c>
      <c r="BH87" s="5">
        <v>10000000000</v>
      </c>
      <c r="BI87" s="5">
        <v>217.4</v>
      </c>
      <c r="BJ87" s="5">
        <v>23.5</v>
      </c>
      <c r="BK87" s="5">
        <v>84.8</v>
      </c>
      <c r="BL87" s="5">
        <v>67.72</v>
      </c>
      <c r="BM87" s="5">
        <v>2.39</v>
      </c>
      <c r="BN87" s="5">
        <v>29.75</v>
      </c>
      <c r="BO87" s="5">
        <v>37.299999999999997</v>
      </c>
      <c r="BP87" s="5">
        <v>685.36</v>
      </c>
      <c r="BQ87" s="5">
        <v>61.12818</v>
      </c>
      <c r="BR87" s="5">
        <v>249.05410000000001</v>
      </c>
      <c r="BS87" s="5">
        <v>43.012120000000003</v>
      </c>
      <c r="BT87" s="5">
        <v>37.879249999999999</v>
      </c>
      <c r="BU87" s="5">
        <v>37.533070000000002</v>
      </c>
      <c r="BV87" s="5">
        <v>9.9807000000000007E-2</v>
      </c>
      <c r="BW87" s="5">
        <v>9.9569000000000005E-2</v>
      </c>
      <c r="BX87" s="5">
        <v>103.2424</v>
      </c>
      <c r="BY87" s="5">
        <v>18.995360000000002</v>
      </c>
      <c r="BZ87" s="5">
        <v>0</v>
      </c>
      <c r="CA87" s="5">
        <v>0.92615199999999998</v>
      </c>
      <c r="CB87" s="5">
        <v>765.54939999999999</v>
      </c>
      <c r="CC87" s="5">
        <v>792.23940000000005</v>
      </c>
      <c r="CD87" s="5">
        <v>106.7479</v>
      </c>
      <c r="CE87" s="5">
        <v>495.24</v>
      </c>
      <c r="CF87" s="5">
        <v>84.42</v>
      </c>
      <c r="CG87" s="5">
        <v>96.82</v>
      </c>
      <c r="CH87" s="5">
        <v>482.38</v>
      </c>
      <c r="CI87" s="5">
        <v>504.19</v>
      </c>
      <c r="CJ87" s="5">
        <v>517.91</v>
      </c>
      <c r="CK87" s="5">
        <v>536.61</v>
      </c>
      <c r="CL87" s="5">
        <v>536.25</v>
      </c>
      <c r="CM87" s="5">
        <v>532.28</v>
      </c>
      <c r="CN87" s="5">
        <v>444.84</v>
      </c>
      <c r="CO87" s="5">
        <v>30.62</v>
      </c>
      <c r="CP87" s="5">
        <v>719.8</v>
      </c>
      <c r="CQ87" s="5">
        <v>723.05</v>
      </c>
      <c r="CR87" s="5">
        <v>12.9</v>
      </c>
      <c r="CS87" s="5">
        <v>13</v>
      </c>
      <c r="CT87" s="5">
        <v>27.05</v>
      </c>
      <c r="CU87" s="5">
        <v>35.82</v>
      </c>
      <c r="CV87" s="5">
        <v>99.27</v>
      </c>
      <c r="CW87" s="5">
        <v>0.8856661734439365</v>
      </c>
      <c r="CX87" s="5">
        <v>3.6578012963234579</v>
      </c>
    </row>
    <row r="88" spans="1:102" x14ac:dyDescent="0.25">
      <c r="A88" s="5">
        <v>46</v>
      </c>
      <c r="B88" s="23">
        <v>41407.759178726854</v>
      </c>
      <c r="C88" s="5">
        <v>3</v>
      </c>
      <c r="D88" s="5">
        <v>21</v>
      </c>
      <c r="E88" s="5">
        <v>642</v>
      </c>
      <c r="F88" s="5">
        <v>642</v>
      </c>
      <c r="G88" s="5">
        <v>642</v>
      </c>
      <c r="H88" s="5">
        <v>82.6</v>
      </c>
      <c r="I88" s="5">
        <v>82.6</v>
      </c>
      <c r="J88" s="5">
        <v>1701</v>
      </c>
      <c r="K88" s="5">
        <v>59</v>
      </c>
      <c r="L88" s="5">
        <v>59</v>
      </c>
      <c r="M88" s="5">
        <v>0.14000000000000001</v>
      </c>
      <c r="N88" s="5">
        <v>0.14008300000000001</v>
      </c>
      <c r="O88" s="5">
        <v>1</v>
      </c>
      <c r="P88" s="5">
        <v>1.069402</v>
      </c>
      <c r="Q88" s="5">
        <v>-3.08</v>
      </c>
      <c r="R88" s="5">
        <v>-3.0761720000000001</v>
      </c>
      <c r="S88" s="5">
        <v>176.63</v>
      </c>
      <c r="T88" s="5">
        <v>176.625</v>
      </c>
      <c r="U88" s="5">
        <v>3.5</v>
      </c>
      <c r="V88" s="5">
        <v>3.5</v>
      </c>
      <c r="W88" s="5">
        <v>300</v>
      </c>
      <c r="X88" s="5">
        <v>300</v>
      </c>
      <c r="Y88" s="5">
        <v>3.5</v>
      </c>
      <c r="Z88" s="5">
        <v>3.5</v>
      </c>
      <c r="AA88" s="5">
        <v>300</v>
      </c>
      <c r="AB88" s="5">
        <v>300</v>
      </c>
      <c r="AC88" s="5">
        <v>0</v>
      </c>
      <c r="AD88" s="5">
        <v>189.88149999999999</v>
      </c>
      <c r="AE88" s="5">
        <v>0</v>
      </c>
      <c r="AF88" s="5">
        <v>151.53540000000001</v>
      </c>
      <c r="AG88" s="5">
        <v>40</v>
      </c>
      <c r="AH88" s="5">
        <v>0.17</v>
      </c>
      <c r="AI88" s="5">
        <v>99.96</v>
      </c>
      <c r="AJ88" s="5">
        <v>128.02000000000001</v>
      </c>
      <c r="AK88" s="5">
        <v>272.74</v>
      </c>
      <c r="AL88" s="5">
        <v>272.41000000000003</v>
      </c>
      <c r="AM88" s="5">
        <v>494.4</v>
      </c>
      <c r="AN88" s="5">
        <v>274.38560000000001</v>
      </c>
      <c r="AO88" s="5">
        <v>175.6</v>
      </c>
      <c r="AP88" s="5">
        <v>164.71</v>
      </c>
      <c r="AQ88" s="5">
        <v>192.09</v>
      </c>
      <c r="AR88" s="5">
        <v>706.91</v>
      </c>
      <c r="AS88" s="5">
        <v>97.14</v>
      </c>
      <c r="AT88" s="5">
        <v>67.459999999999994</v>
      </c>
      <c r="AU88" s="5">
        <v>112.91</v>
      </c>
      <c r="AV88" s="5">
        <v>114.82</v>
      </c>
      <c r="AW88" s="5">
        <v>5.7000000000000002E-2</v>
      </c>
      <c r="AX88" s="5">
        <v>0.76</v>
      </c>
      <c r="AY88" s="5">
        <v>10000000000</v>
      </c>
      <c r="AZ88" s="5">
        <v>58.08</v>
      </c>
      <c r="BA88" s="5">
        <v>20.190000000000001</v>
      </c>
      <c r="BB88" s="5">
        <v>7.78</v>
      </c>
      <c r="BC88" s="5">
        <v>1.48</v>
      </c>
      <c r="BD88" s="5">
        <v>9.7799999999999994</v>
      </c>
      <c r="BE88" s="5">
        <v>2.62</v>
      </c>
      <c r="BF88" s="5">
        <v>322.12</v>
      </c>
      <c r="BG88" s="5">
        <v>19.02</v>
      </c>
      <c r="BH88" s="5">
        <v>10000000000</v>
      </c>
      <c r="BI88" s="5">
        <v>229.1</v>
      </c>
      <c r="BJ88" s="5">
        <v>27</v>
      </c>
      <c r="BK88" s="5">
        <v>82.7</v>
      </c>
      <c r="BL88" s="5">
        <v>166.12</v>
      </c>
      <c r="BM88" s="5">
        <v>2.95</v>
      </c>
      <c r="BN88" s="5">
        <v>30.36</v>
      </c>
      <c r="BO88" s="5">
        <v>36.26</v>
      </c>
      <c r="BP88" s="5">
        <v>733.49</v>
      </c>
      <c r="BQ88" s="5">
        <v>67.393069999999994</v>
      </c>
      <c r="BR88" s="5">
        <v>369.27769999999998</v>
      </c>
      <c r="BS88" s="5">
        <v>43.621400000000001</v>
      </c>
      <c r="BT88" s="5">
        <v>52.652149999999999</v>
      </c>
      <c r="BU88" s="5">
        <v>51.28828</v>
      </c>
      <c r="BV88" s="5">
        <v>9.1660000000000005E-2</v>
      </c>
      <c r="BW88" s="5">
        <v>8.0999000000000002E-2</v>
      </c>
      <c r="BX88" s="5">
        <v>88.968490000000003</v>
      </c>
      <c r="BY88" s="5">
        <v>18.995360000000002</v>
      </c>
      <c r="BZ88" s="5">
        <v>0</v>
      </c>
      <c r="CA88" s="5">
        <v>0.93015300000000001</v>
      </c>
      <c r="CB88" s="5">
        <v>930.625</v>
      </c>
      <c r="CC88" s="5">
        <v>954.6046</v>
      </c>
      <c r="CD88" s="5">
        <v>95.958799999999997</v>
      </c>
      <c r="CE88" s="5">
        <v>501.95</v>
      </c>
      <c r="CF88" s="5">
        <v>94.14</v>
      </c>
      <c r="CG88" s="5">
        <v>109.34</v>
      </c>
      <c r="CH88" s="5">
        <v>438.05</v>
      </c>
      <c r="CI88" s="5">
        <v>456.36</v>
      </c>
      <c r="CJ88" s="5">
        <v>465.6</v>
      </c>
      <c r="CK88" s="5">
        <v>487.7</v>
      </c>
      <c r="CL88" s="5">
        <v>491.29</v>
      </c>
      <c r="CM88" s="5">
        <v>490.63</v>
      </c>
      <c r="CN88" s="5">
        <v>331.3</v>
      </c>
      <c r="CO88" s="5">
        <v>29.71</v>
      </c>
      <c r="CP88" s="5">
        <v>638.5</v>
      </c>
      <c r="CQ88" s="5">
        <v>642.04</v>
      </c>
      <c r="CR88" s="5">
        <v>11.4</v>
      </c>
      <c r="CS88" s="5">
        <v>11.5</v>
      </c>
      <c r="CT88" s="5">
        <v>25.97</v>
      </c>
      <c r="CU88" s="5">
        <v>36.49</v>
      </c>
      <c r="CV88" s="5">
        <v>99.81</v>
      </c>
      <c r="CW88" s="5">
        <v>0.88083432662569383</v>
      </c>
      <c r="CX88" s="5">
        <v>2.307785935759318</v>
      </c>
    </row>
    <row r="89" spans="1:102" x14ac:dyDescent="0.25">
      <c r="A89" s="5">
        <v>19</v>
      </c>
      <c r="B89" s="23">
        <v>41408.539053773151</v>
      </c>
      <c r="C89" s="5">
        <v>3</v>
      </c>
      <c r="D89" s="5">
        <v>40</v>
      </c>
      <c r="E89" s="5">
        <v>730</v>
      </c>
      <c r="F89" s="5">
        <v>730</v>
      </c>
      <c r="G89" s="5">
        <v>730</v>
      </c>
      <c r="H89" s="5">
        <v>82.6</v>
      </c>
      <c r="I89" s="5">
        <v>82.6</v>
      </c>
      <c r="J89" s="5">
        <v>1701</v>
      </c>
      <c r="K89" s="5">
        <v>38</v>
      </c>
      <c r="L89" s="5">
        <v>38</v>
      </c>
      <c r="M89" s="5">
        <v>0.13</v>
      </c>
      <c r="N89" s="5">
        <v>0.13</v>
      </c>
      <c r="O89" s="5">
        <v>1</v>
      </c>
      <c r="P89" s="5">
        <v>1.0694980000000001</v>
      </c>
      <c r="Q89" s="5">
        <v>-1.71</v>
      </c>
      <c r="R89" s="5">
        <v>-1.713867</v>
      </c>
      <c r="S89" s="5">
        <v>174.48</v>
      </c>
      <c r="T89" s="5">
        <v>174.48439999999999</v>
      </c>
      <c r="U89" s="5">
        <v>3.5</v>
      </c>
      <c r="V89" s="5">
        <v>3.5</v>
      </c>
      <c r="W89" s="5">
        <v>300</v>
      </c>
      <c r="X89" s="5">
        <v>300</v>
      </c>
      <c r="Y89" s="5">
        <v>0</v>
      </c>
      <c r="Z89" s="5">
        <v>0</v>
      </c>
      <c r="AA89" s="5">
        <v>300</v>
      </c>
      <c r="AB89" s="5">
        <v>300</v>
      </c>
      <c r="AC89" s="5">
        <v>0</v>
      </c>
      <c r="AD89" s="5">
        <v>168.98220000000001</v>
      </c>
      <c r="AE89" s="5">
        <v>0</v>
      </c>
      <c r="AF89" s="5">
        <v>151.53630000000001</v>
      </c>
      <c r="AG89" s="5">
        <v>40</v>
      </c>
      <c r="AH89" s="5">
        <v>0.17</v>
      </c>
      <c r="AI89" s="5">
        <v>89.95</v>
      </c>
      <c r="AJ89" s="5">
        <v>120.34</v>
      </c>
      <c r="AK89" s="5">
        <v>175.49</v>
      </c>
      <c r="AL89" s="5">
        <v>177.48</v>
      </c>
      <c r="AM89" s="5">
        <v>559.85</v>
      </c>
      <c r="AN89" s="5">
        <v>238.35419999999999</v>
      </c>
      <c r="AO89" s="5">
        <v>139.22</v>
      </c>
      <c r="AP89" s="5">
        <v>144.07</v>
      </c>
      <c r="AQ89" s="5">
        <v>156.82</v>
      </c>
      <c r="AR89" s="5">
        <v>688.41</v>
      </c>
      <c r="AS89" s="5">
        <v>36.28</v>
      </c>
      <c r="AT89" s="5">
        <v>61.07</v>
      </c>
      <c r="AU89" s="5">
        <v>101.57</v>
      </c>
      <c r="AV89" s="5">
        <v>112.65</v>
      </c>
      <c r="AW89" s="5">
        <v>7.9000000000000001E-2</v>
      </c>
      <c r="AX89" s="5">
        <v>1.06</v>
      </c>
      <c r="AY89" s="5">
        <v>10000000000</v>
      </c>
      <c r="AZ89" s="5">
        <v>47.5</v>
      </c>
      <c r="BA89" s="5">
        <v>18.489999999999998</v>
      </c>
      <c r="BB89" s="5">
        <v>8.6199999999999992</v>
      </c>
      <c r="BC89" s="5">
        <v>0.92</v>
      </c>
      <c r="BD89" s="5">
        <v>8.73</v>
      </c>
      <c r="BE89" s="5">
        <v>4.03</v>
      </c>
      <c r="BF89" s="5">
        <v>588.97</v>
      </c>
      <c r="BG89" s="5">
        <v>10.65</v>
      </c>
      <c r="BH89" s="5">
        <v>10000000000</v>
      </c>
      <c r="BI89" s="5">
        <v>216.7</v>
      </c>
      <c r="BJ89" s="5">
        <v>24.4</v>
      </c>
      <c r="BK89" s="5">
        <v>84.1</v>
      </c>
      <c r="BL89" s="5">
        <v>82.06</v>
      </c>
      <c r="BM89" s="5">
        <v>2.56</v>
      </c>
      <c r="BN89" s="5">
        <v>29.83</v>
      </c>
      <c r="BO89" s="5">
        <v>37</v>
      </c>
      <c r="BP89" s="5">
        <v>716.28</v>
      </c>
      <c r="BQ89" s="5">
        <v>61.860779999999998</v>
      </c>
      <c r="BR89" s="5">
        <v>275.553</v>
      </c>
      <c r="BS89" s="5">
        <v>42.973750000000003</v>
      </c>
      <c r="BT89" s="5">
        <v>40.291260000000001</v>
      </c>
      <c r="BU89" s="5">
        <v>39.817239999999998</v>
      </c>
      <c r="BV89" s="5">
        <v>0.100467</v>
      </c>
      <c r="BW89" s="5">
        <v>9.8000000000000004E-2</v>
      </c>
      <c r="BX89" s="5">
        <v>103.9533</v>
      </c>
      <c r="BY89" s="5">
        <v>18.995360000000002</v>
      </c>
      <c r="BZ89" s="5">
        <v>0</v>
      </c>
      <c r="CA89" s="5">
        <v>0.92596599999999996</v>
      </c>
      <c r="CB89" s="5">
        <v>818.04459999999995</v>
      </c>
      <c r="CC89" s="5">
        <v>844.90790000000004</v>
      </c>
      <c r="CD89" s="5">
        <v>107.4573</v>
      </c>
      <c r="CE89" s="5">
        <v>496.35</v>
      </c>
      <c r="CF89" s="5">
        <v>84.94</v>
      </c>
      <c r="CG89" s="5">
        <v>97.51</v>
      </c>
      <c r="CH89" s="5">
        <v>469.33</v>
      </c>
      <c r="CI89" s="5">
        <v>489.65</v>
      </c>
      <c r="CJ89" s="5">
        <v>502.13</v>
      </c>
      <c r="CK89" s="5">
        <v>519.48</v>
      </c>
      <c r="CL89" s="5">
        <v>522.21</v>
      </c>
      <c r="CM89" s="5">
        <v>520.48</v>
      </c>
      <c r="CN89" s="5">
        <v>414.01</v>
      </c>
      <c r="CO89" s="5">
        <v>29.73</v>
      </c>
      <c r="CP89" s="5">
        <v>726.5</v>
      </c>
      <c r="CQ89" s="5">
        <v>730.04</v>
      </c>
      <c r="CR89" s="5">
        <v>13</v>
      </c>
      <c r="CS89" s="5">
        <v>13.1</v>
      </c>
      <c r="CT89" s="5">
        <v>25.6</v>
      </c>
      <c r="CU89" s="5">
        <v>37.53</v>
      </c>
      <c r="CV89" s="5">
        <v>99.26</v>
      </c>
      <c r="CW89" s="5">
        <v>0.88406093702739164</v>
      </c>
      <c r="CX89" s="5">
        <v>3.5627655762203885</v>
      </c>
    </row>
    <row r="90" spans="1:102" x14ac:dyDescent="0.25">
      <c r="A90" s="5">
        <v>13</v>
      </c>
      <c r="B90" s="23">
        <v>41408.50651684028</v>
      </c>
      <c r="C90" s="5">
        <v>3</v>
      </c>
      <c r="D90" s="5">
        <v>34</v>
      </c>
      <c r="E90" s="5">
        <v>698</v>
      </c>
      <c r="F90" s="5">
        <v>698</v>
      </c>
      <c r="G90" s="5">
        <v>698</v>
      </c>
      <c r="H90" s="5">
        <v>82.6</v>
      </c>
      <c r="I90" s="5">
        <v>82.6</v>
      </c>
      <c r="J90" s="5">
        <v>1701</v>
      </c>
      <c r="K90" s="5">
        <v>28</v>
      </c>
      <c r="L90" s="5">
        <v>28</v>
      </c>
      <c r="M90" s="5">
        <v>0.23</v>
      </c>
      <c r="N90" s="5">
        <v>0.22998399999999999</v>
      </c>
      <c r="O90" s="5">
        <v>1</v>
      </c>
      <c r="P90" s="5">
        <v>1.0693790000000001</v>
      </c>
      <c r="Q90" s="5">
        <v>-2.93</v>
      </c>
      <c r="R90" s="5">
        <v>-2.9333499999999999</v>
      </c>
      <c r="S90" s="5">
        <v>173.67</v>
      </c>
      <c r="T90" s="5">
        <v>173.67189999999999</v>
      </c>
      <c r="U90" s="5">
        <v>3.5</v>
      </c>
      <c r="V90" s="5">
        <v>3.5</v>
      </c>
      <c r="W90" s="5">
        <v>300</v>
      </c>
      <c r="X90" s="5">
        <v>300</v>
      </c>
      <c r="Y90" s="5">
        <v>3.5</v>
      </c>
      <c r="Z90" s="5">
        <v>3.5</v>
      </c>
      <c r="AA90" s="5">
        <v>300</v>
      </c>
      <c r="AB90" s="5">
        <v>300</v>
      </c>
      <c r="AC90" s="5">
        <v>0</v>
      </c>
      <c r="AD90" s="5">
        <v>140.79730000000001</v>
      </c>
      <c r="AE90" s="5">
        <v>0</v>
      </c>
      <c r="AF90" s="5">
        <v>140.79730000000001</v>
      </c>
      <c r="AG90" s="5">
        <v>40</v>
      </c>
      <c r="AH90" s="5">
        <v>0.17</v>
      </c>
      <c r="AI90" s="5">
        <v>78.959999999999994</v>
      </c>
      <c r="AJ90" s="5">
        <v>111.82</v>
      </c>
      <c r="AK90" s="5">
        <v>130.59</v>
      </c>
      <c r="AL90" s="5">
        <v>132.69</v>
      </c>
      <c r="AM90" s="5">
        <v>605.47</v>
      </c>
      <c r="AN90" s="5">
        <v>210.95949999999999</v>
      </c>
      <c r="AO90" s="5">
        <v>111.78</v>
      </c>
      <c r="AP90" s="5">
        <v>137.05000000000001</v>
      </c>
      <c r="AQ90" s="5">
        <v>127.6</v>
      </c>
      <c r="AR90" s="5">
        <v>613.44000000000005</v>
      </c>
      <c r="AS90" s="5">
        <v>18.8</v>
      </c>
      <c r="AT90" s="5">
        <v>62.11</v>
      </c>
      <c r="AU90" s="5">
        <v>100.86</v>
      </c>
      <c r="AV90" s="5">
        <v>111.8</v>
      </c>
      <c r="AW90" s="5">
        <v>0.17299999999999999</v>
      </c>
      <c r="AX90" s="5">
        <v>2.4</v>
      </c>
      <c r="AY90" s="5">
        <v>10000000000</v>
      </c>
      <c r="AZ90" s="5">
        <v>98.05</v>
      </c>
      <c r="BA90" s="5">
        <v>22.59</v>
      </c>
      <c r="BB90" s="5">
        <v>9.57</v>
      </c>
      <c r="BC90" s="5">
        <v>1.1299999999999999</v>
      </c>
      <c r="BD90" s="5">
        <v>7.38</v>
      </c>
      <c r="BE90" s="5">
        <v>3.06</v>
      </c>
      <c r="BF90" s="5">
        <v>486.49</v>
      </c>
      <c r="BG90" s="5">
        <v>11.76</v>
      </c>
      <c r="BH90" s="5">
        <v>10000000000</v>
      </c>
      <c r="BI90" s="5">
        <v>221.3</v>
      </c>
      <c r="BJ90" s="5">
        <v>22.3</v>
      </c>
      <c r="BK90" s="5">
        <v>85.5</v>
      </c>
      <c r="BL90" s="5">
        <v>81.75</v>
      </c>
      <c r="BM90" s="5">
        <v>2.27</v>
      </c>
      <c r="BN90" s="5">
        <v>30</v>
      </c>
      <c r="BO90" s="5">
        <v>37.72</v>
      </c>
      <c r="BP90" s="5">
        <v>641.1</v>
      </c>
      <c r="BQ90" s="5">
        <v>62.888959999999997</v>
      </c>
      <c r="BR90" s="5">
        <v>229.851</v>
      </c>
      <c r="BS90" s="5">
        <v>43.282629999999997</v>
      </c>
      <c r="BT90" s="5">
        <v>37.73368</v>
      </c>
      <c r="BU90" s="5">
        <v>37.408439999999999</v>
      </c>
      <c r="BV90" s="5">
        <v>9.5154000000000002E-2</v>
      </c>
      <c r="BW90" s="5">
        <v>9.5305000000000001E-2</v>
      </c>
      <c r="BX90" s="5">
        <v>94.753799999999998</v>
      </c>
      <c r="BY90" s="5">
        <v>18.995360000000002</v>
      </c>
      <c r="BZ90" s="5">
        <v>0</v>
      </c>
      <c r="CA90" s="5">
        <v>0.92746899999999999</v>
      </c>
      <c r="CB90" s="5">
        <v>723.00099999999998</v>
      </c>
      <c r="CC90" s="5">
        <v>748.4348</v>
      </c>
      <c r="CD90" s="5">
        <v>101.7611</v>
      </c>
      <c r="CE90" s="5">
        <v>538.21</v>
      </c>
      <c r="CF90" s="5">
        <v>86.44</v>
      </c>
      <c r="CG90" s="5">
        <v>98.15</v>
      </c>
      <c r="CH90" s="5">
        <v>491.4</v>
      </c>
      <c r="CI90" s="5">
        <v>515.54999999999995</v>
      </c>
      <c r="CJ90" s="5">
        <v>533.32000000000005</v>
      </c>
      <c r="CK90" s="5">
        <v>562.83000000000004</v>
      </c>
      <c r="CL90" s="5">
        <v>555.32000000000005</v>
      </c>
      <c r="CM90" s="5">
        <v>558.51</v>
      </c>
      <c r="CN90" s="5">
        <v>472.96</v>
      </c>
      <c r="CO90" s="5">
        <v>32.49</v>
      </c>
      <c r="CP90" s="5">
        <v>698.1</v>
      </c>
      <c r="CQ90" s="5">
        <v>698.05</v>
      </c>
      <c r="CR90" s="5">
        <v>12.5</v>
      </c>
      <c r="CS90" s="5">
        <v>12.5</v>
      </c>
      <c r="CT90" s="5">
        <v>26.93</v>
      </c>
      <c r="CU90" s="5">
        <v>18.239999999999998</v>
      </c>
      <c r="CV90" s="5">
        <v>99.32</v>
      </c>
      <c r="CW90" s="5">
        <v>0.82700451045994627</v>
      </c>
      <c r="CX90" s="5">
        <v>2.5306338020074355</v>
      </c>
    </row>
    <row r="91" spans="1:102" x14ac:dyDescent="0.25">
      <c r="A91" s="5">
        <v>31</v>
      </c>
      <c r="B91" s="23">
        <v>41407.674773101855</v>
      </c>
      <c r="C91" s="5">
        <v>3</v>
      </c>
      <c r="D91" s="5">
        <v>7</v>
      </c>
      <c r="E91" s="5">
        <v>580</v>
      </c>
      <c r="F91" s="5">
        <v>580</v>
      </c>
      <c r="G91" s="5">
        <v>580.1</v>
      </c>
      <c r="H91" s="5">
        <v>82.6</v>
      </c>
      <c r="I91" s="5">
        <v>82.6</v>
      </c>
      <c r="J91" s="5">
        <v>1701</v>
      </c>
      <c r="K91" s="5">
        <v>58</v>
      </c>
      <c r="L91" s="5">
        <v>58</v>
      </c>
      <c r="M91" s="5">
        <v>0.18</v>
      </c>
      <c r="N91" s="5">
        <v>0.17994599999999999</v>
      </c>
      <c r="O91" s="5">
        <v>1</v>
      </c>
      <c r="P91" s="5">
        <v>1.069372</v>
      </c>
      <c r="Q91" s="5">
        <v>-3.5</v>
      </c>
      <c r="R91" s="5">
        <v>-3.5046390000000001</v>
      </c>
      <c r="S91" s="5">
        <v>175.38</v>
      </c>
      <c r="T91" s="5">
        <v>175.375</v>
      </c>
      <c r="U91" s="5">
        <v>3.5</v>
      </c>
      <c r="V91" s="5">
        <v>3.5</v>
      </c>
      <c r="W91" s="5">
        <v>300</v>
      </c>
      <c r="X91" s="5">
        <v>300</v>
      </c>
      <c r="Y91" s="5">
        <v>3.5</v>
      </c>
      <c r="Z91" s="5">
        <v>3.5</v>
      </c>
      <c r="AA91" s="5">
        <v>300</v>
      </c>
      <c r="AB91" s="5">
        <v>300</v>
      </c>
      <c r="AC91" s="5">
        <v>0</v>
      </c>
      <c r="AD91" s="5">
        <v>170.57830000000001</v>
      </c>
      <c r="AE91" s="5">
        <v>0</v>
      </c>
      <c r="AF91" s="5">
        <v>151.53489999999999</v>
      </c>
      <c r="AG91" s="5">
        <v>40</v>
      </c>
      <c r="AH91" s="5">
        <v>0.17</v>
      </c>
      <c r="AI91" s="5">
        <v>90.21</v>
      </c>
      <c r="AJ91" s="5">
        <v>118.98</v>
      </c>
      <c r="AK91" s="5">
        <v>220.33</v>
      </c>
      <c r="AL91" s="5">
        <v>219.72</v>
      </c>
      <c r="AM91" s="5">
        <v>490.43</v>
      </c>
      <c r="AN91" s="5">
        <v>245.93989999999999</v>
      </c>
      <c r="AO91" s="5">
        <v>147.4</v>
      </c>
      <c r="AP91" s="5">
        <v>151.29</v>
      </c>
      <c r="AQ91" s="5">
        <v>161.9</v>
      </c>
      <c r="AR91" s="5">
        <v>618.94000000000005</v>
      </c>
      <c r="AS91" s="5">
        <v>72.930000000000007</v>
      </c>
      <c r="AT91" s="5">
        <v>70.06</v>
      </c>
      <c r="AU91" s="5">
        <v>114.53</v>
      </c>
      <c r="AV91" s="5">
        <v>122.72</v>
      </c>
      <c r="AW91" s="5">
        <v>0.14899999999999999</v>
      </c>
      <c r="AX91" s="5">
        <v>2.04</v>
      </c>
      <c r="AY91" s="5">
        <v>1.5349999999999999</v>
      </c>
      <c r="AZ91" s="5">
        <v>89.2</v>
      </c>
      <c r="BA91" s="5">
        <v>23.71</v>
      </c>
      <c r="BB91" s="5">
        <v>8.11</v>
      </c>
      <c r="BC91" s="5">
        <v>1.81</v>
      </c>
      <c r="BD91" s="5">
        <v>9.25</v>
      </c>
      <c r="BE91" s="5">
        <v>1.87</v>
      </c>
      <c r="BF91" s="5">
        <v>238.9</v>
      </c>
      <c r="BG91" s="5">
        <v>22.27</v>
      </c>
      <c r="BH91" s="5">
        <v>0.11</v>
      </c>
      <c r="BI91" s="5">
        <v>229.9</v>
      </c>
      <c r="BJ91" s="5">
        <v>26.1</v>
      </c>
      <c r="BK91" s="5">
        <v>83.8</v>
      </c>
      <c r="BL91" s="5">
        <v>177.31</v>
      </c>
      <c r="BM91" s="5">
        <v>2.66</v>
      </c>
      <c r="BN91" s="5">
        <v>30.65</v>
      </c>
      <c r="BO91" s="5">
        <v>36.51</v>
      </c>
      <c r="BP91" s="5">
        <v>642.63</v>
      </c>
      <c r="BQ91" s="5">
        <v>69.453590000000005</v>
      </c>
      <c r="BR91" s="5">
        <v>315.15870000000001</v>
      </c>
      <c r="BS91" s="5">
        <v>44.447749999999999</v>
      </c>
      <c r="BT91" s="5">
        <v>51.682200000000002</v>
      </c>
      <c r="BU91" s="5">
        <v>50.458880000000001</v>
      </c>
      <c r="BV91" s="5">
        <v>9.2314999999999994E-2</v>
      </c>
      <c r="BW91" s="5">
        <v>8.1674999999999998E-2</v>
      </c>
      <c r="BX91" s="5">
        <v>80.294060000000002</v>
      </c>
      <c r="BY91" s="5">
        <v>18.995360000000002</v>
      </c>
      <c r="BZ91" s="5">
        <v>0</v>
      </c>
      <c r="CA91" s="5">
        <v>0.93491599999999997</v>
      </c>
      <c r="CB91" s="5">
        <v>833.3673</v>
      </c>
      <c r="CC91" s="5">
        <v>855.17460000000005</v>
      </c>
      <c r="CD91" s="5">
        <v>87.288700000000006</v>
      </c>
      <c r="CE91" s="5">
        <v>504.21</v>
      </c>
      <c r="CF91" s="5">
        <v>95.93</v>
      </c>
      <c r="CG91" s="5">
        <v>110.66</v>
      </c>
      <c r="CH91" s="5">
        <v>429.22</v>
      </c>
      <c r="CI91" s="5">
        <v>447.78</v>
      </c>
      <c r="CJ91" s="5">
        <v>455.9</v>
      </c>
      <c r="CK91" s="5">
        <v>483.05</v>
      </c>
      <c r="CL91" s="5">
        <v>485.12</v>
      </c>
      <c r="CM91" s="5">
        <v>489.62</v>
      </c>
      <c r="CN91" s="5">
        <v>341.24</v>
      </c>
      <c r="CO91" s="5">
        <v>31.18</v>
      </c>
      <c r="CP91" s="5">
        <v>578</v>
      </c>
      <c r="CQ91" s="5">
        <v>580.04999999999995</v>
      </c>
      <c r="CR91" s="5">
        <v>10.4</v>
      </c>
      <c r="CS91" s="5">
        <v>10.4</v>
      </c>
      <c r="CT91" s="5">
        <v>26.04</v>
      </c>
      <c r="CU91" s="5">
        <v>29.03</v>
      </c>
      <c r="CV91" s="5">
        <v>99.88</v>
      </c>
      <c r="CW91" s="5">
        <v>0.85269519508021419</v>
      </c>
      <c r="CX91" s="5">
        <v>1.5945400148000006</v>
      </c>
    </row>
    <row r="92" spans="1:102" x14ac:dyDescent="0.25">
      <c r="A92" s="5">
        <v>38</v>
      </c>
      <c r="B92" s="23">
        <v>41407.715801597224</v>
      </c>
      <c r="C92" s="5">
        <v>3</v>
      </c>
      <c r="D92" s="5">
        <v>13</v>
      </c>
      <c r="E92" s="5">
        <v>605</v>
      </c>
      <c r="F92" s="5">
        <v>605</v>
      </c>
      <c r="G92" s="5">
        <v>605</v>
      </c>
      <c r="H92" s="5">
        <v>82.6</v>
      </c>
      <c r="I92" s="5">
        <v>82.6</v>
      </c>
      <c r="J92" s="5">
        <v>1701</v>
      </c>
      <c r="K92" s="5">
        <v>48</v>
      </c>
      <c r="L92" s="5">
        <v>48</v>
      </c>
      <c r="M92" s="5">
        <v>0.11</v>
      </c>
      <c r="N92" s="5">
        <v>0.109953</v>
      </c>
      <c r="O92" s="5">
        <v>1</v>
      </c>
      <c r="P92" s="5">
        <v>1.069585</v>
      </c>
      <c r="Q92" s="5">
        <v>-3.19</v>
      </c>
      <c r="R92" s="5">
        <v>-3.186035</v>
      </c>
      <c r="S92" s="5">
        <v>178.61</v>
      </c>
      <c r="T92" s="5">
        <v>178.60939999999999</v>
      </c>
      <c r="U92" s="5">
        <v>3.5</v>
      </c>
      <c r="V92" s="5">
        <v>3.5</v>
      </c>
      <c r="W92" s="5">
        <v>300</v>
      </c>
      <c r="X92" s="5">
        <v>300</v>
      </c>
      <c r="Y92" s="5">
        <v>3.5</v>
      </c>
      <c r="Z92" s="5">
        <v>3.5</v>
      </c>
      <c r="AA92" s="5">
        <v>300</v>
      </c>
      <c r="AB92" s="5">
        <v>300</v>
      </c>
      <c r="AC92" s="5">
        <v>0</v>
      </c>
      <c r="AD92" s="5">
        <v>171.0736</v>
      </c>
      <c r="AE92" s="5">
        <v>0</v>
      </c>
      <c r="AF92" s="5">
        <v>151.5351</v>
      </c>
      <c r="AG92" s="5">
        <v>40</v>
      </c>
      <c r="AH92" s="5">
        <v>0.17</v>
      </c>
      <c r="AI92" s="5">
        <v>89.49</v>
      </c>
      <c r="AJ92" s="5">
        <v>120.32</v>
      </c>
      <c r="AK92" s="5">
        <v>199.3</v>
      </c>
      <c r="AL92" s="5">
        <v>200.88</v>
      </c>
      <c r="AM92" s="5">
        <v>488.93</v>
      </c>
      <c r="AN92" s="5">
        <v>241.5787</v>
      </c>
      <c r="AO92" s="5">
        <v>142.18</v>
      </c>
      <c r="AP92" s="5">
        <v>144.38999999999999</v>
      </c>
      <c r="AQ92" s="5">
        <v>158.52000000000001</v>
      </c>
      <c r="AR92" s="5">
        <v>688.09</v>
      </c>
      <c r="AS92" s="5">
        <v>57.13</v>
      </c>
      <c r="AT92" s="5">
        <v>61.74</v>
      </c>
      <c r="AU92" s="5">
        <v>101.07</v>
      </c>
      <c r="AV92" s="5">
        <v>119.49</v>
      </c>
      <c r="AW92" s="5">
        <v>4.3999999999999997E-2</v>
      </c>
      <c r="AX92" s="5">
        <v>0.59</v>
      </c>
      <c r="AY92" s="5">
        <v>10000000000</v>
      </c>
      <c r="AZ92" s="5">
        <v>47.96</v>
      </c>
      <c r="BA92" s="5">
        <v>21.39</v>
      </c>
      <c r="BB92" s="5">
        <v>7.33</v>
      </c>
      <c r="BC92" s="5">
        <v>0.88</v>
      </c>
      <c r="BD92" s="5">
        <v>10.37</v>
      </c>
      <c r="BE92" s="5">
        <v>4.3</v>
      </c>
      <c r="BF92" s="5">
        <v>506.34</v>
      </c>
      <c r="BG92" s="5">
        <v>12.02</v>
      </c>
      <c r="BH92" s="5">
        <v>10000000000</v>
      </c>
      <c r="BI92" s="5">
        <v>223.1</v>
      </c>
      <c r="BJ92" s="5">
        <v>28.6</v>
      </c>
      <c r="BK92" s="5">
        <v>84.4</v>
      </c>
      <c r="BL92" s="5">
        <v>94.05</v>
      </c>
      <c r="BM92" s="5">
        <v>2.59</v>
      </c>
      <c r="BN92" s="5">
        <v>29.8</v>
      </c>
      <c r="BO92" s="5">
        <v>35.85</v>
      </c>
      <c r="BP92" s="5">
        <v>712.59</v>
      </c>
      <c r="BQ92" s="5">
        <v>62.453960000000002</v>
      </c>
      <c r="BR92" s="5">
        <v>299.85649999999998</v>
      </c>
      <c r="BS92" s="5">
        <v>44.278799999999997</v>
      </c>
      <c r="BT92" s="5">
        <v>51.280610000000003</v>
      </c>
      <c r="BU92" s="5">
        <v>50.082419999999999</v>
      </c>
      <c r="BV92" s="5">
        <v>9.1087000000000001E-2</v>
      </c>
      <c r="BW92" s="5">
        <v>8.0795000000000006E-2</v>
      </c>
      <c r="BX92" s="5">
        <v>81.277240000000006</v>
      </c>
      <c r="BY92" s="5">
        <v>18.995360000000002</v>
      </c>
      <c r="BZ92" s="5">
        <v>0</v>
      </c>
      <c r="CA92" s="5">
        <v>0.93437499999999996</v>
      </c>
      <c r="CB92" s="5">
        <v>835.17100000000005</v>
      </c>
      <c r="CC92" s="5">
        <v>857.22379999999998</v>
      </c>
      <c r="CD92" s="5">
        <v>88.273380000000003</v>
      </c>
      <c r="CE92" s="5">
        <v>463.83</v>
      </c>
      <c r="CF92" s="5">
        <v>83.18</v>
      </c>
      <c r="CG92" s="5">
        <v>95.58</v>
      </c>
      <c r="CH92" s="5">
        <v>416.72</v>
      </c>
      <c r="CI92" s="5">
        <v>435.28</v>
      </c>
      <c r="CJ92" s="5">
        <v>449.34</v>
      </c>
      <c r="CK92" s="5">
        <v>477.74</v>
      </c>
      <c r="CL92" s="5">
        <v>473</v>
      </c>
      <c r="CM92" s="5">
        <v>477.75</v>
      </c>
      <c r="CN92" s="5">
        <v>344.43</v>
      </c>
      <c r="CO92" s="5">
        <v>29.16</v>
      </c>
      <c r="CP92" s="5">
        <v>601.70000000000005</v>
      </c>
      <c r="CQ92" s="5">
        <v>605.04999999999995</v>
      </c>
      <c r="CR92" s="5">
        <v>10.8</v>
      </c>
      <c r="CS92" s="5">
        <v>10.8</v>
      </c>
      <c r="CT92" s="5">
        <v>25.77</v>
      </c>
      <c r="CU92" s="5">
        <v>35.9</v>
      </c>
      <c r="CV92" s="5">
        <v>99.84</v>
      </c>
      <c r="CW92" s="5">
        <v>0.87865689448577455</v>
      </c>
      <c r="CX92" s="5">
        <v>3.7782246462888303</v>
      </c>
    </row>
    <row r="93" spans="1:102" x14ac:dyDescent="0.25">
      <c r="A93" s="5">
        <v>14</v>
      </c>
      <c r="B93" s="23">
        <v>41408.511937094911</v>
      </c>
      <c r="C93" s="5">
        <v>3</v>
      </c>
      <c r="D93" s="5">
        <v>35</v>
      </c>
      <c r="E93" s="5">
        <v>705</v>
      </c>
      <c r="F93" s="5">
        <v>705</v>
      </c>
      <c r="G93" s="5">
        <v>705</v>
      </c>
      <c r="H93" s="5">
        <v>82.6</v>
      </c>
      <c r="I93" s="5">
        <v>82.6</v>
      </c>
      <c r="J93" s="5">
        <v>1701</v>
      </c>
      <c r="K93" s="5">
        <v>25</v>
      </c>
      <c r="L93" s="5">
        <v>25</v>
      </c>
      <c r="M93" s="5">
        <v>0.22</v>
      </c>
      <c r="N93" s="5">
        <v>0.220051</v>
      </c>
      <c r="O93" s="5">
        <v>1</v>
      </c>
      <c r="P93" s="5">
        <v>1.069383</v>
      </c>
      <c r="Q93" s="5">
        <v>-2.72</v>
      </c>
      <c r="R93" s="5">
        <v>-2.7246090000000001</v>
      </c>
      <c r="S93" s="5">
        <v>173.71</v>
      </c>
      <c r="T93" s="5">
        <v>173.70310000000001</v>
      </c>
      <c r="U93" s="5">
        <v>3.5</v>
      </c>
      <c r="V93" s="5">
        <v>3.5</v>
      </c>
      <c r="W93" s="5">
        <v>300</v>
      </c>
      <c r="X93" s="5">
        <v>300</v>
      </c>
      <c r="Y93" s="5">
        <v>0</v>
      </c>
      <c r="Z93" s="5">
        <v>0</v>
      </c>
      <c r="AA93" s="5">
        <v>300</v>
      </c>
      <c r="AB93" s="5">
        <v>300</v>
      </c>
      <c r="AC93" s="5">
        <v>0</v>
      </c>
      <c r="AD93" s="5">
        <v>140.98820000000001</v>
      </c>
      <c r="AE93" s="5">
        <v>0</v>
      </c>
      <c r="AF93" s="5">
        <v>140.98820000000001</v>
      </c>
      <c r="AG93" s="5">
        <v>40</v>
      </c>
      <c r="AH93" s="5">
        <v>0.17</v>
      </c>
      <c r="AI93" s="5">
        <v>79.400000000000006</v>
      </c>
      <c r="AJ93" s="5">
        <v>110.26</v>
      </c>
      <c r="AK93" s="5">
        <v>127.36</v>
      </c>
      <c r="AL93" s="5">
        <v>130.01</v>
      </c>
      <c r="AM93" s="5">
        <v>603.45000000000005</v>
      </c>
      <c r="AN93" s="5">
        <v>210.4254</v>
      </c>
      <c r="AO93" s="5">
        <v>111.16</v>
      </c>
      <c r="AP93" s="5">
        <v>124.21</v>
      </c>
      <c r="AQ93" s="5">
        <v>127.21</v>
      </c>
      <c r="AR93" s="5">
        <v>617.33000000000004</v>
      </c>
      <c r="AS93" s="5">
        <v>16.21</v>
      </c>
      <c r="AT93" s="5">
        <v>60.83</v>
      </c>
      <c r="AU93" s="5">
        <v>99.45</v>
      </c>
      <c r="AV93" s="5">
        <v>119.23</v>
      </c>
      <c r="AW93" s="5">
        <v>0.191</v>
      </c>
      <c r="AX93" s="5">
        <v>2.66</v>
      </c>
      <c r="AY93" s="5">
        <v>10000000000</v>
      </c>
      <c r="AZ93" s="5">
        <v>130.62</v>
      </c>
      <c r="BA93" s="5">
        <v>20.100000000000001</v>
      </c>
      <c r="BB93" s="5">
        <v>9.4600000000000009</v>
      </c>
      <c r="BC93" s="5">
        <v>0.95</v>
      </c>
      <c r="BD93" s="5">
        <v>7.54</v>
      </c>
      <c r="BE93" s="5">
        <v>3.53</v>
      </c>
      <c r="BF93" s="5">
        <v>563.94000000000005</v>
      </c>
      <c r="BG93" s="5">
        <v>10.039999999999999</v>
      </c>
      <c r="BH93" s="5">
        <v>10000000000</v>
      </c>
      <c r="BI93" s="5">
        <v>219.7</v>
      </c>
      <c r="BJ93" s="5">
        <v>22.4</v>
      </c>
      <c r="BK93" s="5">
        <v>84.7</v>
      </c>
      <c r="BL93" s="5">
        <v>68.88</v>
      </c>
      <c r="BM93" s="5">
        <v>2.2599999999999998</v>
      </c>
      <c r="BN93" s="5">
        <v>29.85</v>
      </c>
      <c r="BO93" s="5">
        <v>37.700000000000003</v>
      </c>
      <c r="BP93" s="5">
        <v>644.63</v>
      </c>
      <c r="BQ93" s="5">
        <v>61.656300000000002</v>
      </c>
      <c r="BR93" s="5">
        <v>227.8254</v>
      </c>
      <c r="BS93" s="5">
        <v>43.090910000000001</v>
      </c>
      <c r="BT93" s="5">
        <v>36.287860000000002</v>
      </c>
      <c r="BU93" s="5">
        <v>36.02281</v>
      </c>
      <c r="BV93" s="5">
        <v>9.8420999999999995E-2</v>
      </c>
      <c r="BW93" s="5">
        <v>9.9386000000000002E-2</v>
      </c>
      <c r="BX93" s="5">
        <v>101.759</v>
      </c>
      <c r="BY93" s="5">
        <v>18.995360000000002</v>
      </c>
      <c r="BZ93" s="5">
        <v>0</v>
      </c>
      <c r="CA93" s="5">
        <v>0.92654499999999995</v>
      </c>
      <c r="CB93" s="5">
        <v>723.07309999999995</v>
      </c>
      <c r="CC93" s="5">
        <v>749.38789999999995</v>
      </c>
      <c r="CD93" s="5">
        <v>105.2621</v>
      </c>
      <c r="CE93" s="5">
        <v>515.58000000000004</v>
      </c>
      <c r="CF93" s="5">
        <v>85.16</v>
      </c>
      <c r="CG93" s="5">
        <v>96.88</v>
      </c>
      <c r="CH93" s="5">
        <v>492.28</v>
      </c>
      <c r="CI93" s="5">
        <v>517.52</v>
      </c>
      <c r="CJ93" s="5">
        <v>530.91</v>
      </c>
      <c r="CK93" s="5">
        <v>546.71</v>
      </c>
      <c r="CL93" s="5">
        <v>550.46</v>
      </c>
      <c r="CM93" s="5">
        <v>547.27</v>
      </c>
      <c r="CN93" s="5">
        <v>472.62</v>
      </c>
      <c r="CO93" s="5">
        <v>28.24</v>
      </c>
      <c r="CP93" s="5">
        <v>701.5</v>
      </c>
      <c r="CQ93" s="5">
        <v>705.04</v>
      </c>
      <c r="CR93" s="5">
        <v>12.6</v>
      </c>
      <c r="CS93" s="5">
        <v>12.6</v>
      </c>
      <c r="CT93" s="5">
        <v>25.47</v>
      </c>
      <c r="CU93" s="5">
        <v>36.57</v>
      </c>
      <c r="CV93" s="5">
        <v>99.31</v>
      </c>
      <c r="CW93" s="5">
        <v>0.87372692561366117</v>
      </c>
      <c r="CX93" s="5">
        <v>3.0842560474162237</v>
      </c>
    </row>
    <row r="94" spans="1:102" x14ac:dyDescent="0.25">
      <c r="A94" s="5">
        <v>6</v>
      </c>
      <c r="B94" s="23">
        <v>41408.460138009257</v>
      </c>
      <c r="C94" s="5">
        <v>3</v>
      </c>
      <c r="D94" s="5">
        <v>28</v>
      </c>
      <c r="E94" s="5">
        <v>673</v>
      </c>
      <c r="F94" s="5">
        <v>673</v>
      </c>
      <c r="G94" s="5">
        <v>673</v>
      </c>
      <c r="H94" s="5">
        <v>82.6</v>
      </c>
      <c r="I94" s="5">
        <v>82.6</v>
      </c>
      <c r="J94" s="5">
        <v>1701</v>
      </c>
      <c r="K94" s="5">
        <v>43</v>
      </c>
      <c r="L94" s="5">
        <v>43</v>
      </c>
      <c r="M94" s="5">
        <v>0.11</v>
      </c>
      <c r="N94" s="5">
        <v>0.109995</v>
      </c>
      <c r="O94" s="5">
        <v>1</v>
      </c>
      <c r="P94" s="5">
        <v>1.069507</v>
      </c>
      <c r="Q94" s="5">
        <v>-2.99</v>
      </c>
      <c r="R94" s="5">
        <v>-2.9882810000000002</v>
      </c>
      <c r="S94" s="5">
        <v>174.99</v>
      </c>
      <c r="T94" s="5">
        <v>174.98439999999999</v>
      </c>
      <c r="U94" s="5">
        <v>3.5</v>
      </c>
      <c r="V94" s="5">
        <v>3.5</v>
      </c>
      <c r="W94" s="5">
        <v>300</v>
      </c>
      <c r="X94" s="5">
        <v>300</v>
      </c>
      <c r="Y94" s="5">
        <v>3.5</v>
      </c>
      <c r="Z94" s="5">
        <v>3.5</v>
      </c>
      <c r="AA94" s="5">
        <v>300</v>
      </c>
      <c r="AB94" s="5">
        <v>300</v>
      </c>
      <c r="AC94" s="5">
        <v>0</v>
      </c>
      <c r="AD94" s="5">
        <v>171.197</v>
      </c>
      <c r="AE94" s="5">
        <v>0</v>
      </c>
      <c r="AF94" s="5">
        <v>151.5393</v>
      </c>
      <c r="AG94" s="5">
        <v>40</v>
      </c>
      <c r="AH94" s="5">
        <v>0.17</v>
      </c>
      <c r="AI94" s="5">
        <v>89.59</v>
      </c>
      <c r="AJ94" s="5">
        <v>121.44</v>
      </c>
      <c r="AK94" s="5">
        <v>189.42</v>
      </c>
      <c r="AL94" s="5">
        <v>191.16</v>
      </c>
      <c r="AM94" s="5">
        <v>532</v>
      </c>
      <c r="AN94" s="5">
        <v>241.46799999999999</v>
      </c>
      <c r="AO94" s="5">
        <v>142.28</v>
      </c>
      <c r="AP94" s="5">
        <v>146.18</v>
      </c>
      <c r="AQ94" s="5">
        <v>160.09</v>
      </c>
      <c r="AR94" s="5">
        <v>695.21</v>
      </c>
      <c r="AS94" s="5">
        <v>47.14</v>
      </c>
      <c r="AT94" s="5">
        <v>61.28</v>
      </c>
      <c r="AU94" s="5">
        <v>101.41</v>
      </c>
      <c r="AV94" s="5">
        <v>110.32</v>
      </c>
      <c r="AW94" s="5">
        <v>0.05</v>
      </c>
      <c r="AX94" s="5">
        <v>0.66</v>
      </c>
      <c r="AY94" s="5">
        <v>10000000000</v>
      </c>
      <c r="AZ94" s="5">
        <v>41.44</v>
      </c>
      <c r="BA94" s="5">
        <v>21.37</v>
      </c>
      <c r="BB94" s="5">
        <v>7.96</v>
      </c>
      <c r="BC94" s="5">
        <v>0.86</v>
      </c>
      <c r="BD94" s="5">
        <v>9.56</v>
      </c>
      <c r="BE94" s="5">
        <v>4.12</v>
      </c>
      <c r="BF94" s="5">
        <v>541.98</v>
      </c>
      <c r="BG94" s="5">
        <v>10.76</v>
      </c>
      <c r="BH94" s="5">
        <v>10000000000</v>
      </c>
      <c r="BI94" s="5">
        <v>220.7</v>
      </c>
      <c r="BJ94" s="5">
        <v>26.3</v>
      </c>
      <c r="BK94" s="5">
        <v>84.1</v>
      </c>
      <c r="BL94" s="5">
        <v>83.78</v>
      </c>
      <c r="BM94" s="5">
        <v>2.59</v>
      </c>
      <c r="BN94" s="5">
        <v>29.78</v>
      </c>
      <c r="BO94" s="5">
        <v>36.450000000000003</v>
      </c>
      <c r="BP94" s="5">
        <v>721.27</v>
      </c>
      <c r="BQ94" s="5">
        <v>62.075679999999998</v>
      </c>
      <c r="BR94" s="5">
        <v>289.62549999999999</v>
      </c>
      <c r="BS94" s="5">
        <v>43.54448</v>
      </c>
      <c r="BT94" s="5">
        <v>46.027340000000002</v>
      </c>
      <c r="BU94" s="5">
        <v>45.189819999999997</v>
      </c>
      <c r="BV94" s="5">
        <v>9.2243000000000006E-2</v>
      </c>
      <c r="BW94" s="5">
        <v>8.6000999999999994E-2</v>
      </c>
      <c r="BX94" s="5">
        <v>90.233180000000004</v>
      </c>
      <c r="BY94" s="5">
        <v>18.995360000000002</v>
      </c>
      <c r="BZ94" s="5">
        <v>0</v>
      </c>
      <c r="CA94" s="5">
        <v>0.92945299999999997</v>
      </c>
      <c r="CB94" s="5">
        <v>831.30909999999994</v>
      </c>
      <c r="CC94" s="5">
        <v>855.60850000000005</v>
      </c>
      <c r="CD94" s="5">
        <v>97.236720000000005</v>
      </c>
      <c r="CE94" s="5">
        <v>483.39</v>
      </c>
      <c r="CF94" s="5">
        <v>83.73</v>
      </c>
      <c r="CG94" s="5">
        <v>96.73</v>
      </c>
      <c r="CH94" s="5">
        <v>442.78</v>
      </c>
      <c r="CI94" s="5">
        <v>464.45</v>
      </c>
      <c r="CJ94" s="5">
        <v>481.81</v>
      </c>
      <c r="CK94" s="5">
        <v>516.35</v>
      </c>
      <c r="CL94" s="5">
        <v>504.42</v>
      </c>
      <c r="CM94" s="5">
        <v>506.51</v>
      </c>
      <c r="CN94" s="5">
        <v>386.9</v>
      </c>
      <c r="CO94" s="5">
        <v>29.66</v>
      </c>
      <c r="CP94" s="5">
        <v>669.8</v>
      </c>
      <c r="CQ94" s="5">
        <v>673.05</v>
      </c>
      <c r="CR94" s="5">
        <v>12</v>
      </c>
      <c r="CS94" s="5">
        <v>12.1</v>
      </c>
      <c r="CT94" s="5">
        <v>25.83</v>
      </c>
      <c r="CU94" s="5">
        <v>35.130000000000003</v>
      </c>
      <c r="CV94" s="5">
        <v>99.39</v>
      </c>
      <c r="CW94" s="5">
        <v>0.8781202403246029</v>
      </c>
      <c r="CX94" s="5">
        <v>3.6178553901373642</v>
      </c>
    </row>
    <row r="95" spans="1:102" x14ac:dyDescent="0.25">
      <c r="A95" s="5">
        <v>29</v>
      </c>
      <c r="B95" s="23">
        <v>41407.663926875</v>
      </c>
      <c r="C95" s="5">
        <v>3</v>
      </c>
      <c r="D95" s="5">
        <v>5</v>
      </c>
      <c r="E95" s="5">
        <v>567</v>
      </c>
      <c r="F95" s="5">
        <v>567</v>
      </c>
      <c r="G95" s="5">
        <v>567</v>
      </c>
      <c r="H95" s="5">
        <v>82.6</v>
      </c>
      <c r="I95" s="5">
        <v>82.6</v>
      </c>
      <c r="J95" s="5">
        <v>1701</v>
      </c>
      <c r="K95" s="5">
        <v>47</v>
      </c>
      <c r="L95" s="5">
        <v>47</v>
      </c>
      <c r="M95" s="5">
        <v>0.2</v>
      </c>
      <c r="N95" s="5">
        <v>0.200016</v>
      </c>
      <c r="O95" s="5">
        <v>1</v>
      </c>
      <c r="P95" s="5">
        <v>1.0693969999999999</v>
      </c>
      <c r="Q95" s="5">
        <v>-3.69</v>
      </c>
      <c r="R95" s="5">
        <v>-3.6914060000000002</v>
      </c>
      <c r="S95" s="5">
        <v>173.11</v>
      </c>
      <c r="T95" s="5">
        <v>173.10939999999999</v>
      </c>
      <c r="U95" s="5">
        <v>3.5</v>
      </c>
      <c r="V95" s="5">
        <v>3.5</v>
      </c>
      <c r="W95" s="5">
        <v>300</v>
      </c>
      <c r="X95" s="5">
        <v>300</v>
      </c>
      <c r="Y95" s="5">
        <v>3.5</v>
      </c>
      <c r="Z95" s="5">
        <v>3.5</v>
      </c>
      <c r="AA95" s="5">
        <v>300</v>
      </c>
      <c r="AB95" s="5">
        <v>300</v>
      </c>
      <c r="AC95" s="5">
        <v>0</v>
      </c>
      <c r="AD95" s="5">
        <v>145.8185</v>
      </c>
      <c r="AE95" s="5">
        <v>0</v>
      </c>
      <c r="AF95" s="5">
        <v>145.8185</v>
      </c>
      <c r="AG95" s="5">
        <v>40</v>
      </c>
      <c r="AH95" s="5">
        <v>0.17</v>
      </c>
      <c r="AI95" s="5">
        <v>81.38</v>
      </c>
      <c r="AJ95" s="5">
        <v>111.03</v>
      </c>
      <c r="AK95" s="5">
        <v>157.22999999999999</v>
      </c>
      <c r="AL95" s="5">
        <v>157.76</v>
      </c>
      <c r="AM95" s="5">
        <v>503.63</v>
      </c>
      <c r="AN95" s="5">
        <v>218.28540000000001</v>
      </c>
      <c r="AO95" s="5">
        <v>119.12</v>
      </c>
      <c r="AP95" s="5">
        <v>132.49</v>
      </c>
      <c r="AQ95" s="5">
        <v>133.13999999999999</v>
      </c>
      <c r="AR95" s="5">
        <v>592.63</v>
      </c>
      <c r="AS95" s="5">
        <v>38.11</v>
      </c>
      <c r="AT95" s="5">
        <v>64.88</v>
      </c>
      <c r="AU95" s="5">
        <v>105.34</v>
      </c>
      <c r="AV95" s="5">
        <v>124.07</v>
      </c>
      <c r="AW95" s="5">
        <v>0.122</v>
      </c>
      <c r="AX95" s="5">
        <v>1.66</v>
      </c>
      <c r="AY95" s="5">
        <v>1.3712</v>
      </c>
      <c r="AZ95" s="5">
        <v>80.790000000000006</v>
      </c>
      <c r="BA95" s="5">
        <v>25.76</v>
      </c>
      <c r="BB95" s="5">
        <v>8.1199999999999992</v>
      </c>
      <c r="BC95" s="5">
        <v>1.43</v>
      </c>
      <c r="BD95" s="5">
        <v>9.23</v>
      </c>
      <c r="BE95" s="5">
        <v>2.4300000000000002</v>
      </c>
      <c r="BF95" s="5">
        <v>315.8</v>
      </c>
      <c r="BG95" s="5">
        <v>17.59</v>
      </c>
      <c r="BH95" s="5">
        <v>0.1</v>
      </c>
      <c r="BI95" s="5">
        <v>224.6</v>
      </c>
      <c r="BJ95" s="5">
        <v>26.1</v>
      </c>
      <c r="BK95" s="5">
        <v>85.1</v>
      </c>
      <c r="BL95" s="5">
        <v>126.53</v>
      </c>
      <c r="BM95" s="5">
        <v>2.36</v>
      </c>
      <c r="BN95" s="5">
        <v>30.29</v>
      </c>
      <c r="BO95" s="5">
        <v>36.49</v>
      </c>
      <c r="BP95" s="5">
        <v>615.32000000000005</v>
      </c>
      <c r="BQ95" s="5">
        <v>65.221819999999994</v>
      </c>
      <c r="BR95" s="5">
        <v>254.5778</v>
      </c>
      <c r="BS95" s="5">
        <v>45.279359999999997</v>
      </c>
      <c r="BT95" s="5">
        <v>48.703719999999997</v>
      </c>
      <c r="BU95" s="5">
        <v>47.775779999999997</v>
      </c>
      <c r="BV95" s="5">
        <v>9.8365999999999995E-2</v>
      </c>
      <c r="BW95" s="5">
        <v>9.0587000000000001E-2</v>
      </c>
      <c r="BX95" s="5">
        <v>75.453280000000007</v>
      </c>
      <c r="BY95" s="5">
        <v>18.995360000000002</v>
      </c>
      <c r="BZ95" s="5">
        <v>0</v>
      </c>
      <c r="CA95" s="5">
        <v>0.93757299999999999</v>
      </c>
      <c r="CB95" s="5">
        <v>751.03269999999998</v>
      </c>
      <c r="CC95" s="5">
        <v>771.62869999999998</v>
      </c>
      <c r="CD95" s="5">
        <v>82.450360000000003</v>
      </c>
      <c r="CE95" s="5">
        <v>492.05</v>
      </c>
      <c r="CF95" s="5">
        <v>88.14</v>
      </c>
      <c r="CG95" s="5">
        <v>100.25</v>
      </c>
      <c r="CH95" s="5">
        <v>423.23</v>
      </c>
      <c r="CI95" s="5">
        <v>443.95</v>
      </c>
      <c r="CJ95" s="5">
        <v>454.47</v>
      </c>
      <c r="CK95" s="5">
        <v>485.32</v>
      </c>
      <c r="CL95" s="5">
        <v>478.56</v>
      </c>
      <c r="CM95" s="5">
        <v>485.98</v>
      </c>
      <c r="CN95" s="5">
        <v>366.92</v>
      </c>
      <c r="CO95" s="5">
        <v>28.93</v>
      </c>
      <c r="CP95" s="5">
        <v>565</v>
      </c>
      <c r="CQ95" s="5">
        <v>567.04999999999995</v>
      </c>
      <c r="CR95" s="5">
        <v>10.1</v>
      </c>
      <c r="CS95" s="5">
        <v>10.199999999999999</v>
      </c>
      <c r="CT95" s="5">
        <v>25.37</v>
      </c>
      <c r="CU95" s="5">
        <v>34.549999999999997</v>
      </c>
      <c r="CV95" s="5">
        <v>99.91</v>
      </c>
      <c r="CW95" s="5">
        <v>0.86402190970101045</v>
      </c>
      <c r="CX95" s="5">
        <v>2.0995732405734557</v>
      </c>
    </row>
    <row r="96" spans="1:102" x14ac:dyDescent="0.25">
      <c r="A96" s="5">
        <v>34</v>
      </c>
      <c r="B96" s="23">
        <v>41407.691054467592</v>
      </c>
      <c r="C96" s="5">
        <v>3</v>
      </c>
      <c r="D96" s="5">
        <v>10</v>
      </c>
      <c r="E96" s="5">
        <v>592</v>
      </c>
      <c r="F96" s="5">
        <v>592</v>
      </c>
      <c r="G96" s="5">
        <v>592.1</v>
      </c>
      <c r="H96" s="5">
        <v>82.6</v>
      </c>
      <c r="I96" s="5">
        <v>82.6</v>
      </c>
      <c r="J96" s="5">
        <v>1701</v>
      </c>
      <c r="K96" s="5">
        <v>14</v>
      </c>
      <c r="L96" s="5">
        <v>14</v>
      </c>
      <c r="M96" s="5">
        <v>0.11</v>
      </c>
      <c r="N96" s="5">
        <v>0.109956</v>
      </c>
      <c r="O96" s="5">
        <v>1</v>
      </c>
      <c r="P96" s="5">
        <v>1.0693980000000001</v>
      </c>
      <c r="Q96" s="5">
        <v>-3.33</v>
      </c>
      <c r="R96" s="5">
        <v>-3.3288570000000002</v>
      </c>
      <c r="S96" s="5">
        <v>177.48</v>
      </c>
      <c r="T96" s="5">
        <v>177.48439999999999</v>
      </c>
      <c r="U96" s="5">
        <v>3.5</v>
      </c>
      <c r="V96" s="5">
        <v>3.5</v>
      </c>
      <c r="W96" s="5">
        <v>300</v>
      </c>
      <c r="X96" s="5">
        <v>300</v>
      </c>
      <c r="Y96" s="5">
        <v>3.5</v>
      </c>
      <c r="Z96" s="5">
        <v>3.5</v>
      </c>
      <c r="AA96" s="5">
        <v>300</v>
      </c>
      <c r="AB96" s="5">
        <v>300</v>
      </c>
      <c r="AC96" s="5">
        <v>0</v>
      </c>
      <c r="AD96" s="5">
        <v>116.7431</v>
      </c>
      <c r="AE96" s="5">
        <v>0</v>
      </c>
      <c r="AF96" s="5">
        <v>116.7431</v>
      </c>
      <c r="AG96" s="5">
        <v>40</v>
      </c>
      <c r="AH96" s="5">
        <v>0.17</v>
      </c>
      <c r="AI96" s="5">
        <v>66.709999999999994</v>
      </c>
      <c r="AJ96" s="5">
        <v>95.39</v>
      </c>
      <c r="AK96" s="5">
        <v>89.03</v>
      </c>
      <c r="AL96" s="5">
        <v>92.1</v>
      </c>
      <c r="AM96" s="5">
        <v>588.57000000000005</v>
      </c>
      <c r="AN96" s="5">
        <v>174.02539999999999</v>
      </c>
      <c r="AO96" s="5">
        <v>74.099999999999994</v>
      </c>
      <c r="AP96" s="5">
        <v>96.66</v>
      </c>
      <c r="AQ96" s="5">
        <v>87.31</v>
      </c>
      <c r="AR96" s="5">
        <v>545.37</v>
      </c>
      <c r="AS96" s="5">
        <v>14.93</v>
      </c>
      <c r="AT96" s="5">
        <v>58</v>
      </c>
      <c r="AU96" s="5">
        <v>97.89</v>
      </c>
      <c r="AV96" s="5">
        <v>111.17</v>
      </c>
      <c r="AW96" s="5">
        <v>0.11</v>
      </c>
      <c r="AX96" s="5">
        <v>1.49</v>
      </c>
      <c r="AY96" s="5">
        <v>0.99660000000000004</v>
      </c>
      <c r="AZ96" s="5">
        <v>72.22</v>
      </c>
      <c r="BA96" s="5">
        <v>27.79</v>
      </c>
      <c r="BB96" s="5">
        <v>9.1999999999999993</v>
      </c>
      <c r="BC96" s="5">
        <v>0.53</v>
      </c>
      <c r="BD96" s="5">
        <v>7.78</v>
      </c>
      <c r="BE96" s="5">
        <v>4.76</v>
      </c>
      <c r="BF96" s="5">
        <v>717.86</v>
      </c>
      <c r="BG96" s="5">
        <v>5.72</v>
      </c>
      <c r="BH96" s="5">
        <v>7.0000000000000007E-2</v>
      </c>
      <c r="BI96" s="5">
        <v>223.9</v>
      </c>
      <c r="BJ96" s="5">
        <v>23.1</v>
      </c>
      <c r="BK96" s="5">
        <v>86.9</v>
      </c>
      <c r="BL96" s="5">
        <v>33.06</v>
      </c>
      <c r="BM96" s="5">
        <v>1.86</v>
      </c>
      <c r="BN96" s="5">
        <v>29.45</v>
      </c>
      <c r="BO96" s="5">
        <v>37.44</v>
      </c>
      <c r="BP96" s="5">
        <v>568.97</v>
      </c>
      <c r="BQ96" s="5">
        <v>59.24286</v>
      </c>
      <c r="BR96" s="5">
        <v>192.9375</v>
      </c>
      <c r="BS96" s="5">
        <v>44.503570000000003</v>
      </c>
      <c r="BT96" s="5">
        <v>37.176459999999999</v>
      </c>
      <c r="BU96" s="5">
        <v>36.927059999999997</v>
      </c>
      <c r="BV96" s="5">
        <v>9.2716999999999994E-2</v>
      </c>
      <c r="BW96" s="5">
        <v>9.4398999999999997E-2</v>
      </c>
      <c r="BX96" s="5">
        <v>79.963130000000007</v>
      </c>
      <c r="BY96" s="5">
        <v>18.995360000000002</v>
      </c>
      <c r="BZ96" s="5">
        <v>0</v>
      </c>
      <c r="CA96" s="5">
        <v>0.93510000000000004</v>
      </c>
      <c r="CB96" s="5">
        <v>607.87620000000004</v>
      </c>
      <c r="CC96" s="5">
        <v>629.59770000000003</v>
      </c>
      <c r="CD96" s="5">
        <v>86.961929999999995</v>
      </c>
      <c r="CE96" s="5">
        <v>436.56</v>
      </c>
      <c r="CF96" s="5">
        <v>80</v>
      </c>
      <c r="CG96" s="5">
        <v>94.1</v>
      </c>
      <c r="CH96" s="5">
        <v>475.93</v>
      </c>
      <c r="CI96" s="5">
        <v>505.29</v>
      </c>
      <c r="CJ96" s="5">
        <v>515.91999999999996</v>
      </c>
      <c r="CK96" s="5">
        <v>552.51</v>
      </c>
      <c r="CL96" s="5">
        <v>540.72</v>
      </c>
      <c r="CM96" s="5">
        <v>532.78</v>
      </c>
      <c r="CN96" s="5">
        <v>482.12</v>
      </c>
      <c r="CO96" s="5">
        <v>27.65</v>
      </c>
      <c r="CP96" s="5">
        <v>589</v>
      </c>
      <c r="CQ96" s="5">
        <v>592.04999999999995</v>
      </c>
      <c r="CR96" s="5">
        <v>10.6</v>
      </c>
      <c r="CS96" s="5">
        <v>10.6</v>
      </c>
      <c r="CT96" s="5">
        <v>24.93</v>
      </c>
      <c r="CU96" s="5">
        <v>36.4</v>
      </c>
      <c r="CV96" s="5">
        <v>99.85</v>
      </c>
      <c r="CW96" s="5">
        <v>0.85800926690449786</v>
      </c>
      <c r="CX96" s="5">
        <v>4.0841241104654094</v>
      </c>
    </row>
    <row r="97" spans="1:102" x14ac:dyDescent="0.25">
      <c r="A97" s="5">
        <v>47</v>
      </c>
      <c r="B97" s="23">
        <v>41407.764602754629</v>
      </c>
      <c r="C97" s="5">
        <v>3</v>
      </c>
      <c r="D97" s="5">
        <v>22</v>
      </c>
      <c r="E97" s="5">
        <v>648</v>
      </c>
      <c r="F97" s="5">
        <v>648</v>
      </c>
      <c r="G97" s="5">
        <v>648.1</v>
      </c>
      <c r="H97" s="5">
        <v>82.6</v>
      </c>
      <c r="I97" s="5">
        <v>82.6</v>
      </c>
      <c r="J97" s="5">
        <v>1701</v>
      </c>
      <c r="K97" s="5">
        <v>34</v>
      </c>
      <c r="L97" s="5">
        <v>34</v>
      </c>
      <c r="M97" s="5">
        <v>0.1</v>
      </c>
      <c r="N97" s="5">
        <v>9.9943000000000004E-2</v>
      </c>
      <c r="O97" s="5">
        <v>1</v>
      </c>
      <c r="P97" s="5">
        <v>1.069353</v>
      </c>
      <c r="Q97" s="5">
        <v>-3.06</v>
      </c>
      <c r="R97" s="5">
        <v>-3.0651860000000002</v>
      </c>
      <c r="S97" s="5">
        <v>176.31</v>
      </c>
      <c r="T97" s="5">
        <v>176.3125</v>
      </c>
      <c r="U97" s="5">
        <v>3.5</v>
      </c>
      <c r="V97" s="5">
        <v>3.5</v>
      </c>
      <c r="W97" s="5">
        <v>300</v>
      </c>
      <c r="X97" s="5">
        <v>300</v>
      </c>
      <c r="Y97" s="5">
        <v>3.5</v>
      </c>
      <c r="Z97" s="5">
        <v>3.5</v>
      </c>
      <c r="AA97" s="5">
        <v>300</v>
      </c>
      <c r="AB97" s="5">
        <v>300</v>
      </c>
      <c r="AC97" s="5">
        <v>0</v>
      </c>
      <c r="AD97" s="5">
        <v>152.9057</v>
      </c>
      <c r="AE97" s="5">
        <v>0</v>
      </c>
      <c r="AF97" s="5">
        <v>151.536</v>
      </c>
      <c r="AG97" s="5">
        <v>40</v>
      </c>
      <c r="AH97" s="5">
        <v>0.17</v>
      </c>
      <c r="AI97" s="5">
        <v>83.04</v>
      </c>
      <c r="AJ97" s="5">
        <v>114.44</v>
      </c>
      <c r="AK97" s="5">
        <v>152.29</v>
      </c>
      <c r="AL97" s="5">
        <v>155</v>
      </c>
      <c r="AM97" s="5">
        <v>536.89</v>
      </c>
      <c r="AN97" s="5">
        <v>221.10230000000001</v>
      </c>
      <c r="AO97" s="5">
        <v>121.36</v>
      </c>
      <c r="AP97" s="5">
        <v>131</v>
      </c>
      <c r="AQ97" s="5">
        <v>137.30000000000001</v>
      </c>
      <c r="AR97" s="5">
        <v>670.76</v>
      </c>
      <c r="AS97" s="5">
        <v>30.93</v>
      </c>
      <c r="AT97" s="5">
        <v>59.09</v>
      </c>
      <c r="AU97" s="5">
        <v>98.84</v>
      </c>
      <c r="AV97" s="5">
        <v>113.92</v>
      </c>
      <c r="AW97" s="5">
        <v>4.5999999999999999E-2</v>
      </c>
      <c r="AX97" s="5">
        <v>0.61</v>
      </c>
      <c r="AY97" s="5">
        <v>10000000000</v>
      </c>
      <c r="AZ97" s="5">
        <v>40.72</v>
      </c>
      <c r="BA97" s="5">
        <v>22.75</v>
      </c>
      <c r="BB97" s="5">
        <v>7.91</v>
      </c>
      <c r="BC97" s="5">
        <v>0.61</v>
      </c>
      <c r="BD97" s="5">
        <v>9.5299999999999994</v>
      </c>
      <c r="BE97" s="5">
        <v>5</v>
      </c>
      <c r="BF97" s="5">
        <v>656.54</v>
      </c>
      <c r="BG97" s="5">
        <v>7.68</v>
      </c>
      <c r="BH97" s="5">
        <v>10000000000</v>
      </c>
      <c r="BI97" s="5">
        <v>219.1</v>
      </c>
      <c r="BJ97" s="5">
        <v>26.5</v>
      </c>
      <c r="BK97" s="5">
        <v>85.8</v>
      </c>
      <c r="BL97" s="5">
        <v>55.76</v>
      </c>
      <c r="BM97" s="5">
        <v>2.37</v>
      </c>
      <c r="BN97" s="5">
        <v>29.54</v>
      </c>
      <c r="BO97" s="5">
        <v>36.39</v>
      </c>
      <c r="BP97" s="5">
        <v>695.82</v>
      </c>
      <c r="BQ97" s="5">
        <v>59.997450000000001</v>
      </c>
      <c r="BR97" s="5">
        <v>255.67359999999999</v>
      </c>
      <c r="BS97" s="5">
        <v>43.797550000000001</v>
      </c>
      <c r="BT97" s="5">
        <v>44.438319999999997</v>
      </c>
      <c r="BU97" s="5">
        <v>43.727499999999999</v>
      </c>
      <c r="BV97" s="5">
        <v>9.0323000000000001E-2</v>
      </c>
      <c r="BW97" s="5">
        <v>8.5439000000000001E-2</v>
      </c>
      <c r="BX97" s="5">
        <v>86.049319999999994</v>
      </c>
      <c r="BY97" s="5">
        <v>18.995360000000002</v>
      </c>
      <c r="BZ97" s="5">
        <v>0</v>
      </c>
      <c r="CA97" s="5">
        <v>0.93175399999999997</v>
      </c>
      <c r="CB97" s="5">
        <v>767.85289999999998</v>
      </c>
      <c r="CC97" s="5">
        <v>791.10500000000002</v>
      </c>
      <c r="CD97" s="5">
        <v>93.044529999999995</v>
      </c>
      <c r="CE97" s="5">
        <v>443.3</v>
      </c>
      <c r="CF97" s="5">
        <v>81.62</v>
      </c>
      <c r="CG97" s="5">
        <v>94.81</v>
      </c>
      <c r="CH97" s="5">
        <v>439.1</v>
      </c>
      <c r="CI97" s="5">
        <v>465.38</v>
      </c>
      <c r="CJ97" s="5">
        <v>480.02</v>
      </c>
      <c r="CK97" s="5">
        <v>510.57</v>
      </c>
      <c r="CL97" s="5">
        <v>500.02</v>
      </c>
      <c r="CM97" s="5">
        <v>494.93</v>
      </c>
      <c r="CN97" s="5">
        <v>402.75</v>
      </c>
      <c r="CO97" s="5">
        <v>28.29</v>
      </c>
      <c r="CP97" s="5">
        <v>644.5</v>
      </c>
      <c r="CQ97" s="5">
        <v>648.04999999999995</v>
      </c>
      <c r="CR97" s="5">
        <v>11.5</v>
      </c>
      <c r="CS97" s="5">
        <v>11.6</v>
      </c>
      <c r="CT97" s="5">
        <v>25.93</v>
      </c>
      <c r="CU97" s="5">
        <v>38.67</v>
      </c>
      <c r="CV97" s="5">
        <v>99.82</v>
      </c>
      <c r="CW97" s="5">
        <v>0.88577162052493996</v>
      </c>
      <c r="CX97" s="5">
        <v>4.4288581026246998</v>
      </c>
    </row>
    <row r="98" spans="1:102" x14ac:dyDescent="0.25">
      <c r="A98" s="5">
        <v>4</v>
      </c>
      <c r="B98" s="23">
        <v>41408.449290671299</v>
      </c>
      <c r="C98" s="5">
        <v>3</v>
      </c>
      <c r="D98" s="5">
        <v>26</v>
      </c>
      <c r="E98" s="5">
        <v>661</v>
      </c>
      <c r="F98" s="5">
        <v>661</v>
      </c>
      <c r="G98" s="5">
        <v>661.1</v>
      </c>
      <c r="H98" s="5">
        <v>82.6</v>
      </c>
      <c r="I98" s="5">
        <v>82.6</v>
      </c>
      <c r="J98" s="5">
        <v>1701</v>
      </c>
      <c r="K98" s="5">
        <v>35</v>
      </c>
      <c r="L98" s="5">
        <v>35</v>
      </c>
      <c r="M98" s="5">
        <v>0.19</v>
      </c>
      <c r="N98" s="5">
        <v>0.189966</v>
      </c>
      <c r="O98" s="5">
        <v>1</v>
      </c>
      <c r="P98" s="5">
        <v>1.069278</v>
      </c>
      <c r="Q98" s="5">
        <v>-3.02</v>
      </c>
      <c r="R98" s="5">
        <v>-3.0212400000000001</v>
      </c>
      <c r="S98" s="5">
        <v>175.62</v>
      </c>
      <c r="T98" s="5">
        <v>175.625</v>
      </c>
      <c r="U98" s="5">
        <v>3.5</v>
      </c>
      <c r="V98" s="5">
        <v>3.5</v>
      </c>
      <c r="W98" s="5">
        <v>300</v>
      </c>
      <c r="X98" s="5">
        <v>300</v>
      </c>
      <c r="Y98" s="5">
        <v>3.5</v>
      </c>
      <c r="Z98" s="5">
        <v>3.5</v>
      </c>
      <c r="AA98" s="5">
        <v>300</v>
      </c>
      <c r="AB98" s="5">
        <v>300</v>
      </c>
      <c r="AC98" s="5">
        <v>0</v>
      </c>
      <c r="AD98" s="5">
        <v>145.37950000000001</v>
      </c>
      <c r="AE98" s="5">
        <v>0</v>
      </c>
      <c r="AF98" s="5">
        <v>145.37950000000001</v>
      </c>
      <c r="AG98" s="5">
        <v>40</v>
      </c>
      <c r="AH98" s="5">
        <v>0.17</v>
      </c>
      <c r="AI98" s="5">
        <v>80.760000000000005</v>
      </c>
      <c r="AJ98" s="5">
        <v>112.76</v>
      </c>
      <c r="AK98" s="5">
        <v>143.44999999999999</v>
      </c>
      <c r="AL98" s="5">
        <v>144.94</v>
      </c>
      <c r="AM98" s="5">
        <v>566.55999999999995</v>
      </c>
      <c r="AN98" s="5">
        <v>216.42189999999999</v>
      </c>
      <c r="AO98" s="5">
        <v>117.09</v>
      </c>
      <c r="AP98" s="5">
        <v>139.01</v>
      </c>
      <c r="AQ98" s="5">
        <v>133.04</v>
      </c>
      <c r="AR98" s="5">
        <v>620.49</v>
      </c>
      <c r="AS98" s="5">
        <v>26.36</v>
      </c>
      <c r="AT98" s="5">
        <v>62.15</v>
      </c>
      <c r="AU98" s="5">
        <v>101.73</v>
      </c>
      <c r="AV98" s="5">
        <v>114.15</v>
      </c>
      <c r="AW98" s="5">
        <v>0.122</v>
      </c>
      <c r="AX98" s="5">
        <v>1.66</v>
      </c>
      <c r="AY98" s="5">
        <v>10000000000</v>
      </c>
      <c r="AZ98" s="5">
        <v>61.8</v>
      </c>
      <c r="BA98" s="5">
        <v>24.59</v>
      </c>
      <c r="BB98" s="5">
        <v>8.9</v>
      </c>
      <c r="BC98" s="5">
        <v>1.1299999999999999</v>
      </c>
      <c r="BD98" s="5">
        <v>8.27</v>
      </c>
      <c r="BE98" s="5">
        <v>3.16</v>
      </c>
      <c r="BF98" s="5">
        <v>464.8</v>
      </c>
      <c r="BG98" s="5">
        <v>12.66</v>
      </c>
      <c r="BH98" s="5">
        <v>10000000000</v>
      </c>
      <c r="BI98" s="5">
        <v>220.7</v>
      </c>
      <c r="BJ98" s="5">
        <v>23.9</v>
      </c>
      <c r="BK98" s="5">
        <v>85.2</v>
      </c>
      <c r="BL98" s="5">
        <v>89.92</v>
      </c>
      <c r="BM98" s="5">
        <v>2.33</v>
      </c>
      <c r="BN98" s="5">
        <v>30.01</v>
      </c>
      <c r="BO98" s="5">
        <v>37.17</v>
      </c>
      <c r="BP98" s="5">
        <v>646.41999999999996</v>
      </c>
      <c r="BQ98" s="5">
        <v>62.93573</v>
      </c>
      <c r="BR98" s="5">
        <v>242.1009</v>
      </c>
      <c r="BS98" s="5">
        <v>43.617260000000002</v>
      </c>
      <c r="BT98" s="5">
        <v>41.482349999999997</v>
      </c>
      <c r="BU98" s="5">
        <v>40.957599999999999</v>
      </c>
      <c r="BV98" s="5">
        <v>9.1686000000000004E-2</v>
      </c>
      <c r="BW98" s="5">
        <v>8.9151999999999995E-2</v>
      </c>
      <c r="BX98" s="5">
        <v>89.02328</v>
      </c>
      <c r="BY98" s="5">
        <v>18.995360000000002</v>
      </c>
      <c r="BZ98" s="5">
        <v>0</v>
      </c>
      <c r="CA98" s="5">
        <v>0.930118</v>
      </c>
      <c r="CB98" s="5">
        <v>743.70190000000002</v>
      </c>
      <c r="CC98" s="5">
        <v>767.69849999999997</v>
      </c>
      <c r="CD98" s="5">
        <v>96.027079999999998</v>
      </c>
      <c r="CE98" s="5">
        <v>515.67999999999995</v>
      </c>
      <c r="CF98" s="5">
        <v>86.3</v>
      </c>
      <c r="CG98" s="5">
        <v>98.39</v>
      </c>
      <c r="CH98" s="5">
        <v>463.13</v>
      </c>
      <c r="CI98" s="5">
        <v>487.7</v>
      </c>
      <c r="CJ98" s="5">
        <v>502.07</v>
      </c>
      <c r="CK98" s="5">
        <v>535.46</v>
      </c>
      <c r="CL98" s="5">
        <v>523.25</v>
      </c>
      <c r="CM98" s="5">
        <v>526.99</v>
      </c>
      <c r="CN98" s="5">
        <v>432.05</v>
      </c>
      <c r="CO98" s="5">
        <v>30.6</v>
      </c>
      <c r="CP98" s="5">
        <v>660.4</v>
      </c>
      <c r="CQ98" s="5">
        <v>661.05</v>
      </c>
      <c r="CR98" s="5">
        <v>11.8</v>
      </c>
      <c r="CS98" s="5">
        <v>11.8</v>
      </c>
      <c r="CT98" s="5">
        <v>26.08</v>
      </c>
      <c r="CU98" s="5">
        <v>20.39</v>
      </c>
      <c r="CV98" s="5">
        <v>99.42</v>
      </c>
      <c r="CW98" s="5">
        <v>0.83175105126262328</v>
      </c>
      <c r="CX98" s="5">
        <v>2.6283333219898894</v>
      </c>
    </row>
    <row r="99" spans="1:102" x14ac:dyDescent="0.25">
      <c r="A99" s="5">
        <v>45</v>
      </c>
      <c r="B99" s="23">
        <v>41407.753758969906</v>
      </c>
      <c r="C99" s="5">
        <v>3</v>
      </c>
      <c r="D99" s="5">
        <v>20</v>
      </c>
      <c r="E99" s="5">
        <v>636</v>
      </c>
      <c r="F99" s="5">
        <v>636</v>
      </c>
      <c r="G99" s="5">
        <v>636.1</v>
      </c>
      <c r="H99" s="5">
        <v>82.6</v>
      </c>
      <c r="I99" s="5">
        <v>82.6</v>
      </c>
      <c r="J99" s="5">
        <v>1701</v>
      </c>
      <c r="K99" s="5">
        <v>45</v>
      </c>
      <c r="L99" s="5">
        <v>45</v>
      </c>
      <c r="M99" s="5">
        <v>0.2</v>
      </c>
      <c r="N99" s="5">
        <v>0.20001099999999999</v>
      </c>
      <c r="O99" s="5">
        <v>1</v>
      </c>
      <c r="P99" s="5">
        <v>1.069323</v>
      </c>
      <c r="Q99" s="5">
        <v>-3.09</v>
      </c>
      <c r="R99" s="5">
        <v>-3.0871580000000001</v>
      </c>
      <c r="S99" s="5">
        <v>176.95</v>
      </c>
      <c r="T99" s="5">
        <v>176.95310000000001</v>
      </c>
      <c r="U99" s="5">
        <v>3.5</v>
      </c>
      <c r="V99" s="5">
        <v>3.5</v>
      </c>
      <c r="W99" s="5">
        <v>300</v>
      </c>
      <c r="X99" s="5">
        <v>300</v>
      </c>
      <c r="Y99" s="5">
        <v>3.5</v>
      </c>
      <c r="Z99" s="5">
        <v>3.5</v>
      </c>
      <c r="AA99" s="5">
        <v>300</v>
      </c>
      <c r="AB99" s="5">
        <v>300</v>
      </c>
      <c r="AC99" s="5">
        <v>0</v>
      </c>
      <c r="AD99" s="5">
        <v>163.12479999999999</v>
      </c>
      <c r="AE99" s="5">
        <v>0</v>
      </c>
      <c r="AF99" s="5">
        <v>151.53919999999999</v>
      </c>
      <c r="AG99" s="5">
        <v>40</v>
      </c>
      <c r="AH99" s="5">
        <v>0.17</v>
      </c>
      <c r="AI99" s="5">
        <v>86.6</v>
      </c>
      <c r="AJ99" s="5">
        <v>115.58</v>
      </c>
      <c r="AK99" s="5">
        <v>169.12</v>
      </c>
      <c r="AL99" s="5">
        <v>170.11</v>
      </c>
      <c r="AM99" s="5">
        <v>519.9</v>
      </c>
      <c r="AN99" s="5">
        <v>233.26669999999999</v>
      </c>
      <c r="AO99" s="5">
        <v>133.97</v>
      </c>
      <c r="AP99" s="5">
        <v>136.56</v>
      </c>
      <c r="AQ99" s="5">
        <v>148.94</v>
      </c>
      <c r="AR99" s="5">
        <v>632.76</v>
      </c>
      <c r="AS99" s="5">
        <v>35.15</v>
      </c>
      <c r="AT99" s="5">
        <v>64.239999999999995</v>
      </c>
      <c r="AU99" s="5">
        <v>105.38</v>
      </c>
      <c r="AV99" s="5">
        <v>117.05</v>
      </c>
      <c r="AW99" s="5">
        <v>8.6999999999999994E-2</v>
      </c>
      <c r="AX99" s="5">
        <v>1.18</v>
      </c>
      <c r="AY99" s="5">
        <v>10000000000</v>
      </c>
      <c r="AZ99" s="5">
        <v>58.7</v>
      </c>
      <c r="BA99" s="5">
        <v>23.51</v>
      </c>
      <c r="BB99" s="5">
        <v>8.25</v>
      </c>
      <c r="BC99" s="5">
        <v>1.31</v>
      </c>
      <c r="BD99" s="5">
        <v>9.07</v>
      </c>
      <c r="BE99" s="5">
        <v>2.79</v>
      </c>
      <c r="BF99" s="5">
        <v>383.92</v>
      </c>
      <c r="BG99" s="5">
        <v>15.85</v>
      </c>
      <c r="BH99" s="5">
        <v>10000000000</v>
      </c>
      <c r="BI99" s="5">
        <v>220.3</v>
      </c>
      <c r="BJ99" s="5">
        <v>25.4</v>
      </c>
      <c r="BK99" s="5">
        <v>83.5</v>
      </c>
      <c r="BL99" s="5">
        <v>119.15</v>
      </c>
      <c r="BM99" s="5">
        <v>2.52</v>
      </c>
      <c r="BN99" s="5">
        <v>30.2</v>
      </c>
      <c r="BO99" s="5">
        <v>36.71</v>
      </c>
      <c r="BP99" s="5">
        <v>657.68</v>
      </c>
      <c r="BQ99" s="5">
        <v>64.682860000000005</v>
      </c>
      <c r="BR99" s="5">
        <v>266.94009999999997</v>
      </c>
      <c r="BS99" s="5">
        <v>43.848219999999998</v>
      </c>
      <c r="BT99" s="5">
        <v>46.833770000000001</v>
      </c>
      <c r="BU99" s="5">
        <v>45.949820000000003</v>
      </c>
      <c r="BV99" s="5">
        <v>8.9931999999999998E-2</v>
      </c>
      <c r="BW99" s="5">
        <v>8.3111000000000004E-2</v>
      </c>
      <c r="BX99" s="5">
        <v>85.203180000000003</v>
      </c>
      <c r="BY99" s="5">
        <v>18.995360000000002</v>
      </c>
      <c r="BZ99" s="5">
        <v>0</v>
      </c>
      <c r="CA99" s="5">
        <v>0.93222099999999997</v>
      </c>
      <c r="CB99" s="5">
        <v>799.25340000000006</v>
      </c>
      <c r="CC99" s="5">
        <v>822.29020000000003</v>
      </c>
      <c r="CD99" s="5">
        <v>92.197810000000004</v>
      </c>
      <c r="CE99" s="5">
        <v>498.77</v>
      </c>
      <c r="CF99" s="5">
        <v>88.4</v>
      </c>
      <c r="CG99" s="5">
        <v>101.4</v>
      </c>
      <c r="CH99" s="5">
        <v>431.66</v>
      </c>
      <c r="CI99" s="5">
        <v>454.86</v>
      </c>
      <c r="CJ99" s="5">
        <v>465.39</v>
      </c>
      <c r="CK99" s="5">
        <v>506.7</v>
      </c>
      <c r="CL99" s="5">
        <v>491.93</v>
      </c>
      <c r="CM99" s="5">
        <v>495.35</v>
      </c>
      <c r="CN99" s="5">
        <v>379.43</v>
      </c>
      <c r="CO99" s="5">
        <v>27</v>
      </c>
      <c r="CP99" s="5">
        <v>632.4</v>
      </c>
      <c r="CQ99" s="5">
        <v>636.04999999999995</v>
      </c>
      <c r="CR99" s="5">
        <v>11.3</v>
      </c>
      <c r="CS99" s="5">
        <v>11.4</v>
      </c>
      <c r="CT99" s="5">
        <v>25.1</v>
      </c>
      <c r="CU99" s="5">
        <v>38.22</v>
      </c>
      <c r="CV99" s="5">
        <v>99.82</v>
      </c>
      <c r="CW99" s="5">
        <v>0.87596577654502417</v>
      </c>
      <c r="CX99" s="5">
        <v>2.4439445165606175</v>
      </c>
    </row>
    <row r="100" spans="1:102" x14ac:dyDescent="0.25">
      <c r="A100" s="5">
        <v>17</v>
      </c>
      <c r="B100" s="23">
        <v>41408.528207013886</v>
      </c>
      <c r="C100" s="5">
        <v>3</v>
      </c>
      <c r="D100" s="5">
        <v>38</v>
      </c>
      <c r="E100" s="5">
        <v>717</v>
      </c>
      <c r="F100" s="5">
        <v>717</v>
      </c>
      <c r="G100" s="5">
        <v>717</v>
      </c>
      <c r="H100" s="5">
        <v>82.6</v>
      </c>
      <c r="I100" s="5">
        <v>82.6</v>
      </c>
      <c r="J100" s="5">
        <v>1701</v>
      </c>
      <c r="K100" s="5">
        <v>50</v>
      </c>
      <c r="L100" s="5">
        <v>50</v>
      </c>
      <c r="M100" s="5">
        <v>0.1</v>
      </c>
      <c r="N100" s="5">
        <v>9.9995000000000001E-2</v>
      </c>
      <c r="O100" s="5">
        <v>1</v>
      </c>
      <c r="P100" s="5">
        <v>1.0694630000000001</v>
      </c>
      <c r="Q100" s="5">
        <v>-2.2400000000000002</v>
      </c>
      <c r="R100" s="5">
        <v>-2.2412109999999998</v>
      </c>
      <c r="S100" s="5">
        <v>174.08</v>
      </c>
      <c r="T100" s="5">
        <v>174.07810000000001</v>
      </c>
      <c r="U100" s="5">
        <v>3.5</v>
      </c>
      <c r="V100" s="5">
        <v>3.5</v>
      </c>
      <c r="W100" s="5">
        <v>300</v>
      </c>
      <c r="X100" s="5">
        <v>300</v>
      </c>
      <c r="Y100" s="5">
        <v>0</v>
      </c>
      <c r="Z100" s="5">
        <v>0</v>
      </c>
      <c r="AA100" s="5">
        <v>300</v>
      </c>
      <c r="AB100" s="5">
        <v>300</v>
      </c>
      <c r="AC100" s="5">
        <v>0</v>
      </c>
      <c r="AD100" s="5">
        <v>188.62700000000001</v>
      </c>
      <c r="AE100" s="5">
        <v>0</v>
      </c>
      <c r="AF100" s="5">
        <v>151.5334</v>
      </c>
      <c r="AG100" s="5">
        <v>40</v>
      </c>
      <c r="AH100" s="5">
        <v>0.17</v>
      </c>
      <c r="AI100" s="5">
        <v>99.94</v>
      </c>
      <c r="AJ100" s="5">
        <v>130.06</v>
      </c>
      <c r="AK100" s="5">
        <v>244.85</v>
      </c>
      <c r="AL100" s="5">
        <v>245.94</v>
      </c>
      <c r="AM100" s="5">
        <v>528.54</v>
      </c>
      <c r="AN100" s="5">
        <v>267.92939999999999</v>
      </c>
      <c r="AO100" s="5">
        <v>168.98</v>
      </c>
      <c r="AP100" s="5">
        <v>164.82</v>
      </c>
      <c r="AQ100" s="5">
        <v>187.95</v>
      </c>
      <c r="AR100" s="5">
        <v>753.23</v>
      </c>
      <c r="AS100" s="5">
        <v>75.88</v>
      </c>
      <c r="AT100" s="5">
        <v>62.09</v>
      </c>
      <c r="AU100" s="5">
        <v>103.78</v>
      </c>
      <c r="AV100" s="5">
        <v>110.66</v>
      </c>
      <c r="AW100" s="5">
        <v>4.3999999999999997E-2</v>
      </c>
      <c r="AX100" s="5">
        <v>0.59</v>
      </c>
      <c r="AY100" s="5">
        <v>10000000000</v>
      </c>
      <c r="AZ100" s="5">
        <v>30.19</v>
      </c>
      <c r="BA100" s="5">
        <v>17.25</v>
      </c>
      <c r="BB100" s="5">
        <v>7.93</v>
      </c>
      <c r="BC100" s="5">
        <v>0.95</v>
      </c>
      <c r="BD100" s="5">
        <v>9.69</v>
      </c>
      <c r="BE100" s="5">
        <v>4.08</v>
      </c>
      <c r="BF100" s="5">
        <v>527.29</v>
      </c>
      <c r="BG100" s="5">
        <v>12.02</v>
      </c>
      <c r="BH100" s="5">
        <v>10000000000</v>
      </c>
      <c r="BI100" s="5">
        <v>221.7</v>
      </c>
      <c r="BJ100" s="5">
        <v>26.6</v>
      </c>
      <c r="BK100" s="5">
        <v>83.2</v>
      </c>
      <c r="BL100" s="5">
        <v>102.93</v>
      </c>
      <c r="BM100" s="5">
        <v>2.87</v>
      </c>
      <c r="BN100" s="5">
        <v>29.86</v>
      </c>
      <c r="BO100" s="5">
        <v>36.36</v>
      </c>
      <c r="BP100" s="5">
        <v>781.47</v>
      </c>
      <c r="BQ100" s="5">
        <v>62.75385</v>
      </c>
      <c r="BR100" s="5">
        <v>344.36689999999999</v>
      </c>
      <c r="BS100" s="5">
        <v>42.948050000000002</v>
      </c>
      <c r="BT100" s="5">
        <v>45.220550000000003</v>
      </c>
      <c r="BU100" s="5">
        <v>44.401249999999997</v>
      </c>
      <c r="BV100" s="5">
        <v>0.100923</v>
      </c>
      <c r="BW100" s="5">
        <v>9.5351000000000005E-2</v>
      </c>
      <c r="BX100" s="5">
        <v>104.4393</v>
      </c>
      <c r="BY100" s="5">
        <v>18.995360000000002</v>
      </c>
      <c r="BZ100" s="5">
        <v>0</v>
      </c>
      <c r="CA100" s="5">
        <v>0.92583499999999996</v>
      </c>
      <c r="CB100" s="5">
        <v>916.99400000000003</v>
      </c>
      <c r="CC100" s="5">
        <v>943.97940000000006</v>
      </c>
      <c r="CD100" s="5">
        <v>107.9436</v>
      </c>
      <c r="CE100" s="5">
        <v>493.98</v>
      </c>
      <c r="CF100" s="5">
        <v>85.61</v>
      </c>
      <c r="CG100" s="5">
        <v>98.84</v>
      </c>
      <c r="CH100" s="5">
        <v>457.58</v>
      </c>
      <c r="CI100" s="5">
        <v>474.43</v>
      </c>
      <c r="CJ100" s="5">
        <v>488.11</v>
      </c>
      <c r="CK100" s="5">
        <v>510.5</v>
      </c>
      <c r="CL100" s="5">
        <v>510.21</v>
      </c>
      <c r="CM100" s="5">
        <v>510.51</v>
      </c>
      <c r="CN100" s="5">
        <v>365.23</v>
      </c>
      <c r="CO100" s="5">
        <v>29.85</v>
      </c>
      <c r="CP100" s="5">
        <v>713.6</v>
      </c>
      <c r="CQ100" s="5">
        <v>717.04</v>
      </c>
      <c r="CR100" s="5">
        <v>12.8</v>
      </c>
      <c r="CS100" s="5">
        <v>12.8</v>
      </c>
      <c r="CT100" s="5">
        <v>26.01</v>
      </c>
      <c r="CU100" s="5">
        <v>37.08</v>
      </c>
      <c r="CV100" s="5">
        <v>99.28</v>
      </c>
      <c r="CW100" s="5">
        <v>0.88920281935479384</v>
      </c>
      <c r="CX100" s="5">
        <v>3.627947502967559</v>
      </c>
    </row>
    <row r="101" spans="1:102" x14ac:dyDescent="0.25">
      <c r="A101" s="5">
        <v>33</v>
      </c>
      <c r="B101" s="23">
        <v>41407.685620821758</v>
      </c>
      <c r="C101" s="5">
        <v>3</v>
      </c>
      <c r="D101" s="5">
        <v>9</v>
      </c>
      <c r="E101" s="5">
        <v>586</v>
      </c>
      <c r="F101" s="5">
        <v>586</v>
      </c>
      <c r="G101" s="5">
        <v>586.1</v>
      </c>
      <c r="H101" s="5">
        <v>82.6</v>
      </c>
      <c r="I101" s="5">
        <v>82.6</v>
      </c>
      <c r="J101" s="5">
        <v>1701</v>
      </c>
      <c r="K101" s="5">
        <v>27</v>
      </c>
      <c r="L101" s="5">
        <v>27</v>
      </c>
      <c r="M101" s="5">
        <v>0.21</v>
      </c>
      <c r="N101" s="5">
        <v>0.210065</v>
      </c>
      <c r="O101" s="5">
        <v>1</v>
      </c>
      <c r="P101" s="5">
        <v>1.0693969999999999</v>
      </c>
      <c r="Q101" s="5">
        <v>-3.41</v>
      </c>
      <c r="R101" s="5">
        <v>-3.4057620000000002</v>
      </c>
      <c r="S101" s="5">
        <v>176.43</v>
      </c>
      <c r="T101" s="5">
        <v>176.4375</v>
      </c>
      <c r="U101" s="5">
        <v>3.5</v>
      </c>
      <c r="V101" s="5">
        <v>3.5</v>
      </c>
      <c r="W101" s="5">
        <v>300</v>
      </c>
      <c r="X101" s="5">
        <v>300</v>
      </c>
      <c r="Y101" s="5">
        <v>3.5</v>
      </c>
      <c r="Z101" s="5">
        <v>3.5</v>
      </c>
      <c r="AA101" s="5">
        <v>300</v>
      </c>
      <c r="AB101" s="5">
        <v>300</v>
      </c>
      <c r="AC101" s="5">
        <v>0</v>
      </c>
      <c r="AD101" s="5">
        <v>127.15689999999999</v>
      </c>
      <c r="AE101" s="5">
        <v>0</v>
      </c>
      <c r="AF101" s="5">
        <v>127.15689999999999</v>
      </c>
      <c r="AG101" s="5">
        <v>40</v>
      </c>
      <c r="AH101" s="5">
        <v>0.17</v>
      </c>
      <c r="AI101" s="5">
        <v>72.5</v>
      </c>
      <c r="AJ101" s="5">
        <v>101.56</v>
      </c>
      <c r="AK101" s="5">
        <v>108.03</v>
      </c>
      <c r="AL101" s="5">
        <v>110.25</v>
      </c>
      <c r="AM101" s="5">
        <v>550.88</v>
      </c>
      <c r="AN101" s="5">
        <v>191.23330000000001</v>
      </c>
      <c r="AO101" s="5">
        <v>91.45</v>
      </c>
      <c r="AP101" s="5">
        <v>108.21</v>
      </c>
      <c r="AQ101" s="5">
        <v>105.02</v>
      </c>
      <c r="AR101" s="5">
        <v>564.25</v>
      </c>
      <c r="AS101" s="5">
        <v>16.579999999999998</v>
      </c>
      <c r="AT101" s="5">
        <v>60.17</v>
      </c>
      <c r="AU101" s="5">
        <v>98.21</v>
      </c>
      <c r="AV101" s="5">
        <v>116.42</v>
      </c>
      <c r="AW101" s="5">
        <v>0.107</v>
      </c>
      <c r="AX101" s="5">
        <v>1.45</v>
      </c>
      <c r="AY101" s="5">
        <v>1.0956999999999999</v>
      </c>
      <c r="AZ101" s="5">
        <v>66.459999999999994</v>
      </c>
      <c r="BA101" s="5">
        <v>28.1</v>
      </c>
      <c r="BB101" s="5">
        <v>8.6300000000000008</v>
      </c>
      <c r="BC101" s="5">
        <v>0.94</v>
      </c>
      <c r="BD101" s="5">
        <v>8.5399999999999991</v>
      </c>
      <c r="BE101" s="5">
        <v>3.57</v>
      </c>
      <c r="BF101" s="5">
        <v>509.78</v>
      </c>
      <c r="BG101" s="5">
        <v>10.91</v>
      </c>
      <c r="BH101" s="5">
        <v>0.08</v>
      </c>
      <c r="BI101" s="5">
        <v>221.8</v>
      </c>
      <c r="BJ101" s="5">
        <v>24.4</v>
      </c>
      <c r="BK101" s="5">
        <v>85.9</v>
      </c>
      <c r="BL101" s="5">
        <v>69.12</v>
      </c>
      <c r="BM101" s="5">
        <v>2.06</v>
      </c>
      <c r="BN101" s="5">
        <v>29.85</v>
      </c>
      <c r="BO101" s="5">
        <v>37.01</v>
      </c>
      <c r="BP101" s="5">
        <v>587.37</v>
      </c>
      <c r="BQ101" s="5">
        <v>61.072450000000003</v>
      </c>
      <c r="BR101" s="5">
        <v>208.9144</v>
      </c>
      <c r="BS101" s="5">
        <v>44.894019999999998</v>
      </c>
      <c r="BT101" s="5">
        <v>41.811500000000002</v>
      </c>
      <c r="BU101" s="5">
        <v>41.342320000000001</v>
      </c>
      <c r="BV101" s="5">
        <v>9.5560999999999993E-2</v>
      </c>
      <c r="BW101" s="5">
        <v>9.3830999999999998E-2</v>
      </c>
      <c r="BX101" s="5">
        <v>77.698650000000001</v>
      </c>
      <c r="BY101" s="5">
        <v>18.995360000000002</v>
      </c>
      <c r="BZ101" s="5">
        <v>0</v>
      </c>
      <c r="CA101" s="5">
        <v>0.93633900000000003</v>
      </c>
      <c r="CB101" s="5">
        <v>665.23770000000002</v>
      </c>
      <c r="CC101" s="5">
        <v>686.39520000000005</v>
      </c>
      <c r="CD101" s="5">
        <v>84.694999999999993</v>
      </c>
      <c r="CE101" s="5">
        <v>490.24</v>
      </c>
      <c r="CF101" s="5">
        <v>82.79</v>
      </c>
      <c r="CG101" s="5">
        <v>93.98</v>
      </c>
      <c r="CH101" s="5">
        <v>444.16</v>
      </c>
      <c r="CI101" s="5">
        <v>469.74</v>
      </c>
      <c r="CJ101" s="5">
        <v>484.2</v>
      </c>
      <c r="CK101" s="5">
        <v>517.91999999999996</v>
      </c>
      <c r="CL101" s="5">
        <v>508.27</v>
      </c>
      <c r="CM101" s="5">
        <v>516.16999999999996</v>
      </c>
      <c r="CN101" s="5">
        <v>434.36</v>
      </c>
      <c r="CO101" s="5">
        <v>26.67</v>
      </c>
      <c r="CP101" s="5">
        <v>582.9</v>
      </c>
      <c r="CQ101" s="5">
        <v>586.04999999999995</v>
      </c>
      <c r="CR101" s="5">
        <v>10.4</v>
      </c>
      <c r="CS101" s="5">
        <v>10.5</v>
      </c>
      <c r="CT101" s="5">
        <v>24.67</v>
      </c>
      <c r="CU101" s="5">
        <v>34.85</v>
      </c>
      <c r="CV101" s="5">
        <v>99.85</v>
      </c>
      <c r="CW101" s="5">
        <v>0.85653714629451472</v>
      </c>
      <c r="CX101" s="5">
        <v>3.0578376122714173</v>
      </c>
    </row>
    <row r="102" spans="1:102" x14ac:dyDescent="0.25">
      <c r="A102" s="5">
        <v>27</v>
      </c>
      <c r="B102" s="23">
        <v>41407.653079953707</v>
      </c>
      <c r="C102" s="5">
        <v>3</v>
      </c>
      <c r="D102" s="5">
        <v>3</v>
      </c>
      <c r="E102" s="5">
        <v>558</v>
      </c>
      <c r="F102" s="5">
        <v>558</v>
      </c>
      <c r="G102" s="5">
        <v>558.1</v>
      </c>
      <c r="H102" s="5">
        <v>82.6</v>
      </c>
      <c r="I102" s="5">
        <v>82.6</v>
      </c>
      <c r="J102" s="5">
        <v>1701</v>
      </c>
      <c r="K102" s="5">
        <v>19</v>
      </c>
      <c r="L102" s="5">
        <v>19</v>
      </c>
      <c r="M102" s="5">
        <v>0.2</v>
      </c>
      <c r="N102" s="5">
        <v>0.20003599999999999</v>
      </c>
      <c r="O102" s="5">
        <v>1</v>
      </c>
      <c r="P102" s="5">
        <v>1.069442</v>
      </c>
      <c r="Q102" s="5">
        <v>-3.82</v>
      </c>
      <c r="R102" s="5">
        <v>-3.823242</v>
      </c>
      <c r="S102" s="5">
        <v>171.54</v>
      </c>
      <c r="T102" s="5">
        <v>171.54689999999999</v>
      </c>
      <c r="U102" s="5">
        <v>3.5</v>
      </c>
      <c r="V102" s="5">
        <v>3.5</v>
      </c>
      <c r="W102" s="5">
        <v>300</v>
      </c>
      <c r="X102" s="5">
        <v>300</v>
      </c>
      <c r="Y102" s="5">
        <v>3.5</v>
      </c>
      <c r="Z102" s="5">
        <v>3.5</v>
      </c>
      <c r="AA102" s="5">
        <v>300</v>
      </c>
      <c r="AB102" s="5">
        <v>300</v>
      </c>
      <c r="AC102" s="5">
        <v>0</v>
      </c>
      <c r="AD102" s="5">
        <v>116.07940000000001</v>
      </c>
      <c r="AE102" s="5">
        <v>0</v>
      </c>
      <c r="AF102" s="5">
        <v>116.07940000000001</v>
      </c>
      <c r="AG102" s="5">
        <v>40</v>
      </c>
      <c r="AH102" s="5">
        <v>0.17</v>
      </c>
      <c r="AI102" s="5">
        <v>66.66</v>
      </c>
      <c r="AJ102" s="5">
        <v>94.36</v>
      </c>
      <c r="AK102" s="5">
        <v>86.91</v>
      </c>
      <c r="AL102" s="5">
        <v>89.28</v>
      </c>
      <c r="AM102" s="5">
        <v>572.65</v>
      </c>
      <c r="AN102" s="5">
        <v>173.67760000000001</v>
      </c>
      <c r="AO102" s="5">
        <v>73.92</v>
      </c>
      <c r="AP102" s="5">
        <v>97.61</v>
      </c>
      <c r="AQ102" s="5">
        <v>86.56</v>
      </c>
      <c r="AR102" s="5">
        <v>521.71</v>
      </c>
      <c r="AS102" s="5">
        <v>12.99</v>
      </c>
      <c r="AT102" s="5">
        <v>59.71</v>
      </c>
      <c r="AU102" s="5">
        <v>97.19</v>
      </c>
      <c r="AV102" s="5">
        <v>117.46</v>
      </c>
      <c r="AW102" s="5">
        <v>0.156</v>
      </c>
      <c r="AX102" s="5">
        <v>2.15</v>
      </c>
      <c r="AY102" s="5">
        <v>1.4725999999999999</v>
      </c>
      <c r="AZ102" s="5">
        <v>84.55</v>
      </c>
      <c r="BA102" s="5">
        <v>27.8</v>
      </c>
      <c r="BB102" s="5">
        <v>9.0399999999999991</v>
      </c>
      <c r="BC102" s="5">
        <v>0.84</v>
      </c>
      <c r="BD102" s="5">
        <v>7.96</v>
      </c>
      <c r="BE102" s="5">
        <v>3.53</v>
      </c>
      <c r="BF102" s="5">
        <v>523.73</v>
      </c>
      <c r="BG102" s="5">
        <v>9.31</v>
      </c>
      <c r="BH102" s="5">
        <v>0.11</v>
      </c>
      <c r="BI102" s="5">
        <v>225.4</v>
      </c>
      <c r="BJ102" s="5">
        <v>23.3</v>
      </c>
      <c r="BK102" s="5">
        <v>86.1</v>
      </c>
      <c r="BL102" s="5">
        <v>53.6</v>
      </c>
      <c r="BM102" s="5">
        <v>1.87</v>
      </c>
      <c r="BN102" s="5">
        <v>29.75</v>
      </c>
      <c r="BO102" s="5">
        <v>37.36</v>
      </c>
      <c r="BP102" s="5">
        <v>544.63</v>
      </c>
      <c r="BQ102" s="5">
        <v>60.548389999999998</v>
      </c>
      <c r="BR102" s="5">
        <v>188.7681</v>
      </c>
      <c r="BS102" s="5">
        <v>45.3979</v>
      </c>
      <c r="BT102" s="5">
        <v>39.115900000000003</v>
      </c>
      <c r="BU102" s="5">
        <v>38.841819999999998</v>
      </c>
      <c r="BV102" s="5">
        <v>9.9224999999999994E-2</v>
      </c>
      <c r="BW102" s="5">
        <v>0.100254</v>
      </c>
      <c r="BX102" s="5">
        <v>74.767910000000001</v>
      </c>
      <c r="BY102" s="5">
        <v>18.995360000000002</v>
      </c>
      <c r="BZ102" s="5">
        <v>0</v>
      </c>
      <c r="CA102" s="5">
        <v>0.93795099999999998</v>
      </c>
      <c r="CB102" s="5">
        <v>606.15269999999998</v>
      </c>
      <c r="CC102" s="5">
        <v>626.57439999999997</v>
      </c>
      <c r="CD102" s="5">
        <v>81.764849999999996</v>
      </c>
      <c r="CE102" s="5">
        <v>483.47</v>
      </c>
      <c r="CF102" s="5">
        <v>81.42</v>
      </c>
      <c r="CG102" s="5">
        <v>92.43</v>
      </c>
      <c r="CH102" s="5">
        <v>462.18</v>
      </c>
      <c r="CI102" s="5">
        <v>487.93</v>
      </c>
      <c r="CJ102" s="5">
        <v>500.27</v>
      </c>
      <c r="CK102" s="5">
        <v>536.72</v>
      </c>
      <c r="CL102" s="5">
        <v>523.65</v>
      </c>
      <c r="CM102" s="5">
        <v>527.73</v>
      </c>
      <c r="CN102" s="5">
        <v>466.21</v>
      </c>
      <c r="CO102" s="5">
        <v>26.95</v>
      </c>
      <c r="CP102" s="5">
        <v>555.4</v>
      </c>
      <c r="CQ102" s="5">
        <v>558.04999999999995</v>
      </c>
      <c r="CR102" s="5">
        <v>10</v>
      </c>
      <c r="CS102" s="5">
        <v>10</v>
      </c>
      <c r="CT102" s="5">
        <v>24.84</v>
      </c>
      <c r="CU102" s="5">
        <v>34.56</v>
      </c>
      <c r="CV102" s="5">
        <v>99.91</v>
      </c>
      <c r="CW102" s="5">
        <v>0.852441739484466</v>
      </c>
      <c r="CX102" s="5">
        <v>3.0091193403801646</v>
      </c>
    </row>
    <row r="103" spans="1:102" x14ac:dyDescent="0.25">
      <c r="A103" s="5">
        <v>42</v>
      </c>
      <c r="B103" s="23">
        <v>41407.737495312504</v>
      </c>
      <c r="C103" s="5">
        <v>3</v>
      </c>
      <c r="D103" s="5">
        <v>17</v>
      </c>
      <c r="E103" s="5">
        <v>623</v>
      </c>
      <c r="F103" s="5">
        <v>623</v>
      </c>
      <c r="G103" s="5">
        <v>623</v>
      </c>
      <c r="H103" s="5">
        <v>82.6</v>
      </c>
      <c r="I103" s="5">
        <v>82.6</v>
      </c>
      <c r="J103" s="5">
        <v>1701</v>
      </c>
      <c r="K103" s="5">
        <v>61</v>
      </c>
      <c r="L103" s="5">
        <v>61</v>
      </c>
      <c r="M103" s="5">
        <v>0.22</v>
      </c>
      <c r="N103" s="5">
        <v>0.22002099999999999</v>
      </c>
      <c r="O103" s="5">
        <v>1</v>
      </c>
      <c r="P103" s="5">
        <v>1.069445</v>
      </c>
      <c r="Q103" s="5">
        <v>-3.14</v>
      </c>
      <c r="R103" s="5">
        <v>-3.14209</v>
      </c>
      <c r="S103" s="5">
        <v>177.65</v>
      </c>
      <c r="T103" s="5">
        <v>177.65629999999999</v>
      </c>
      <c r="U103" s="5">
        <v>3.5</v>
      </c>
      <c r="V103" s="5">
        <v>3.5</v>
      </c>
      <c r="W103" s="5">
        <v>300</v>
      </c>
      <c r="X103" s="5">
        <v>300</v>
      </c>
      <c r="Y103" s="5">
        <v>3.5</v>
      </c>
      <c r="Z103" s="5">
        <v>3.5</v>
      </c>
      <c r="AA103" s="5">
        <v>300</v>
      </c>
      <c r="AB103" s="5">
        <v>300</v>
      </c>
      <c r="AC103" s="5">
        <v>0</v>
      </c>
      <c r="AD103" s="5">
        <v>177.3468</v>
      </c>
      <c r="AE103" s="5">
        <v>0</v>
      </c>
      <c r="AF103" s="5">
        <v>151.53389999999999</v>
      </c>
      <c r="AG103" s="5">
        <v>40</v>
      </c>
      <c r="AH103" s="5">
        <v>0.17</v>
      </c>
      <c r="AI103" s="5">
        <v>93.89</v>
      </c>
      <c r="AJ103" s="5">
        <v>120.84</v>
      </c>
      <c r="AK103" s="5">
        <v>238.31</v>
      </c>
      <c r="AL103" s="5">
        <v>236.49</v>
      </c>
      <c r="AM103" s="5">
        <v>511.55</v>
      </c>
      <c r="AN103" s="5">
        <v>259.11630000000002</v>
      </c>
      <c r="AO103" s="5">
        <v>161.03</v>
      </c>
      <c r="AP103" s="5">
        <v>154.63</v>
      </c>
      <c r="AQ103" s="5">
        <v>175.19</v>
      </c>
      <c r="AR103" s="5">
        <v>599.57000000000005</v>
      </c>
      <c r="AS103" s="5">
        <v>77.27</v>
      </c>
      <c r="AT103" s="5">
        <v>76.52</v>
      </c>
      <c r="AU103" s="5">
        <v>126.05</v>
      </c>
      <c r="AV103" s="5">
        <v>116.3</v>
      </c>
      <c r="AW103" s="5">
        <v>0.31900000000000001</v>
      </c>
      <c r="AX103" s="5">
        <v>4.63</v>
      </c>
      <c r="AY103" s="5">
        <v>10000000000</v>
      </c>
      <c r="AZ103" s="5">
        <v>112.68</v>
      </c>
      <c r="BA103" s="5">
        <v>23.87</v>
      </c>
      <c r="BB103" s="5">
        <v>8.92</v>
      </c>
      <c r="BC103" s="5">
        <v>2.36</v>
      </c>
      <c r="BD103" s="5">
        <v>8.18</v>
      </c>
      <c r="BE103" s="5">
        <v>1.18</v>
      </c>
      <c r="BF103" s="5">
        <v>170.48</v>
      </c>
      <c r="BG103" s="5">
        <v>26.45</v>
      </c>
      <c r="BH103" s="5">
        <v>10000000000</v>
      </c>
      <c r="BI103" s="5">
        <v>230.2</v>
      </c>
      <c r="BJ103" s="5">
        <v>23.4</v>
      </c>
      <c r="BK103" s="5">
        <v>81.400000000000006</v>
      </c>
      <c r="BL103" s="5">
        <v>215.49</v>
      </c>
      <c r="BM103" s="5">
        <v>2.8</v>
      </c>
      <c r="BN103" s="5">
        <v>31.18</v>
      </c>
      <c r="BO103" s="5">
        <v>37.32</v>
      </c>
      <c r="BP103" s="5">
        <v>624.66</v>
      </c>
      <c r="BQ103" s="5">
        <v>74.758899999999997</v>
      </c>
      <c r="BR103" s="5">
        <v>329.62450000000001</v>
      </c>
      <c r="BS103" s="5">
        <v>43.741979999999998</v>
      </c>
      <c r="BT103" s="5">
        <v>49.626289999999997</v>
      </c>
      <c r="BU103" s="5">
        <v>48.526220000000002</v>
      </c>
      <c r="BV103" s="5">
        <v>9.0753E-2</v>
      </c>
      <c r="BW103" s="5">
        <v>8.2960999999999993E-2</v>
      </c>
      <c r="BX103" s="5">
        <v>86.974530000000001</v>
      </c>
      <c r="BY103" s="5">
        <v>18.995360000000002</v>
      </c>
      <c r="BZ103" s="5">
        <v>0</v>
      </c>
      <c r="CA103" s="5">
        <v>0.93124600000000002</v>
      </c>
      <c r="CB103" s="5">
        <v>861.23789999999997</v>
      </c>
      <c r="CC103" s="5">
        <v>884.71730000000002</v>
      </c>
      <c r="CD103" s="5">
        <v>93.967860000000002</v>
      </c>
      <c r="CE103" s="5">
        <v>523.88</v>
      </c>
      <c r="CF103" s="5">
        <v>105.45</v>
      </c>
      <c r="CG103" s="5">
        <v>122.34</v>
      </c>
      <c r="CH103" s="5">
        <v>446.51</v>
      </c>
      <c r="CI103" s="5">
        <v>467.03</v>
      </c>
      <c r="CJ103" s="5">
        <v>477.64</v>
      </c>
      <c r="CK103" s="5">
        <v>503.8</v>
      </c>
      <c r="CL103" s="5">
        <v>508.02</v>
      </c>
      <c r="CM103" s="5">
        <v>507.21</v>
      </c>
      <c r="CN103" s="5">
        <v>354.72</v>
      </c>
      <c r="CO103" s="5">
        <v>29.58</v>
      </c>
      <c r="CP103" s="5">
        <v>619.6</v>
      </c>
      <c r="CQ103" s="5">
        <v>623.04999999999995</v>
      </c>
      <c r="CR103" s="5">
        <v>11.1</v>
      </c>
      <c r="CS103" s="5">
        <v>11.2</v>
      </c>
      <c r="CT103" s="5">
        <v>25.55</v>
      </c>
      <c r="CU103" s="5">
        <v>36.53</v>
      </c>
      <c r="CV103" s="5">
        <v>99.82</v>
      </c>
      <c r="CW103" s="5">
        <v>0.86707023622883517</v>
      </c>
      <c r="CX103" s="5">
        <v>1.0231428787500254</v>
      </c>
    </row>
    <row r="104" spans="1:102" x14ac:dyDescent="0.25">
      <c r="A104" s="5">
        <v>8</v>
      </c>
      <c r="B104" s="23">
        <v>41409.501272615744</v>
      </c>
      <c r="C104" s="5">
        <v>4</v>
      </c>
      <c r="D104" s="5">
        <v>16</v>
      </c>
      <c r="E104" s="5">
        <v>867</v>
      </c>
      <c r="F104" s="5">
        <v>867</v>
      </c>
      <c r="G104" s="5">
        <v>867.1</v>
      </c>
      <c r="H104" s="5">
        <v>82.6</v>
      </c>
      <c r="I104" s="5">
        <v>82.6</v>
      </c>
      <c r="J104" s="5">
        <v>1701</v>
      </c>
      <c r="K104" s="5">
        <v>21</v>
      </c>
      <c r="L104" s="5">
        <v>21</v>
      </c>
      <c r="M104" s="5">
        <v>0.2</v>
      </c>
      <c r="N104" s="5">
        <v>0.20000200000000001</v>
      </c>
      <c r="O104" s="5">
        <v>1</v>
      </c>
      <c r="P104" s="5">
        <v>1.069035</v>
      </c>
      <c r="Q104" s="5">
        <v>3.62</v>
      </c>
      <c r="R104" s="5">
        <v>3.6254879999999998</v>
      </c>
      <c r="S104" s="5">
        <v>180.01</v>
      </c>
      <c r="T104" s="5">
        <v>180.01560000000001</v>
      </c>
      <c r="U104" s="5">
        <v>4.49</v>
      </c>
      <c r="V104" s="5">
        <v>4.5</v>
      </c>
      <c r="W104" s="5">
        <v>300</v>
      </c>
      <c r="X104" s="5">
        <v>300</v>
      </c>
      <c r="Y104" s="5">
        <v>0</v>
      </c>
      <c r="Z104" s="5">
        <v>0</v>
      </c>
      <c r="AA104" s="5">
        <v>300</v>
      </c>
      <c r="AB104" s="5">
        <v>300</v>
      </c>
      <c r="AC104" s="5">
        <v>0</v>
      </c>
      <c r="AD104" s="5">
        <v>149.03229999999999</v>
      </c>
      <c r="AE104" s="5">
        <v>170</v>
      </c>
      <c r="AF104" s="5">
        <v>170</v>
      </c>
      <c r="AG104" s="5">
        <v>20</v>
      </c>
      <c r="AH104" s="5">
        <v>0.15</v>
      </c>
      <c r="AI104" s="5">
        <v>98.76</v>
      </c>
      <c r="AJ104" s="5">
        <v>114.39</v>
      </c>
      <c r="AK104" s="5">
        <v>134.63999999999999</v>
      </c>
      <c r="AL104" s="5">
        <v>137.80000000000001</v>
      </c>
      <c r="AM104" s="5">
        <v>634.65</v>
      </c>
      <c r="AN104" s="5">
        <v>218.55090000000001</v>
      </c>
      <c r="AO104" s="5">
        <v>120.12</v>
      </c>
      <c r="AP104" s="5">
        <v>131.09</v>
      </c>
      <c r="AQ104" s="5">
        <v>135.65</v>
      </c>
      <c r="AR104" s="5">
        <v>646.79999999999995</v>
      </c>
      <c r="AS104" s="5">
        <v>14.52</v>
      </c>
      <c r="AT104" s="5">
        <v>60.45</v>
      </c>
      <c r="AU104" s="5">
        <v>99.41</v>
      </c>
      <c r="AV104" s="5">
        <v>115.44</v>
      </c>
      <c r="AW104" s="5">
        <v>0.27700000000000002</v>
      </c>
      <c r="AX104" s="5">
        <v>3.96</v>
      </c>
      <c r="AY104" s="5">
        <v>10000000000</v>
      </c>
      <c r="AZ104" s="5">
        <v>503.95</v>
      </c>
      <c r="BA104" s="5">
        <v>16.43</v>
      </c>
      <c r="BB104" s="5">
        <v>10.56</v>
      </c>
      <c r="BC104" s="5">
        <v>0.92</v>
      </c>
      <c r="BD104" s="5">
        <v>5.93</v>
      </c>
      <c r="BE104" s="5">
        <v>5.0599999999999996</v>
      </c>
      <c r="BF104" s="5">
        <v>968.1</v>
      </c>
      <c r="BG104" s="5">
        <v>8.67</v>
      </c>
      <c r="BH104" s="5">
        <v>10000000000</v>
      </c>
      <c r="BI104" s="5">
        <v>209.6</v>
      </c>
      <c r="BJ104" s="5">
        <v>20</v>
      </c>
      <c r="BK104" s="5">
        <v>84.4</v>
      </c>
      <c r="BL104" s="5">
        <v>61.4</v>
      </c>
      <c r="BM104" s="5">
        <v>2.35</v>
      </c>
      <c r="BN104" s="5">
        <v>29.81</v>
      </c>
      <c r="BO104" s="5">
        <v>38.69</v>
      </c>
      <c r="BP104" s="5">
        <v>679.52</v>
      </c>
      <c r="BQ104" s="5">
        <v>61.27064</v>
      </c>
      <c r="BR104" s="5">
        <v>235.67660000000001</v>
      </c>
      <c r="BS104" s="5">
        <v>39.067729999999997</v>
      </c>
      <c r="BT104" s="5">
        <v>32.218200000000003</v>
      </c>
      <c r="BU104" s="5">
        <v>32.288040000000002</v>
      </c>
      <c r="BV104" s="5">
        <v>0.10351299999999999</v>
      </c>
      <c r="BW104" s="5">
        <v>8.5875999999999994E-2</v>
      </c>
      <c r="BX104" s="5">
        <v>120.33710000000001</v>
      </c>
      <c r="BY104" s="5">
        <v>18.995360000000002</v>
      </c>
      <c r="BZ104" s="5">
        <v>0</v>
      </c>
      <c r="CA104" s="5">
        <v>0.92122300000000001</v>
      </c>
      <c r="CB104" s="5">
        <v>747.54830000000004</v>
      </c>
      <c r="CC104" s="5">
        <v>778.77120000000002</v>
      </c>
      <c r="CD104" s="5">
        <v>124.8372</v>
      </c>
      <c r="CE104" s="5">
        <v>528.84</v>
      </c>
      <c r="CF104" s="5">
        <v>85.84</v>
      </c>
      <c r="CG104" s="5">
        <v>97.77</v>
      </c>
      <c r="CH104" s="5">
        <v>528.85</v>
      </c>
      <c r="CI104" s="5">
        <v>552.54</v>
      </c>
      <c r="CJ104" s="5">
        <v>564.67999999999995</v>
      </c>
      <c r="CK104" s="5">
        <v>587.35</v>
      </c>
      <c r="CL104" s="5">
        <v>584.77</v>
      </c>
      <c r="CM104" s="5">
        <v>576.85</v>
      </c>
      <c r="CN104" s="5">
        <v>501.32</v>
      </c>
      <c r="CO104" s="5">
        <v>28.41</v>
      </c>
      <c r="CP104" s="5">
        <v>862.7</v>
      </c>
      <c r="CQ104" s="5">
        <v>867.05</v>
      </c>
      <c r="CR104" s="5">
        <v>15.5</v>
      </c>
      <c r="CS104" s="5">
        <v>15.5</v>
      </c>
      <c r="CT104" s="5">
        <v>26.28</v>
      </c>
      <c r="CU104" s="5">
        <v>48.77</v>
      </c>
      <c r="CV104" s="5">
        <v>98.14</v>
      </c>
      <c r="CW104" s="5">
        <v>0.89305607521618469</v>
      </c>
      <c r="CX104" s="5">
        <v>4.5188637405938943</v>
      </c>
    </row>
    <row r="105" spans="1:102" x14ac:dyDescent="0.25">
      <c r="A105" s="5">
        <v>3</v>
      </c>
      <c r="B105" s="23">
        <v>41409.464520694448</v>
      </c>
      <c r="C105" s="5">
        <v>4</v>
      </c>
      <c r="D105" s="5">
        <v>11</v>
      </c>
      <c r="E105" s="5">
        <v>848</v>
      </c>
      <c r="F105" s="5">
        <v>848</v>
      </c>
      <c r="G105" s="5">
        <v>848.1</v>
      </c>
      <c r="H105" s="5">
        <v>82.6</v>
      </c>
      <c r="I105" s="5">
        <v>82.6</v>
      </c>
      <c r="J105" s="5">
        <v>1701</v>
      </c>
      <c r="K105" s="5">
        <v>33</v>
      </c>
      <c r="L105" s="5">
        <v>33</v>
      </c>
      <c r="M105" s="5">
        <v>0.14000000000000001</v>
      </c>
      <c r="N105" s="5">
        <v>0.13996900000000001</v>
      </c>
      <c r="O105" s="5">
        <v>1</v>
      </c>
      <c r="P105" s="5">
        <v>1.0689010000000001</v>
      </c>
      <c r="Q105" s="5">
        <v>2.9</v>
      </c>
      <c r="R105" s="5">
        <v>2.9003909999999999</v>
      </c>
      <c r="S105" s="5">
        <v>179.03</v>
      </c>
      <c r="T105" s="5">
        <v>179.03129999999999</v>
      </c>
      <c r="U105" s="5">
        <v>4.21</v>
      </c>
      <c r="V105" s="5">
        <v>4.21875</v>
      </c>
      <c r="W105" s="5">
        <v>300</v>
      </c>
      <c r="X105" s="5">
        <v>300</v>
      </c>
      <c r="Y105" s="5">
        <v>0</v>
      </c>
      <c r="Z105" s="5">
        <v>0</v>
      </c>
      <c r="AA105" s="5">
        <v>300</v>
      </c>
      <c r="AB105" s="5">
        <v>300</v>
      </c>
      <c r="AC105" s="5">
        <v>0</v>
      </c>
      <c r="AD105" s="5">
        <v>165.2808</v>
      </c>
      <c r="AE105" s="5">
        <v>170</v>
      </c>
      <c r="AF105" s="5">
        <v>170</v>
      </c>
      <c r="AG105" s="5">
        <v>20</v>
      </c>
      <c r="AH105" s="5">
        <v>0.15</v>
      </c>
      <c r="AI105" s="5">
        <v>100.52</v>
      </c>
      <c r="AJ105" s="5">
        <v>122.63</v>
      </c>
      <c r="AK105" s="5">
        <v>165.81</v>
      </c>
      <c r="AL105" s="5">
        <v>167.68</v>
      </c>
      <c r="AM105" s="5">
        <v>601.22</v>
      </c>
      <c r="AN105" s="5">
        <v>233.51840000000001</v>
      </c>
      <c r="AO105" s="5">
        <v>135.68</v>
      </c>
      <c r="AP105" s="5">
        <v>157.51</v>
      </c>
      <c r="AQ105" s="5">
        <v>151.82</v>
      </c>
      <c r="AR105" s="5">
        <v>697.04</v>
      </c>
      <c r="AS105" s="5">
        <v>30.13</v>
      </c>
      <c r="AT105" s="5">
        <v>61.13</v>
      </c>
      <c r="AU105" s="5">
        <v>101.5</v>
      </c>
      <c r="AV105" s="5">
        <v>112.38</v>
      </c>
      <c r="AW105" s="5">
        <v>0.14199999999999999</v>
      </c>
      <c r="AX105" s="5">
        <v>1.95</v>
      </c>
      <c r="AY105" s="5">
        <v>10000000000</v>
      </c>
      <c r="AZ105" s="5">
        <v>449.38</v>
      </c>
      <c r="BA105" s="5">
        <v>18.309999999999999</v>
      </c>
      <c r="BB105" s="5">
        <v>9.84</v>
      </c>
      <c r="BC105" s="5">
        <v>0.98</v>
      </c>
      <c r="BD105" s="5">
        <v>6.96</v>
      </c>
      <c r="BE105" s="5">
        <v>5.01</v>
      </c>
      <c r="BF105" s="5">
        <v>854.8</v>
      </c>
      <c r="BG105" s="5">
        <v>9.94</v>
      </c>
      <c r="BH105" s="5">
        <v>10000000000</v>
      </c>
      <c r="BI105" s="5">
        <v>209.6</v>
      </c>
      <c r="BJ105" s="5">
        <v>22</v>
      </c>
      <c r="BK105" s="5">
        <v>86</v>
      </c>
      <c r="BL105" s="5">
        <v>76.849999999999994</v>
      </c>
      <c r="BM105" s="5">
        <v>2.5099999999999998</v>
      </c>
      <c r="BN105" s="5">
        <v>29.85</v>
      </c>
      <c r="BO105" s="5">
        <v>37.840000000000003</v>
      </c>
      <c r="BP105" s="5">
        <v>728.24</v>
      </c>
      <c r="BQ105" s="5">
        <v>61.995370000000001</v>
      </c>
      <c r="BR105" s="5">
        <v>265.59219999999999</v>
      </c>
      <c r="BS105" s="5">
        <v>39.968829999999997</v>
      </c>
      <c r="BT105" s="5">
        <v>34.485480000000003</v>
      </c>
      <c r="BU105" s="5">
        <v>34.1676</v>
      </c>
      <c r="BV105" s="5">
        <v>0.104902</v>
      </c>
      <c r="BW105" s="5">
        <v>0.104237</v>
      </c>
      <c r="BX105" s="5">
        <v>117.2264</v>
      </c>
      <c r="BY105" s="5">
        <v>18.995360000000002</v>
      </c>
      <c r="BZ105" s="5">
        <v>0</v>
      </c>
      <c r="CA105" s="5">
        <v>0.92234300000000002</v>
      </c>
      <c r="CB105" s="5">
        <v>797.98329999999999</v>
      </c>
      <c r="CC105" s="5">
        <v>828.35080000000005</v>
      </c>
      <c r="CD105" s="5">
        <v>121.44410000000001</v>
      </c>
      <c r="CE105" s="5">
        <v>522.13</v>
      </c>
      <c r="CF105" s="5">
        <v>86.03</v>
      </c>
      <c r="CG105" s="5">
        <v>98.63</v>
      </c>
      <c r="CH105" s="5">
        <v>503.35</v>
      </c>
      <c r="CI105" s="5">
        <v>526.15</v>
      </c>
      <c r="CJ105" s="5">
        <v>540.67999999999995</v>
      </c>
      <c r="CK105" s="5">
        <v>562.62</v>
      </c>
      <c r="CL105" s="5">
        <v>559.53</v>
      </c>
      <c r="CM105" s="5">
        <v>554.92999999999995</v>
      </c>
      <c r="CN105" s="5">
        <v>455.62</v>
      </c>
      <c r="CO105" s="5">
        <v>31.46</v>
      </c>
      <c r="CP105" s="5">
        <v>850.2</v>
      </c>
      <c r="CQ105" s="5">
        <v>848.06</v>
      </c>
      <c r="CR105" s="5">
        <v>15.2</v>
      </c>
      <c r="CS105" s="5">
        <v>15.2</v>
      </c>
      <c r="CT105" s="5">
        <v>24.13</v>
      </c>
      <c r="CU105" s="5">
        <v>23.83</v>
      </c>
      <c r="CV105" s="5">
        <v>98.15</v>
      </c>
      <c r="CW105" s="5">
        <v>0.82162380806650537</v>
      </c>
      <c r="CX105" s="5">
        <v>4.1163352784131915</v>
      </c>
    </row>
    <row r="106" spans="1:102" x14ac:dyDescent="0.25">
      <c r="A106" s="5">
        <v>6</v>
      </c>
      <c r="B106" s="23">
        <v>41409.490429409721</v>
      </c>
      <c r="C106" s="5">
        <v>4</v>
      </c>
      <c r="D106" s="5">
        <v>14</v>
      </c>
      <c r="E106" s="5">
        <v>858</v>
      </c>
      <c r="F106" s="5">
        <v>858</v>
      </c>
      <c r="G106" s="5">
        <v>858.1</v>
      </c>
      <c r="H106" s="5">
        <v>82.6</v>
      </c>
      <c r="I106" s="5">
        <v>82.6</v>
      </c>
      <c r="J106" s="5">
        <v>1701</v>
      </c>
      <c r="K106" s="5">
        <v>39</v>
      </c>
      <c r="L106" s="5">
        <v>39</v>
      </c>
      <c r="M106" s="5">
        <v>0.26</v>
      </c>
      <c r="N106" s="5">
        <v>0.25993300000000003</v>
      </c>
      <c r="O106" s="5">
        <v>1</v>
      </c>
      <c r="P106" s="5">
        <v>1.0689329999999999</v>
      </c>
      <c r="Q106" s="5">
        <v>3.27</v>
      </c>
      <c r="R106" s="5">
        <v>3.2739259999999999</v>
      </c>
      <c r="S106" s="5">
        <v>179.54</v>
      </c>
      <c r="T106" s="5">
        <v>179.54689999999999</v>
      </c>
      <c r="U106" s="5">
        <v>4.3600000000000003</v>
      </c>
      <c r="V106" s="5">
        <v>4.375</v>
      </c>
      <c r="W106" s="5">
        <v>300</v>
      </c>
      <c r="X106" s="5">
        <v>300</v>
      </c>
      <c r="Y106" s="5">
        <v>0</v>
      </c>
      <c r="Z106" s="5">
        <v>0</v>
      </c>
      <c r="AA106" s="5">
        <v>300</v>
      </c>
      <c r="AB106" s="5">
        <v>300</v>
      </c>
      <c r="AC106" s="5">
        <v>0</v>
      </c>
      <c r="AD106" s="5">
        <v>173.34450000000001</v>
      </c>
      <c r="AE106" s="5">
        <v>170</v>
      </c>
      <c r="AF106" s="5">
        <v>170</v>
      </c>
      <c r="AG106" s="5">
        <v>20</v>
      </c>
      <c r="AH106" s="5">
        <v>0.15</v>
      </c>
      <c r="AI106" s="5">
        <v>104.65</v>
      </c>
      <c r="AJ106" s="5">
        <v>122.53</v>
      </c>
      <c r="AK106" s="5">
        <v>176.72</v>
      </c>
      <c r="AL106" s="5">
        <v>177.83</v>
      </c>
      <c r="AM106" s="5">
        <v>588.49</v>
      </c>
      <c r="AN106" s="5">
        <v>246.66409999999999</v>
      </c>
      <c r="AO106" s="5">
        <v>149.09</v>
      </c>
      <c r="AP106" s="5">
        <v>155.69</v>
      </c>
      <c r="AQ106" s="5">
        <v>165.01</v>
      </c>
      <c r="AR106" s="5">
        <v>664.43</v>
      </c>
      <c r="AS106" s="5">
        <v>27.63</v>
      </c>
      <c r="AT106" s="5">
        <v>64.87</v>
      </c>
      <c r="AU106" s="5">
        <v>108.23</v>
      </c>
      <c r="AV106" s="5">
        <v>113.72</v>
      </c>
      <c r="AW106" s="5">
        <v>0.248</v>
      </c>
      <c r="AX106" s="5">
        <v>3.52</v>
      </c>
      <c r="AY106" s="5">
        <v>10000000000</v>
      </c>
      <c r="AZ106" s="5">
        <v>455.07</v>
      </c>
      <c r="BA106" s="5">
        <v>16.61</v>
      </c>
      <c r="BB106" s="5">
        <v>10.01</v>
      </c>
      <c r="BC106" s="5">
        <v>1.54</v>
      </c>
      <c r="BD106" s="5">
        <v>6.71</v>
      </c>
      <c r="BE106" s="5">
        <v>3.1</v>
      </c>
      <c r="BF106" s="5">
        <v>567.80999999999995</v>
      </c>
      <c r="BG106" s="5">
        <v>15.4</v>
      </c>
      <c r="BH106" s="5">
        <v>10000000000</v>
      </c>
      <c r="BI106" s="5">
        <v>208.8</v>
      </c>
      <c r="BJ106" s="5">
        <v>20.8</v>
      </c>
      <c r="BK106" s="5">
        <v>82</v>
      </c>
      <c r="BL106" s="5">
        <v>120.89</v>
      </c>
      <c r="BM106" s="5">
        <v>2.67</v>
      </c>
      <c r="BN106" s="5">
        <v>30.41</v>
      </c>
      <c r="BO106" s="5">
        <v>38.32</v>
      </c>
      <c r="BP106" s="5">
        <v>696.02</v>
      </c>
      <c r="BQ106" s="5">
        <v>65.237080000000006</v>
      </c>
      <c r="BR106" s="5">
        <v>272.24939999999998</v>
      </c>
      <c r="BS106" s="5">
        <v>39.579149999999998</v>
      </c>
      <c r="BT106" s="5">
        <v>35.723790000000001</v>
      </c>
      <c r="BU106" s="5">
        <v>35.321930000000002</v>
      </c>
      <c r="BV106" s="5">
        <v>0.104301</v>
      </c>
      <c r="BW106" s="5">
        <v>0.10395799999999999</v>
      </c>
      <c r="BX106" s="5">
        <v>118.5356</v>
      </c>
      <c r="BY106" s="5">
        <v>18.995360000000002</v>
      </c>
      <c r="BZ106" s="5">
        <v>0</v>
      </c>
      <c r="CA106" s="5">
        <v>0.92185799999999996</v>
      </c>
      <c r="CB106" s="5">
        <v>834.38900000000001</v>
      </c>
      <c r="CC106" s="5">
        <v>865.14210000000003</v>
      </c>
      <c r="CD106" s="5">
        <v>122.90949999999999</v>
      </c>
      <c r="CE106" s="5">
        <v>549.54999999999995</v>
      </c>
      <c r="CF106" s="5">
        <v>92.16</v>
      </c>
      <c r="CG106" s="5">
        <v>105.77</v>
      </c>
      <c r="CH106" s="5">
        <v>491.48</v>
      </c>
      <c r="CI106" s="5">
        <v>514.41999999999996</v>
      </c>
      <c r="CJ106" s="5">
        <v>527.47</v>
      </c>
      <c r="CK106" s="5">
        <v>552.22</v>
      </c>
      <c r="CL106" s="5">
        <v>547.51</v>
      </c>
      <c r="CM106" s="5">
        <v>549.09</v>
      </c>
      <c r="CN106" s="5">
        <v>439.88</v>
      </c>
      <c r="CO106" s="5">
        <v>31.66</v>
      </c>
      <c r="CP106" s="5">
        <v>856.7</v>
      </c>
      <c r="CQ106" s="5">
        <v>858.05</v>
      </c>
      <c r="CR106" s="5">
        <v>15.3</v>
      </c>
      <c r="CS106" s="5">
        <v>15.4</v>
      </c>
      <c r="CT106" s="5">
        <v>26.41</v>
      </c>
      <c r="CU106" s="5">
        <v>33.53</v>
      </c>
      <c r="CV106" s="5">
        <v>98.11</v>
      </c>
      <c r="CW106" s="5">
        <v>0.85394743977645138</v>
      </c>
      <c r="CX106" s="5">
        <v>2.6472370633069993</v>
      </c>
    </row>
    <row r="107" spans="1:102" x14ac:dyDescent="0.25">
      <c r="A107" s="5">
        <v>30</v>
      </c>
      <c r="B107" s="23">
        <v>41409.636578032405</v>
      </c>
      <c r="C107" s="5">
        <v>4</v>
      </c>
      <c r="D107" s="5">
        <v>37</v>
      </c>
      <c r="E107" s="5">
        <v>961</v>
      </c>
      <c r="F107" s="5">
        <v>961</v>
      </c>
      <c r="G107" s="5">
        <v>961</v>
      </c>
      <c r="H107" s="5">
        <v>82.6</v>
      </c>
      <c r="I107" s="5">
        <v>82.6</v>
      </c>
      <c r="J107" s="5">
        <v>1701</v>
      </c>
      <c r="K107" s="5">
        <v>45</v>
      </c>
      <c r="L107" s="5">
        <v>45</v>
      </c>
      <c r="M107" s="5">
        <v>0.28999999999999998</v>
      </c>
      <c r="N107" s="5">
        <v>0.28995900000000002</v>
      </c>
      <c r="O107" s="5">
        <v>1</v>
      </c>
      <c r="P107" s="5">
        <v>1.069007</v>
      </c>
      <c r="Q107" s="5">
        <v>2.75</v>
      </c>
      <c r="R107" s="5">
        <v>2.7465820000000001</v>
      </c>
      <c r="S107" s="5">
        <v>172.22</v>
      </c>
      <c r="T107" s="5">
        <v>172.21879999999999</v>
      </c>
      <c r="U107" s="5">
        <v>4.9800000000000004</v>
      </c>
      <c r="V107" s="5">
        <v>4.96875</v>
      </c>
      <c r="W107" s="5">
        <v>300</v>
      </c>
      <c r="X107" s="5">
        <v>300</v>
      </c>
      <c r="Y107" s="5">
        <v>0</v>
      </c>
      <c r="Z107" s="5">
        <v>0</v>
      </c>
      <c r="AA107" s="5">
        <v>299.27</v>
      </c>
      <c r="AB107" s="5">
        <v>299</v>
      </c>
      <c r="AC107" s="5">
        <v>0</v>
      </c>
      <c r="AD107" s="5">
        <v>189.9331</v>
      </c>
      <c r="AE107" s="5">
        <v>170</v>
      </c>
      <c r="AF107" s="5">
        <v>170</v>
      </c>
      <c r="AG107" s="5">
        <v>20</v>
      </c>
      <c r="AH107" s="5">
        <v>0.15</v>
      </c>
      <c r="AI107" s="5">
        <v>113.69</v>
      </c>
      <c r="AJ107" s="5">
        <v>132.47999999999999</v>
      </c>
      <c r="AK107" s="5">
        <v>226.39</v>
      </c>
      <c r="AL107" s="5">
        <v>225.86</v>
      </c>
      <c r="AM107" s="5">
        <v>610.66</v>
      </c>
      <c r="AN107" s="5">
        <v>286.15350000000001</v>
      </c>
      <c r="AO107" s="5">
        <v>188.57</v>
      </c>
      <c r="AP107" s="5">
        <v>173.73</v>
      </c>
      <c r="AQ107" s="5">
        <v>205.57</v>
      </c>
      <c r="AR107" s="5">
        <v>723.16</v>
      </c>
      <c r="AS107" s="5">
        <v>37.82</v>
      </c>
      <c r="AT107" s="5">
        <v>70.489999999999995</v>
      </c>
      <c r="AU107" s="5">
        <v>121.95</v>
      </c>
      <c r="AV107" s="5">
        <v>116.02</v>
      </c>
      <c r="AW107" s="5">
        <v>0.39500000000000002</v>
      </c>
      <c r="AX107" s="5">
        <v>5.85</v>
      </c>
      <c r="AY107" s="5">
        <v>10000000000</v>
      </c>
      <c r="AZ107" s="5">
        <v>478.22</v>
      </c>
      <c r="BA107" s="5">
        <v>11.98</v>
      </c>
      <c r="BB107" s="5">
        <v>10.53</v>
      </c>
      <c r="BC107" s="5">
        <v>1.98</v>
      </c>
      <c r="BD107" s="5">
        <v>6.18</v>
      </c>
      <c r="BE107" s="5">
        <v>1.91</v>
      </c>
      <c r="BF107" s="5">
        <v>361.53</v>
      </c>
      <c r="BG107" s="5">
        <v>18.760000000000002</v>
      </c>
      <c r="BH107" s="5">
        <v>10000000000</v>
      </c>
      <c r="BI107" s="5">
        <v>211</v>
      </c>
      <c r="BJ107" s="5">
        <v>20</v>
      </c>
      <c r="BK107" s="5">
        <v>80.400000000000006</v>
      </c>
      <c r="BL107" s="5">
        <v>167.02</v>
      </c>
      <c r="BM107" s="5">
        <v>3.09</v>
      </c>
      <c r="BN107" s="5">
        <v>30.79</v>
      </c>
      <c r="BO107" s="5">
        <v>38.67</v>
      </c>
      <c r="BP107" s="5">
        <v>759.24</v>
      </c>
      <c r="BQ107" s="5">
        <v>69.668589999999995</v>
      </c>
      <c r="BR107" s="5">
        <v>318.78579999999999</v>
      </c>
      <c r="BS107" s="5">
        <v>35.47766</v>
      </c>
      <c r="BT107" s="5">
        <v>35.710590000000003</v>
      </c>
      <c r="BU107" s="5">
        <v>35.115360000000003</v>
      </c>
      <c r="BV107" s="5">
        <v>0.104264</v>
      </c>
      <c r="BW107" s="5">
        <v>9.9564E-2</v>
      </c>
      <c r="BX107" s="5">
        <v>136.3777</v>
      </c>
      <c r="BY107" s="5">
        <v>18.995360000000002</v>
      </c>
      <c r="BZ107" s="5">
        <v>0</v>
      </c>
      <c r="CA107" s="5">
        <v>0.92028299999999996</v>
      </c>
      <c r="CB107" s="5">
        <v>953.84460000000001</v>
      </c>
      <c r="CC107" s="5">
        <v>989.20830000000001</v>
      </c>
      <c r="CD107" s="5">
        <v>141.34649999999999</v>
      </c>
      <c r="CE107" s="5">
        <v>579.51</v>
      </c>
      <c r="CF107" s="5">
        <v>102.52</v>
      </c>
      <c r="CG107" s="5">
        <v>120.13</v>
      </c>
      <c r="CH107" s="5">
        <v>513.29999999999995</v>
      </c>
      <c r="CI107" s="5">
        <v>533.97</v>
      </c>
      <c r="CJ107" s="5">
        <v>550.07000000000005</v>
      </c>
      <c r="CK107" s="5">
        <v>575.19000000000005</v>
      </c>
      <c r="CL107" s="5">
        <v>570.79999999999995</v>
      </c>
      <c r="CM107" s="5">
        <v>572.09</v>
      </c>
      <c r="CN107" s="5">
        <v>439.36</v>
      </c>
      <c r="CO107" s="5">
        <v>30.64</v>
      </c>
      <c r="CP107" s="5">
        <v>957.1</v>
      </c>
      <c r="CQ107" s="5">
        <v>961.05</v>
      </c>
      <c r="CR107" s="5">
        <v>17.100000000000001</v>
      </c>
      <c r="CS107" s="5">
        <v>17.2</v>
      </c>
      <c r="CT107" s="5">
        <v>23.97</v>
      </c>
      <c r="CU107" s="5">
        <v>51.34</v>
      </c>
      <c r="CV107" s="5">
        <v>98.53</v>
      </c>
      <c r="CW107" s="5">
        <v>0.89311706230120513</v>
      </c>
      <c r="CX107" s="5">
        <v>1.7058535889953017</v>
      </c>
    </row>
    <row r="108" spans="1:102" x14ac:dyDescent="0.25">
      <c r="A108" s="5">
        <v>22</v>
      </c>
      <c r="B108" s="23">
        <v>41409.58083979167</v>
      </c>
      <c r="C108" s="5">
        <v>4</v>
      </c>
      <c r="D108" s="5">
        <v>29</v>
      </c>
      <c r="E108" s="5">
        <v>930</v>
      </c>
      <c r="F108" s="5">
        <v>930</v>
      </c>
      <c r="G108" s="5">
        <v>930</v>
      </c>
      <c r="H108" s="5">
        <v>82.6</v>
      </c>
      <c r="I108" s="5">
        <v>82.6</v>
      </c>
      <c r="J108" s="5">
        <v>1701</v>
      </c>
      <c r="K108" s="5">
        <v>18</v>
      </c>
      <c r="L108" s="5">
        <v>18</v>
      </c>
      <c r="M108" s="5">
        <v>0.1</v>
      </c>
      <c r="N108" s="5">
        <v>9.9880999999999998E-2</v>
      </c>
      <c r="O108" s="5">
        <v>1</v>
      </c>
      <c r="P108" s="5">
        <v>1.0690139999999999</v>
      </c>
      <c r="Q108" s="5">
        <v>3.83</v>
      </c>
      <c r="R108" s="5">
        <v>3.8342290000000001</v>
      </c>
      <c r="S108" s="5">
        <v>177.04</v>
      </c>
      <c r="T108" s="5">
        <v>177.03710000000001</v>
      </c>
      <c r="U108" s="5">
        <v>4.9800000000000004</v>
      </c>
      <c r="V108" s="5">
        <v>4.96875</v>
      </c>
      <c r="W108" s="5">
        <v>300</v>
      </c>
      <c r="X108" s="5">
        <v>300</v>
      </c>
      <c r="Y108" s="5">
        <v>0</v>
      </c>
      <c r="Z108" s="5">
        <v>0</v>
      </c>
      <c r="AA108" s="5">
        <v>299.44</v>
      </c>
      <c r="AB108" s="5">
        <v>299</v>
      </c>
      <c r="AC108" s="5">
        <v>0</v>
      </c>
      <c r="AD108" s="5">
        <v>160.1876</v>
      </c>
      <c r="AE108" s="5">
        <v>170</v>
      </c>
      <c r="AF108" s="5">
        <v>170</v>
      </c>
      <c r="AG108" s="5">
        <v>20</v>
      </c>
      <c r="AH108" s="5">
        <v>0.15</v>
      </c>
      <c r="AI108" s="5">
        <v>103.39</v>
      </c>
      <c r="AJ108" s="5">
        <v>118.91</v>
      </c>
      <c r="AK108" s="5">
        <v>147.88</v>
      </c>
      <c r="AL108" s="5">
        <v>151.81</v>
      </c>
      <c r="AM108" s="5">
        <v>652.49</v>
      </c>
      <c r="AN108" s="5">
        <v>227.2064</v>
      </c>
      <c r="AO108" s="5">
        <v>128.41999999999999</v>
      </c>
      <c r="AP108" s="5">
        <v>137.41999999999999</v>
      </c>
      <c r="AQ108" s="5">
        <v>145.1</v>
      </c>
      <c r="AR108" s="5">
        <v>696.42</v>
      </c>
      <c r="AS108" s="5">
        <v>19.46</v>
      </c>
      <c r="AT108" s="5">
        <v>58.54</v>
      </c>
      <c r="AU108" s="5">
        <v>100.54</v>
      </c>
      <c r="AV108" s="5">
        <v>112.04</v>
      </c>
      <c r="AW108" s="5">
        <v>0.19600000000000001</v>
      </c>
      <c r="AX108" s="5">
        <v>2.73</v>
      </c>
      <c r="AY108" s="5">
        <v>10000000000</v>
      </c>
      <c r="AZ108" s="5">
        <v>497.84</v>
      </c>
      <c r="BA108" s="5">
        <v>14.23</v>
      </c>
      <c r="BB108" s="5">
        <v>10.54</v>
      </c>
      <c r="BC108" s="5">
        <v>0.54</v>
      </c>
      <c r="BD108" s="5">
        <v>6.04</v>
      </c>
      <c r="BE108" s="5">
        <v>6.52</v>
      </c>
      <c r="BF108" s="5">
        <v>1240.47</v>
      </c>
      <c r="BG108" s="5">
        <v>5.09</v>
      </c>
      <c r="BH108" s="5">
        <v>10000000000</v>
      </c>
      <c r="BI108" s="5">
        <v>209.8</v>
      </c>
      <c r="BJ108" s="5">
        <v>20.100000000000001</v>
      </c>
      <c r="BK108" s="5">
        <v>84.7</v>
      </c>
      <c r="BL108" s="5">
        <v>37.4</v>
      </c>
      <c r="BM108" s="5">
        <v>2.42</v>
      </c>
      <c r="BN108" s="5">
        <v>29.46</v>
      </c>
      <c r="BO108" s="5">
        <v>38.659999999999997</v>
      </c>
      <c r="BP108" s="5">
        <v>731.52</v>
      </c>
      <c r="BQ108" s="5">
        <v>59.575629999999997</v>
      </c>
      <c r="BR108" s="5">
        <v>252.49870000000001</v>
      </c>
      <c r="BS108" s="5">
        <v>36.378520000000002</v>
      </c>
      <c r="BT108" s="5">
        <v>31.678540000000002</v>
      </c>
      <c r="BU108" s="5">
        <v>31.885179999999998</v>
      </c>
      <c r="BV108" s="5">
        <v>0.10353999999999999</v>
      </c>
      <c r="BW108" s="5">
        <v>7.2089E-2</v>
      </c>
      <c r="BX108" s="5">
        <v>130.31229999999999</v>
      </c>
      <c r="BY108" s="5">
        <v>18.995360000000002</v>
      </c>
      <c r="BZ108" s="5">
        <v>0</v>
      </c>
      <c r="CA108" s="5">
        <v>0.91965799999999998</v>
      </c>
      <c r="CB108" s="5">
        <v>779.77189999999996</v>
      </c>
      <c r="CC108" s="5">
        <v>813.61419999999998</v>
      </c>
      <c r="CD108" s="5">
        <v>135.28110000000001</v>
      </c>
      <c r="CE108" s="5">
        <v>474.28</v>
      </c>
      <c r="CF108" s="5">
        <v>84.28</v>
      </c>
      <c r="CG108" s="5">
        <v>100.38</v>
      </c>
      <c r="CH108" s="5">
        <v>544.04999999999995</v>
      </c>
      <c r="CI108" s="5">
        <v>569.05999999999995</v>
      </c>
      <c r="CJ108" s="5">
        <v>584</v>
      </c>
      <c r="CK108" s="5">
        <v>603.54999999999995</v>
      </c>
      <c r="CL108" s="5">
        <v>597.96</v>
      </c>
      <c r="CM108" s="5">
        <v>581.21</v>
      </c>
      <c r="CN108" s="5">
        <v>512.95000000000005</v>
      </c>
      <c r="CO108" s="5">
        <v>30.98</v>
      </c>
      <c r="CP108" s="5">
        <v>923.3</v>
      </c>
      <c r="CQ108" s="5">
        <v>930.05</v>
      </c>
      <c r="CR108" s="5">
        <v>16.5</v>
      </c>
      <c r="CS108" s="5">
        <v>16.7</v>
      </c>
      <c r="CT108" s="5">
        <v>25.15</v>
      </c>
      <c r="CU108" s="5">
        <v>50.47</v>
      </c>
      <c r="CV108" s="5">
        <v>98.38</v>
      </c>
      <c r="CW108" s="5">
        <v>0.89692699729756697</v>
      </c>
      <c r="CX108" s="5">
        <v>5.8479640223801361</v>
      </c>
    </row>
    <row r="109" spans="1:102" x14ac:dyDescent="0.25">
      <c r="A109" s="5">
        <v>9</v>
      </c>
      <c r="B109" s="23">
        <v>41409.506692835646</v>
      </c>
      <c r="C109" s="5">
        <v>4</v>
      </c>
      <c r="D109" s="5">
        <v>17</v>
      </c>
      <c r="E109" s="5">
        <v>873</v>
      </c>
      <c r="F109" s="5">
        <v>873</v>
      </c>
      <c r="G109" s="5">
        <v>873.1</v>
      </c>
      <c r="H109" s="5">
        <v>82.6</v>
      </c>
      <c r="I109" s="5">
        <v>82.6</v>
      </c>
      <c r="J109" s="5">
        <v>1701</v>
      </c>
      <c r="K109" s="5">
        <v>42</v>
      </c>
      <c r="L109" s="5">
        <v>42</v>
      </c>
      <c r="M109" s="5">
        <v>0.28999999999999998</v>
      </c>
      <c r="N109" s="5">
        <v>0.28999399999999997</v>
      </c>
      <c r="O109" s="5">
        <v>1</v>
      </c>
      <c r="P109" s="5">
        <v>1.0690189999999999</v>
      </c>
      <c r="Q109" s="5">
        <v>3.84</v>
      </c>
      <c r="R109" s="5">
        <v>3.845215</v>
      </c>
      <c r="S109" s="5">
        <v>180.32</v>
      </c>
      <c r="T109" s="5">
        <v>180.3125</v>
      </c>
      <c r="U109" s="5">
        <v>4.58</v>
      </c>
      <c r="V109" s="5">
        <v>4.59375</v>
      </c>
      <c r="W109" s="5">
        <v>300</v>
      </c>
      <c r="X109" s="5">
        <v>300</v>
      </c>
      <c r="Y109" s="5">
        <v>0</v>
      </c>
      <c r="Z109" s="5">
        <v>0</v>
      </c>
      <c r="AA109" s="5">
        <v>300</v>
      </c>
      <c r="AB109" s="5">
        <v>300</v>
      </c>
      <c r="AC109" s="5">
        <v>0</v>
      </c>
      <c r="AD109" s="5">
        <v>177.76570000000001</v>
      </c>
      <c r="AE109" s="5">
        <v>170</v>
      </c>
      <c r="AF109" s="5">
        <v>170</v>
      </c>
      <c r="AG109" s="5">
        <v>20</v>
      </c>
      <c r="AH109" s="5">
        <v>0.15</v>
      </c>
      <c r="AI109" s="5">
        <v>109.1</v>
      </c>
      <c r="AJ109" s="5">
        <v>123.63</v>
      </c>
      <c r="AK109" s="5">
        <v>185.41</v>
      </c>
      <c r="AL109" s="5">
        <v>185.83</v>
      </c>
      <c r="AM109" s="5">
        <v>584.79</v>
      </c>
      <c r="AN109" s="5">
        <v>253.8862</v>
      </c>
      <c r="AO109" s="5">
        <v>156.43</v>
      </c>
      <c r="AP109" s="5">
        <v>155.25</v>
      </c>
      <c r="AQ109" s="5">
        <v>172.19</v>
      </c>
      <c r="AR109" s="5">
        <v>667.1</v>
      </c>
      <c r="AS109" s="5">
        <v>28.98</v>
      </c>
      <c r="AT109" s="5">
        <v>66.849999999999994</v>
      </c>
      <c r="AU109" s="5">
        <v>112.19</v>
      </c>
      <c r="AV109" s="5">
        <v>112.85</v>
      </c>
      <c r="AW109" s="5">
        <v>0.34100000000000003</v>
      </c>
      <c r="AX109" s="5">
        <v>4.9800000000000004</v>
      </c>
      <c r="AY109" s="5">
        <v>10000000000</v>
      </c>
      <c r="AZ109" s="5">
        <v>461.73</v>
      </c>
      <c r="BA109" s="5">
        <v>15.33</v>
      </c>
      <c r="BB109" s="5">
        <v>10.17</v>
      </c>
      <c r="BC109" s="5">
        <v>1.75</v>
      </c>
      <c r="BD109" s="5">
        <v>6.53</v>
      </c>
      <c r="BE109" s="5">
        <v>2.71</v>
      </c>
      <c r="BF109" s="5">
        <v>503.24</v>
      </c>
      <c r="BG109" s="5">
        <v>17.170000000000002</v>
      </c>
      <c r="BH109" s="5">
        <v>10000000000</v>
      </c>
      <c r="BI109" s="5">
        <v>208.3</v>
      </c>
      <c r="BJ109" s="5">
        <v>20.6</v>
      </c>
      <c r="BK109" s="5">
        <v>81.7</v>
      </c>
      <c r="BL109" s="5">
        <v>138.32</v>
      </c>
      <c r="BM109" s="5">
        <v>2.76</v>
      </c>
      <c r="BN109" s="5">
        <v>30.59</v>
      </c>
      <c r="BO109" s="5">
        <v>38.409999999999997</v>
      </c>
      <c r="BP109" s="5">
        <v>699.61</v>
      </c>
      <c r="BQ109" s="5">
        <v>66.878330000000005</v>
      </c>
      <c r="BR109" s="5">
        <v>279.62450000000001</v>
      </c>
      <c r="BS109" s="5">
        <v>39.053750000000001</v>
      </c>
      <c r="BT109" s="5">
        <v>36.061630000000001</v>
      </c>
      <c r="BU109" s="5">
        <v>35.622630000000001</v>
      </c>
      <c r="BV109" s="5">
        <v>0.103491</v>
      </c>
      <c r="BW109" s="5">
        <v>0.10234500000000001</v>
      </c>
      <c r="BX109" s="5">
        <v>120.2955</v>
      </c>
      <c r="BY109" s="5">
        <v>18.995360000000002</v>
      </c>
      <c r="BZ109" s="5">
        <v>0</v>
      </c>
      <c r="CA109" s="5">
        <v>0.92120599999999997</v>
      </c>
      <c r="CB109" s="5">
        <v>854.07929999999999</v>
      </c>
      <c r="CC109" s="5">
        <v>885.31370000000004</v>
      </c>
      <c r="CD109" s="5">
        <v>124.8905</v>
      </c>
      <c r="CE109" s="5">
        <v>552.09</v>
      </c>
      <c r="CF109" s="5">
        <v>94.9</v>
      </c>
      <c r="CG109" s="5">
        <v>109.65</v>
      </c>
      <c r="CH109" s="5">
        <v>491.35</v>
      </c>
      <c r="CI109" s="5">
        <v>512.79</v>
      </c>
      <c r="CJ109" s="5">
        <v>525.72</v>
      </c>
      <c r="CK109" s="5">
        <v>547.94000000000005</v>
      </c>
      <c r="CL109" s="5">
        <v>546.61</v>
      </c>
      <c r="CM109" s="5">
        <v>547.54</v>
      </c>
      <c r="CN109" s="5">
        <v>431.45</v>
      </c>
      <c r="CO109" s="5">
        <v>28.92</v>
      </c>
      <c r="CP109" s="5">
        <v>870.6</v>
      </c>
      <c r="CQ109" s="5">
        <v>873.06</v>
      </c>
      <c r="CR109" s="5">
        <v>15.6</v>
      </c>
      <c r="CS109" s="5">
        <v>15.6</v>
      </c>
      <c r="CT109" s="5">
        <v>26.95</v>
      </c>
      <c r="CU109" s="5">
        <v>44.96</v>
      </c>
      <c r="CV109" s="5">
        <v>98.15</v>
      </c>
      <c r="CW109" s="5">
        <v>0.89083779188378409</v>
      </c>
      <c r="CX109" s="5">
        <v>2.4141704160050548</v>
      </c>
    </row>
    <row r="110" spans="1:102" x14ac:dyDescent="0.25">
      <c r="A110" s="5">
        <v>33</v>
      </c>
      <c r="B110" s="23">
        <v>41409.659048530091</v>
      </c>
      <c r="C110" s="5">
        <v>4</v>
      </c>
      <c r="D110" s="5">
        <v>43</v>
      </c>
      <c r="E110" s="5">
        <v>992</v>
      </c>
      <c r="F110" s="5">
        <v>992</v>
      </c>
      <c r="G110" s="5">
        <v>992.1</v>
      </c>
      <c r="H110" s="5">
        <v>82.6</v>
      </c>
      <c r="I110" s="5">
        <v>82.6</v>
      </c>
      <c r="J110" s="5">
        <v>1701</v>
      </c>
      <c r="K110" s="5">
        <v>34</v>
      </c>
      <c r="L110" s="5">
        <v>34</v>
      </c>
      <c r="M110" s="5">
        <v>0.28999999999999998</v>
      </c>
      <c r="N110" s="5">
        <v>0.289937</v>
      </c>
      <c r="O110" s="5">
        <v>1</v>
      </c>
      <c r="P110" s="5">
        <v>1.068967</v>
      </c>
      <c r="Q110" s="5">
        <v>1.69</v>
      </c>
      <c r="R110" s="5">
        <v>1.6918949999999999</v>
      </c>
      <c r="S110" s="5">
        <v>167.43</v>
      </c>
      <c r="T110" s="5">
        <v>167.4375</v>
      </c>
      <c r="U110" s="5">
        <v>5</v>
      </c>
      <c r="V110" s="5">
        <v>5</v>
      </c>
      <c r="W110" s="5">
        <v>300</v>
      </c>
      <c r="X110" s="5">
        <v>300</v>
      </c>
      <c r="Y110" s="5">
        <v>0</v>
      </c>
      <c r="Z110" s="5">
        <v>0</v>
      </c>
      <c r="AA110" s="5">
        <v>299.85000000000002</v>
      </c>
      <c r="AB110" s="5">
        <v>300</v>
      </c>
      <c r="AC110" s="5">
        <v>0</v>
      </c>
      <c r="AD110" s="5">
        <v>189.8776</v>
      </c>
      <c r="AE110" s="5">
        <v>170</v>
      </c>
      <c r="AF110" s="5">
        <v>170</v>
      </c>
      <c r="AG110" s="5">
        <v>20</v>
      </c>
      <c r="AH110" s="5">
        <v>0.15</v>
      </c>
      <c r="AI110" s="5">
        <v>107.45</v>
      </c>
      <c r="AJ110" s="5">
        <v>131.35</v>
      </c>
      <c r="AK110" s="5">
        <v>200.39</v>
      </c>
      <c r="AL110" s="5">
        <v>202.21</v>
      </c>
      <c r="AM110" s="5">
        <v>645.44000000000005</v>
      </c>
      <c r="AN110" s="5">
        <v>274.23579999999998</v>
      </c>
      <c r="AO110" s="5">
        <v>176.03</v>
      </c>
      <c r="AP110" s="5">
        <v>167.57</v>
      </c>
      <c r="AQ110" s="5">
        <v>193.68</v>
      </c>
      <c r="AR110" s="5">
        <v>746.7</v>
      </c>
      <c r="AS110" s="5">
        <v>24.36</v>
      </c>
      <c r="AT110" s="5">
        <v>64.97</v>
      </c>
      <c r="AU110" s="5">
        <v>109.97</v>
      </c>
      <c r="AV110" s="5">
        <v>118.02</v>
      </c>
      <c r="AW110" s="5">
        <v>0.23499999999999999</v>
      </c>
      <c r="AX110" s="5">
        <v>3.31</v>
      </c>
      <c r="AY110" s="5">
        <v>10000000000</v>
      </c>
      <c r="AZ110" s="5">
        <v>470.53</v>
      </c>
      <c r="BA110" s="5">
        <v>11.53</v>
      </c>
      <c r="BB110" s="5">
        <v>10.63</v>
      </c>
      <c r="BC110" s="5">
        <v>1.48</v>
      </c>
      <c r="BD110" s="5">
        <v>6</v>
      </c>
      <c r="BE110" s="5">
        <v>2.56</v>
      </c>
      <c r="BF110" s="5">
        <v>486.26</v>
      </c>
      <c r="BG110" s="5">
        <v>13.93</v>
      </c>
      <c r="BH110" s="5">
        <v>10000000000</v>
      </c>
      <c r="BI110" s="5">
        <v>212.2</v>
      </c>
      <c r="BJ110" s="5">
        <v>19.899999999999999</v>
      </c>
      <c r="BK110" s="5">
        <v>81.8</v>
      </c>
      <c r="BL110" s="5">
        <v>120.86</v>
      </c>
      <c r="BM110" s="5">
        <v>2.96</v>
      </c>
      <c r="BN110" s="5">
        <v>30.33</v>
      </c>
      <c r="BO110" s="5">
        <v>38.72</v>
      </c>
      <c r="BP110" s="5">
        <v>784.2</v>
      </c>
      <c r="BQ110" s="5">
        <v>65.14385</v>
      </c>
      <c r="BR110" s="5">
        <v>297.37599999999998</v>
      </c>
      <c r="BS110" s="5">
        <v>35.263199999999998</v>
      </c>
      <c r="BT110" s="5">
        <v>33.625680000000003</v>
      </c>
      <c r="BU110" s="5">
        <v>33.136800000000001</v>
      </c>
      <c r="BV110" s="5">
        <v>0.100035</v>
      </c>
      <c r="BW110" s="5">
        <v>9.7122E-2</v>
      </c>
      <c r="BX110" s="5">
        <v>141.55609999999999</v>
      </c>
      <c r="BY110" s="5">
        <v>18.995360000000002</v>
      </c>
      <c r="BZ110" s="5">
        <v>0</v>
      </c>
      <c r="CA110" s="5">
        <v>0.92223100000000002</v>
      </c>
      <c r="CB110" s="5">
        <v>928.28790000000004</v>
      </c>
      <c r="CC110" s="5">
        <v>964.95830000000001</v>
      </c>
      <c r="CD110" s="5">
        <v>146.55789999999999</v>
      </c>
      <c r="CE110" s="5">
        <v>591.1</v>
      </c>
      <c r="CF110" s="5">
        <v>94.53</v>
      </c>
      <c r="CG110" s="5">
        <v>108.58</v>
      </c>
      <c r="CH110" s="5">
        <v>537.88</v>
      </c>
      <c r="CI110" s="5">
        <v>560.92999999999995</v>
      </c>
      <c r="CJ110" s="5">
        <v>578.22</v>
      </c>
      <c r="CK110" s="5">
        <v>600.6</v>
      </c>
      <c r="CL110" s="5">
        <v>595.99</v>
      </c>
      <c r="CM110" s="5">
        <v>599.62</v>
      </c>
      <c r="CN110" s="5">
        <v>481.56</v>
      </c>
      <c r="CO110" s="5">
        <v>30.82</v>
      </c>
      <c r="CP110" s="5">
        <v>987.2</v>
      </c>
      <c r="CQ110" s="5">
        <v>992.05</v>
      </c>
      <c r="CR110" s="5">
        <v>17.7</v>
      </c>
      <c r="CS110" s="5">
        <v>17.8</v>
      </c>
      <c r="CT110" s="5">
        <v>24.49</v>
      </c>
      <c r="CU110" s="5">
        <v>51.47</v>
      </c>
      <c r="CV110" s="5">
        <v>98.61</v>
      </c>
      <c r="CW110" s="5">
        <v>0.89868398112428705</v>
      </c>
      <c r="CX110" s="5">
        <v>2.3006309916781751</v>
      </c>
    </row>
    <row r="111" spans="1:102" x14ac:dyDescent="0.25">
      <c r="A111" s="5">
        <v>30</v>
      </c>
      <c r="B111" s="23">
        <v>41408.659520694448</v>
      </c>
      <c r="C111" s="5">
        <v>4</v>
      </c>
      <c r="D111" s="5">
        <v>4</v>
      </c>
      <c r="E111" s="5">
        <v>811</v>
      </c>
      <c r="F111" s="5">
        <v>811</v>
      </c>
      <c r="G111" s="5">
        <v>811.1</v>
      </c>
      <c r="H111" s="5">
        <v>82.6</v>
      </c>
      <c r="I111" s="5">
        <v>82.6</v>
      </c>
      <c r="J111" s="5">
        <v>1701</v>
      </c>
      <c r="K111" s="5">
        <v>31</v>
      </c>
      <c r="L111" s="5">
        <v>31</v>
      </c>
      <c r="M111" s="5">
        <v>0.11</v>
      </c>
      <c r="N111" s="5">
        <v>0.11000699999999999</v>
      </c>
      <c r="O111" s="5">
        <v>1</v>
      </c>
      <c r="P111" s="5">
        <v>1.06958</v>
      </c>
      <c r="Q111" s="5">
        <v>1.51</v>
      </c>
      <c r="R111" s="5">
        <v>1.5051270000000001</v>
      </c>
      <c r="S111" s="5">
        <v>177.2</v>
      </c>
      <c r="T111" s="5">
        <v>177.20310000000001</v>
      </c>
      <c r="U111" s="5">
        <v>3.66</v>
      </c>
      <c r="V111" s="5">
        <v>3.65625</v>
      </c>
      <c r="W111" s="5">
        <v>300</v>
      </c>
      <c r="X111" s="5">
        <v>300</v>
      </c>
      <c r="Y111" s="5">
        <v>0</v>
      </c>
      <c r="Z111" s="5">
        <v>0</v>
      </c>
      <c r="AA111" s="5">
        <v>300</v>
      </c>
      <c r="AB111" s="5">
        <v>300</v>
      </c>
      <c r="AC111" s="5">
        <v>0</v>
      </c>
      <c r="AD111" s="5">
        <v>166.0753</v>
      </c>
      <c r="AE111" s="5">
        <v>170</v>
      </c>
      <c r="AF111" s="5">
        <v>170</v>
      </c>
      <c r="AG111" s="5">
        <v>20</v>
      </c>
      <c r="AH111" s="5">
        <v>0.15</v>
      </c>
      <c r="AI111" s="5">
        <v>95.65</v>
      </c>
      <c r="AJ111" s="5">
        <v>119.62</v>
      </c>
      <c r="AK111" s="5">
        <v>164.04</v>
      </c>
      <c r="AL111" s="5">
        <v>166.96</v>
      </c>
      <c r="AM111" s="5">
        <v>582.39</v>
      </c>
      <c r="AN111" s="5">
        <v>233.72839999999999</v>
      </c>
      <c r="AO111" s="5">
        <v>134.76</v>
      </c>
      <c r="AP111" s="5">
        <v>139.44</v>
      </c>
      <c r="AQ111" s="5">
        <v>153.02000000000001</v>
      </c>
      <c r="AR111" s="5">
        <v>695.68</v>
      </c>
      <c r="AS111" s="5">
        <v>29.28</v>
      </c>
      <c r="AT111" s="5">
        <v>59.88</v>
      </c>
      <c r="AU111" s="5">
        <v>99.94</v>
      </c>
      <c r="AV111" s="5">
        <v>115.17</v>
      </c>
      <c r="AW111" s="5">
        <v>7.0999999999999994E-2</v>
      </c>
      <c r="AX111" s="5">
        <v>0.95</v>
      </c>
      <c r="AY111" s="5">
        <v>10000000000</v>
      </c>
      <c r="AZ111" s="5">
        <v>47.76</v>
      </c>
      <c r="BA111" s="5">
        <v>15.33</v>
      </c>
      <c r="BB111" s="5">
        <v>9.18</v>
      </c>
      <c r="BC111" s="5">
        <v>0.7</v>
      </c>
      <c r="BD111" s="5">
        <v>7.95</v>
      </c>
      <c r="BE111" s="5">
        <v>5.53</v>
      </c>
      <c r="BF111" s="5">
        <v>896.45</v>
      </c>
      <c r="BG111" s="5">
        <v>7.64</v>
      </c>
      <c r="BH111" s="5">
        <v>10000000000</v>
      </c>
      <c r="BI111" s="5">
        <v>210.3</v>
      </c>
      <c r="BJ111" s="5">
        <v>22.9</v>
      </c>
      <c r="BK111" s="5">
        <v>84.1</v>
      </c>
      <c r="BL111" s="5">
        <v>57.58</v>
      </c>
      <c r="BM111" s="5">
        <v>2.5</v>
      </c>
      <c r="BN111" s="5">
        <v>29.62</v>
      </c>
      <c r="BO111" s="5">
        <v>37.51</v>
      </c>
      <c r="BP111" s="5">
        <v>726.06</v>
      </c>
      <c r="BQ111" s="5">
        <v>60.786769999999997</v>
      </c>
      <c r="BR111" s="5">
        <v>266.3544</v>
      </c>
      <c r="BS111" s="5">
        <v>41.206940000000003</v>
      </c>
      <c r="BT111" s="5">
        <v>36.099820000000001</v>
      </c>
      <c r="BU111" s="5">
        <v>35.770420000000001</v>
      </c>
      <c r="BV111" s="5">
        <v>0.105183</v>
      </c>
      <c r="BW111" s="5">
        <v>0.104509</v>
      </c>
      <c r="BX111" s="5">
        <v>112.9953</v>
      </c>
      <c r="BY111" s="5">
        <v>18.995360000000002</v>
      </c>
      <c r="BZ111" s="5">
        <v>0</v>
      </c>
      <c r="CA111" s="5">
        <v>0.92364800000000002</v>
      </c>
      <c r="CB111" s="5">
        <v>802.72940000000006</v>
      </c>
      <c r="CC111" s="5">
        <v>831.90060000000005</v>
      </c>
      <c r="CD111" s="5">
        <v>116.657</v>
      </c>
      <c r="CE111" s="5">
        <v>478.06</v>
      </c>
      <c r="CF111" s="5">
        <v>83.87</v>
      </c>
      <c r="CG111" s="5">
        <v>97.1</v>
      </c>
      <c r="CH111" s="5">
        <v>487.83</v>
      </c>
      <c r="CI111" s="5">
        <v>509.25</v>
      </c>
      <c r="CJ111" s="5">
        <v>522.70000000000005</v>
      </c>
      <c r="CK111" s="5">
        <v>542.83000000000004</v>
      </c>
      <c r="CL111" s="5">
        <v>540.67999999999995</v>
      </c>
      <c r="CM111" s="5">
        <v>533.79</v>
      </c>
      <c r="CN111" s="5">
        <v>442.14</v>
      </c>
      <c r="CO111" s="5">
        <v>28.31</v>
      </c>
      <c r="CP111" s="5">
        <v>807</v>
      </c>
      <c r="CQ111" s="5">
        <v>811.05</v>
      </c>
      <c r="CR111" s="5">
        <v>14.5</v>
      </c>
      <c r="CS111" s="5">
        <v>14.5</v>
      </c>
      <c r="CT111" s="5">
        <v>24.15</v>
      </c>
      <c r="CU111" s="5">
        <v>56.27</v>
      </c>
      <c r="CV111" s="5">
        <v>99.07</v>
      </c>
      <c r="CW111" s="5">
        <v>0.9003907779984559</v>
      </c>
      <c r="CX111" s="5">
        <v>4.9791610023314616</v>
      </c>
    </row>
    <row r="112" spans="1:102" x14ac:dyDescent="0.25">
      <c r="A112" s="5">
        <v>13</v>
      </c>
      <c r="B112" s="23">
        <v>41409.528405532408</v>
      </c>
      <c r="C112" s="5">
        <v>4</v>
      </c>
      <c r="D112" s="5">
        <v>21</v>
      </c>
      <c r="E112" s="5">
        <v>892</v>
      </c>
      <c r="F112" s="5">
        <v>892</v>
      </c>
      <c r="G112" s="5">
        <v>892</v>
      </c>
      <c r="H112" s="5">
        <v>82.6</v>
      </c>
      <c r="I112" s="5">
        <v>82.6</v>
      </c>
      <c r="J112" s="5">
        <v>1701</v>
      </c>
      <c r="K112" s="5">
        <v>41</v>
      </c>
      <c r="L112" s="5">
        <v>41</v>
      </c>
      <c r="M112" s="5">
        <v>0.16</v>
      </c>
      <c r="N112" s="5">
        <v>0.159966</v>
      </c>
      <c r="O112" s="5">
        <v>1</v>
      </c>
      <c r="P112" s="5">
        <v>1.06911</v>
      </c>
      <c r="Q112" s="5">
        <v>4.57</v>
      </c>
      <c r="R112" s="5">
        <v>4.5703129999999996</v>
      </c>
      <c r="S112" s="5">
        <v>181.3</v>
      </c>
      <c r="T112" s="5">
        <v>180.92779999999999</v>
      </c>
      <c r="U112" s="5">
        <v>4.8600000000000003</v>
      </c>
      <c r="V112" s="5">
        <v>4.875</v>
      </c>
      <c r="W112" s="5">
        <v>300</v>
      </c>
      <c r="X112" s="5">
        <v>300</v>
      </c>
      <c r="Y112" s="5">
        <v>0</v>
      </c>
      <c r="Z112" s="5">
        <v>0</v>
      </c>
      <c r="AA112" s="5">
        <v>300</v>
      </c>
      <c r="AB112" s="5">
        <v>300</v>
      </c>
      <c r="AC112" s="5">
        <v>0</v>
      </c>
      <c r="AD112" s="5">
        <v>182.9659</v>
      </c>
      <c r="AE112" s="5">
        <v>170</v>
      </c>
      <c r="AF112" s="5">
        <v>170</v>
      </c>
      <c r="AG112" s="5">
        <v>20</v>
      </c>
      <c r="AH112" s="5">
        <v>0.15</v>
      </c>
      <c r="AI112" s="5">
        <v>115.33</v>
      </c>
      <c r="AJ112" s="5">
        <v>127.27</v>
      </c>
      <c r="AK112" s="5">
        <v>201.92</v>
      </c>
      <c r="AL112" s="5">
        <v>203.19</v>
      </c>
      <c r="AM112" s="5">
        <v>573.94000000000005</v>
      </c>
      <c r="AN112" s="5">
        <v>259.89370000000002</v>
      </c>
      <c r="AO112" s="5">
        <v>161.96</v>
      </c>
      <c r="AP112" s="5">
        <v>158.84</v>
      </c>
      <c r="AQ112" s="5">
        <v>178.89</v>
      </c>
      <c r="AR112" s="5">
        <v>717.99</v>
      </c>
      <c r="AS112" s="5">
        <v>39.97</v>
      </c>
      <c r="AT112" s="5">
        <v>63.46</v>
      </c>
      <c r="AU112" s="5">
        <v>106.23</v>
      </c>
      <c r="AV112" s="5">
        <v>111.05</v>
      </c>
      <c r="AW112" s="5">
        <v>0.14199999999999999</v>
      </c>
      <c r="AX112" s="5">
        <v>1.94</v>
      </c>
      <c r="AY112" s="5">
        <v>10000000000</v>
      </c>
      <c r="AZ112" s="5">
        <v>412.49</v>
      </c>
      <c r="BA112" s="5">
        <v>15.01</v>
      </c>
      <c r="BB112" s="5">
        <v>9.5500000000000007</v>
      </c>
      <c r="BC112" s="5">
        <v>1.25</v>
      </c>
      <c r="BD112" s="5">
        <v>7.36</v>
      </c>
      <c r="BE112" s="5">
        <v>4.5</v>
      </c>
      <c r="BF112" s="5">
        <v>784.99</v>
      </c>
      <c r="BG112" s="5">
        <v>13.07</v>
      </c>
      <c r="BH112" s="5">
        <v>10000000000</v>
      </c>
      <c r="BI112" s="5">
        <v>207</v>
      </c>
      <c r="BJ112" s="5">
        <v>21.8</v>
      </c>
      <c r="BK112" s="5">
        <v>82.3</v>
      </c>
      <c r="BL112" s="5">
        <v>107.87</v>
      </c>
      <c r="BM112" s="5">
        <v>2.8</v>
      </c>
      <c r="BN112" s="5">
        <v>30.14</v>
      </c>
      <c r="BO112" s="5">
        <v>37.909999999999997</v>
      </c>
      <c r="BP112" s="5">
        <v>750.64</v>
      </c>
      <c r="BQ112" s="5">
        <v>64.056349999999995</v>
      </c>
      <c r="BR112" s="5">
        <v>299.17759999999998</v>
      </c>
      <c r="BS112" s="5">
        <v>38.428089999999997</v>
      </c>
      <c r="BT112" s="5">
        <v>36.601280000000003</v>
      </c>
      <c r="BU112" s="5">
        <v>36.098590000000002</v>
      </c>
      <c r="BV112" s="5">
        <v>0.10251200000000001</v>
      </c>
      <c r="BW112" s="5">
        <v>0.10025000000000001</v>
      </c>
      <c r="BX112" s="5">
        <v>122.38679999999999</v>
      </c>
      <c r="BY112" s="5">
        <v>18.995360000000002</v>
      </c>
      <c r="BZ112" s="5">
        <v>0</v>
      </c>
      <c r="CA112" s="5">
        <v>0.92042400000000002</v>
      </c>
      <c r="CB112" s="5">
        <v>880.85040000000004</v>
      </c>
      <c r="CC112" s="5">
        <v>912.68309999999997</v>
      </c>
      <c r="CD112" s="5">
        <v>127.2617</v>
      </c>
      <c r="CE112" s="5">
        <v>534.02</v>
      </c>
      <c r="CF112" s="5">
        <v>89.52</v>
      </c>
      <c r="CG112" s="5">
        <v>102.75</v>
      </c>
      <c r="CH112" s="5">
        <v>488.04</v>
      </c>
      <c r="CI112" s="5">
        <v>508.12</v>
      </c>
      <c r="CJ112" s="5">
        <v>521.41999999999996</v>
      </c>
      <c r="CK112" s="5">
        <v>540.17999999999995</v>
      </c>
      <c r="CL112" s="5">
        <v>540.67999999999995</v>
      </c>
      <c r="CM112" s="5">
        <v>542.30999999999995</v>
      </c>
      <c r="CN112" s="5">
        <v>417.7</v>
      </c>
      <c r="CO112" s="5">
        <v>29.2</v>
      </c>
      <c r="CP112" s="5">
        <v>889</v>
      </c>
      <c r="CQ112" s="5">
        <v>892.05</v>
      </c>
      <c r="CR112" s="5">
        <v>15.9</v>
      </c>
      <c r="CS112" s="5">
        <v>16</v>
      </c>
      <c r="CT112" s="5">
        <v>26.28</v>
      </c>
      <c r="CU112" s="5">
        <v>48.16</v>
      </c>
      <c r="CV112" s="5">
        <v>98.2</v>
      </c>
      <c r="CW112" s="5">
        <v>0.90174688414927084</v>
      </c>
      <c r="CX112" s="5">
        <v>4.0578609786717186</v>
      </c>
    </row>
    <row r="113" spans="1:102" x14ac:dyDescent="0.25">
      <c r="A113" s="5">
        <v>31</v>
      </c>
      <c r="B113" s="23">
        <v>41409.64354996528</v>
      </c>
      <c r="C113" s="5">
        <v>4</v>
      </c>
      <c r="D113" s="5">
        <v>39</v>
      </c>
      <c r="E113" s="5">
        <v>973</v>
      </c>
      <c r="F113" s="5">
        <v>973</v>
      </c>
      <c r="G113" s="5">
        <v>973</v>
      </c>
      <c r="H113" s="5">
        <v>82.6</v>
      </c>
      <c r="I113" s="5">
        <v>82.6</v>
      </c>
      <c r="J113" s="5">
        <v>1701</v>
      </c>
      <c r="K113" s="5">
        <v>24</v>
      </c>
      <c r="L113" s="5">
        <v>24</v>
      </c>
      <c r="M113" s="5">
        <v>0.17</v>
      </c>
      <c r="N113" s="5">
        <v>0.16996700000000001</v>
      </c>
      <c r="O113" s="5">
        <v>1</v>
      </c>
      <c r="P113" s="5">
        <v>1.0690630000000001</v>
      </c>
      <c r="Q113" s="5">
        <v>2.34</v>
      </c>
      <c r="R113" s="5">
        <v>2.3400880000000002</v>
      </c>
      <c r="S113" s="5">
        <v>170.36</v>
      </c>
      <c r="T113" s="5">
        <v>170.35939999999999</v>
      </c>
      <c r="U113" s="5">
        <v>4.99</v>
      </c>
      <c r="V113" s="5">
        <v>5</v>
      </c>
      <c r="W113" s="5">
        <v>300</v>
      </c>
      <c r="X113" s="5">
        <v>300</v>
      </c>
      <c r="Y113" s="5">
        <v>0</v>
      </c>
      <c r="Z113" s="5">
        <v>0</v>
      </c>
      <c r="AA113" s="5">
        <v>299.5</v>
      </c>
      <c r="AB113" s="5">
        <v>300</v>
      </c>
      <c r="AC113" s="5">
        <v>0</v>
      </c>
      <c r="AD113" s="5">
        <v>177.80459999999999</v>
      </c>
      <c r="AE113" s="5">
        <v>170</v>
      </c>
      <c r="AF113" s="5">
        <v>170</v>
      </c>
      <c r="AG113" s="5">
        <v>20</v>
      </c>
      <c r="AH113" s="5">
        <v>0.15</v>
      </c>
      <c r="AI113" s="5">
        <v>103.8</v>
      </c>
      <c r="AJ113" s="5">
        <v>126.25</v>
      </c>
      <c r="AK113" s="5">
        <v>172.27</v>
      </c>
      <c r="AL113" s="5">
        <v>175.84</v>
      </c>
      <c r="AM113" s="5">
        <v>659.93</v>
      </c>
      <c r="AN113" s="5">
        <v>250.19710000000001</v>
      </c>
      <c r="AO113" s="5">
        <v>151.44999999999999</v>
      </c>
      <c r="AP113" s="5">
        <v>153.84</v>
      </c>
      <c r="AQ113" s="5">
        <v>168.98</v>
      </c>
      <c r="AR113" s="5">
        <v>734.12</v>
      </c>
      <c r="AS113" s="5">
        <v>20.82</v>
      </c>
      <c r="AT113" s="5">
        <v>61.11</v>
      </c>
      <c r="AU113" s="5">
        <v>101.64</v>
      </c>
      <c r="AV113" s="5">
        <v>112.05</v>
      </c>
      <c r="AW113" s="5">
        <v>0.17799999999999999</v>
      </c>
      <c r="AX113" s="5">
        <v>2.46</v>
      </c>
      <c r="AY113" s="5">
        <v>10000000000</v>
      </c>
      <c r="AZ113" s="5">
        <v>487.65</v>
      </c>
      <c r="BA113" s="5">
        <v>12.03</v>
      </c>
      <c r="BB113" s="5">
        <v>10.65</v>
      </c>
      <c r="BC113" s="5">
        <v>0.9</v>
      </c>
      <c r="BD113" s="5">
        <v>6.04</v>
      </c>
      <c r="BE113" s="5">
        <v>4.41</v>
      </c>
      <c r="BF113" s="5">
        <v>832.74</v>
      </c>
      <c r="BG113" s="5">
        <v>8.48</v>
      </c>
      <c r="BH113" s="5">
        <v>10000000000</v>
      </c>
      <c r="BI113" s="5">
        <v>211.3</v>
      </c>
      <c r="BJ113" s="5">
        <v>20</v>
      </c>
      <c r="BK113" s="5">
        <v>83.6</v>
      </c>
      <c r="BL113" s="5">
        <v>68.010000000000005</v>
      </c>
      <c r="BM113" s="5">
        <v>2.68</v>
      </c>
      <c r="BN113" s="5">
        <v>29.79</v>
      </c>
      <c r="BO113" s="5">
        <v>38.67</v>
      </c>
      <c r="BP113" s="5">
        <v>770.83</v>
      </c>
      <c r="BQ113" s="5">
        <v>61.882080000000002</v>
      </c>
      <c r="BR113" s="5">
        <v>274.35539999999997</v>
      </c>
      <c r="BS113" s="5">
        <v>35.35772</v>
      </c>
      <c r="BT113" s="5">
        <v>31.72052</v>
      </c>
      <c r="BU113" s="5">
        <v>31.422920000000001</v>
      </c>
      <c r="BV113" s="5">
        <v>0.103301</v>
      </c>
      <c r="BW113" s="5">
        <v>9.5802999999999999E-2</v>
      </c>
      <c r="BX113" s="5">
        <v>138.203</v>
      </c>
      <c r="BY113" s="5">
        <v>18.995360000000002</v>
      </c>
      <c r="BZ113" s="5">
        <v>0</v>
      </c>
      <c r="CA113" s="5">
        <v>0.92097799999999996</v>
      </c>
      <c r="CB113" s="5">
        <v>854.01149999999996</v>
      </c>
      <c r="CC113" s="5">
        <v>889.84209999999996</v>
      </c>
      <c r="CD113" s="5">
        <v>143.20699999999999</v>
      </c>
      <c r="CE113" s="5">
        <v>545.84</v>
      </c>
      <c r="CF113" s="5">
        <v>88.55</v>
      </c>
      <c r="CG113" s="5">
        <v>100.77</v>
      </c>
      <c r="CH113" s="5">
        <v>545.74</v>
      </c>
      <c r="CI113" s="5">
        <v>570.62</v>
      </c>
      <c r="CJ113" s="5">
        <v>587.91</v>
      </c>
      <c r="CK113" s="5">
        <v>605.83000000000004</v>
      </c>
      <c r="CL113" s="5">
        <v>604.77</v>
      </c>
      <c r="CM113" s="5">
        <v>597</v>
      </c>
      <c r="CN113" s="5">
        <v>506.11</v>
      </c>
      <c r="CO113" s="5">
        <v>30.57</v>
      </c>
      <c r="CP113" s="5">
        <v>967</v>
      </c>
      <c r="CQ113" s="5">
        <v>973.04</v>
      </c>
      <c r="CR113" s="5">
        <v>17.3</v>
      </c>
      <c r="CS113" s="5">
        <v>17.399999999999999</v>
      </c>
      <c r="CT113" s="5">
        <v>25.56</v>
      </c>
      <c r="CU113" s="5">
        <v>47.84</v>
      </c>
      <c r="CV113" s="5">
        <v>98.56</v>
      </c>
      <c r="CW113" s="5">
        <v>0.89674026145791674</v>
      </c>
      <c r="CX113" s="5">
        <v>3.9546245530294128</v>
      </c>
    </row>
    <row r="114" spans="1:102" x14ac:dyDescent="0.25">
      <c r="A114" s="5">
        <v>26</v>
      </c>
      <c r="B114" s="23">
        <v>41408.614952326388</v>
      </c>
      <c r="C114" s="5">
        <v>4</v>
      </c>
      <c r="D114" s="5">
        <v>2</v>
      </c>
      <c r="E114" s="5">
        <v>805</v>
      </c>
      <c r="F114" s="5">
        <v>805</v>
      </c>
      <c r="G114" s="5">
        <v>805</v>
      </c>
      <c r="H114" s="5">
        <v>82.6</v>
      </c>
      <c r="I114" s="5">
        <v>82.6</v>
      </c>
      <c r="J114" s="5">
        <v>1701</v>
      </c>
      <c r="K114" s="5">
        <v>19</v>
      </c>
      <c r="L114" s="5">
        <v>19</v>
      </c>
      <c r="M114" s="5">
        <v>0.13</v>
      </c>
      <c r="N114" s="5">
        <v>0.12995100000000001</v>
      </c>
      <c r="O114" s="5">
        <v>1</v>
      </c>
      <c r="P114" s="5">
        <v>1.0694630000000001</v>
      </c>
      <c r="Q114" s="5">
        <v>1.1399999999999999</v>
      </c>
      <c r="R114" s="5">
        <v>1.1425780000000001</v>
      </c>
      <c r="S114" s="5">
        <v>176.7</v>
      </c>
      <c r="T114" s="5">
        <v>176.70310000000001</v>
      </c>
      <c r="U114" s="5">
        <v>3.51</v>
      </c>
      <c r="V114" s="5">
        <v>3.5</v>
      </c>
      <c r="W114" s="5">
        <v>300</v>
      </c>
      <c r="X114" s="5">
        <v>300</v>
      </c>
      <c r="Y114" s="5">
        <v>0</v>
      </c>
      <c r="Z114" s="5">
        <v>0</v>
      </c>
      <c r="AA114" s="5">
        <v>300</v>
      </c>
      <c r="AB114" s="5">
        <v>300</v>
      </c>
      <c r="AC114" s="5">
        <v>0</v>
      </c>
      <c r="AD114" s="5">
        <v>141.86109999999999</v>
      </c>
      <c r="AE114" s="5">
        <v>170</v>
      </c>
      <c r="AF114" s="5">
        <v>170</v>
      </c>
      <c r="AG114" s="5">
        <v>20</v>
      </c>
      <c r="AH114" s="5">
        <v>0.15</v>
      </c>
      <c r="AI114" s="5">
        <v>87.27</v>
      </c>
      <c r="AJ114" s="5">
        <v>111.77</v>
      </c>
      <c r="AK114" s="5">
        <v>129.05000000000001</v>
      </c>
      <c r="AL114" s="5">
        <v>132.52000000000001</v>
      </c>
      <c r="AM114" s="5">
        <v>625.23</v>
      </c>
      <c r="AN114" s="5">
        <v>210.46289999999999</v>
      </c>
      <c r="AO114" s="5">
        <v>111.74</v>
      </c>
      <c r="AP114" s="5">
        <v>125.28</v>
      </c>
      <c r="AQ114" s="5">
        <v>128.77000000000001</v>
      </c>
      <c r="AR114" s="5">
        <v>643.16999999999996</v>
      </c>
      <c r="AS114" s="5">
        <v>17.309999999999999</v>
      </c>
      <c r="AT114" s="5">
        <v>58.91</v>
      </c>
      <c r="AU114" s="5">
        <v>99.19</v>
      </c>
      <c r="AV114" s="5">
        <v>112.07</v>
      </c>
      <c r="AW114" s="5">
        <v>0.153</v>
      </c>
      <c r="AX114" s="5">
        <v>2.11</v>
      </c>
      <c r="AY114" s="5">
        <v>10000000000</v>
      </c>
      <c r="AZ114" s="5">
        <v>115.69</v>
      </c>
      <c r="BA114" s="5">
        <v>15.36</v>
      </c>
      <c r="BB114" s="5">
        <v>10.050000000000001</v>
      </c>
      <c r="BC114" s="5">
        <v>0.64</v>
      </c>
      <c r="BD114" s="5">
        <v>6.67</v>
      </c>
      <c r="BE114" s="5">
        <v>5.27</v>
      </c>
      <c r="BF114" s="5">
        <v>931.21</v>
      </c>
      <c r="BG114" s="5">
        <v>6.38</v>
      </c>
      <c r="BH114" s="5">
        <v>10000000000</v>
      </c>
      <c r="BI114" s="5">
        <v>212.8</v>
      </c>
      <c r="BJ114" s="5">
        <v>21.1</v>
      </c>
      <c r="BK114" s="5">
        <v>85</v>
      </c>
      <c r="BL114" s="5">
        <v>43.84</v>
      </c>
      <c r="BM114" s="5">
        <v>2.2599999999999998</v>
      </c>
      <c r="BN114" s="5">
        <v>29.56</v>
      </c>
      <c r="BO114" s="5">
        <v>38.21</v>
      </c>
      <c r="BP114" s="5">
        <v>673.92</v>
      </c>
      <c r="BQ114" s="5">
        <v>59.872599999999998</v>
      </c>
      <c r="BR114" s="5">
        <v>230.05789999999999</v>
      </c>
      <c r="BS114" s="5">
        <v>41.0854</v>
      </c>
      <c r="BT114" s="5">
        <v>32.544490000000003</v>
      </c>
      <c r="BU114" s="5">
        <v>32.448459999999997</v>
      </c>
      <c r="BV114" s="5">
        <v>0.105226</v>
      </c>
      <c r="BW114" s="5">
        <v>0.102505</v>
      </c>
      <c r="BX114" s="5">
        <v>113.6309</v>
      </c>
      <c r="BY114" s="5">
        <v>18.995360000000002</v>
      </c>
      <c r="BZ114" s="5">
        <v>0</v>
      </c>
      <c r="CA114" s="5">
        <v>0.92352999999999996</v>
      </c>
      <c r="CB114" s="5">
        <v>724.71169999999995</v>
      </c>
      <c r="CC114" s="5">
        <v>753.99659999999994</v>
      </c>
      <c r="CD114" s="5">
        <v>117.1281</v>
      </c>
      <c r="CE114" s="5">
        <v>477.16</v>
      </c>
      <c r="CF114" s="5">
        <v>84.07</v>
      </c>
      <c r="CG114" s="5">
        <v>98.43</v>
      </c>
      <c r="CH114" s="5">
        <v>518.5</v>
      </c>
      <c r="CI114" s="5">
        <v>542.55999999999995</v>
      </c>
      <c r="CJ114" s="5">
        <v>555.04999999999995</v>
      </c>
      <c r="CK114" s="5">
        <v>574.88</v>
      </c>
      <c r="CL114" s="5">
        <v>573.45000000000005</v>
      </c>
      <c r="CM114" s="5">
        <v>561.59</v>
      </c>
      <c r="CN114" s="5">
        <v>496.24</v>
      </c>
      <c r="CO114" s="5">
        <v>29.82</v>
      </c>
      <c r="CP114" s="5">
        <v>800.1</v>
      </c>
      <c r="CQ114" s="5">
        <v>805.04</v>
      </c>
      <c r="CR114" s="5">
        <v>14.3</v>
      </c>
      <c r="CS114" s="5">
        <v>14.4</v>
      </c>
      <c r="CT114" s="5">
        <v>26.58</v>
      </c>
      <c r="CU114" s="5">
        <v>48.08</v>
      </c>
      <c r="CV114" s="5">
        <v>99.16</v>
      </c>
      <c r="CW114" s="5">
        <v>0.89111815728027122</v>
      </c>
      <c r="CX114" s="5">
        <v>4.6961926888670291</v>
      </c>
    </row>
    <row r="115" spans="1:102" x14ac:dyDescent="0.25">
      <c r="A115" s="5">
        <v>34</v>
      </c>
      <c r="B115" s="23">
        <v>41408.681211319446</v>
      </c>
      <c r="C115" s="5">
        <v>4</v>
      </c>
      <c r="D115" s="5">
        <v>8</v>
      </c>
      <c r="E115" s="5">
        <v>833</v>
      </c>
      <c r="F115" s="5">
        <v>833</v>
      </c>
      <c r="G115" s="5">
        <v>833.1</v>
      </c>
      <c r="H115" s="5">
        <v>82.6</v>
      </c>
      <c r="I115" s="5">
        <v>82.6</v>
      </c>
      <c r="J115" s="5">
        <v>1701</v>
      </c>
      <c r="K115" s="5">
        <v>23</v>
      </c>
      <c r="L115" s="5">
        <v>23</v>
      </c>
      <c r="M115" s="5">
        <v>0.1</v>
      </c>
      <c r="N115" s="5">
        <v>0.10000299999999999</v>
      </c>
      <c r="O115" s="5">
        <v>1</v>
      </c>
      <c r="P115" s="5">
        <v>1.069545</v>
      </c>
      <c r="Q115" s="5">
        <v>2.33</v>
      </c>
      <c r="R115" s="5">
        <v>2.3291019999999998</v>
      </c>
      <c r="S115" s="5">
        <v>178.29</v>
      </c>
      <c r="T115" s="5">
        <v>178.29689999999999</v>
      </c>
      <c r="U115" s="5">
        <v>3.99</v>
      </c>
      <c r="V115" s="5">
        <v>4</v>
      </c>
      <c r="W115" s="5">
        <v>300</v>
      </c>
      <c r="X115" s="5">
        <v>300</v>
      </c>
      <c r="Y115" s="5">
        <v>0</v>
      </c>
      <c r="Z115" s="5">
        <v>0</v>
      </c>
      <c r="AA115" s="5">
        <v>300</v>
      </c>
      <c r="AB115" s="5">
        <v>300</v>
      </c>
      <c r="AC115" s="5">
        <v>0</v>
      </c>
      <c r="AD115" s="5">
        <v>152.1018</v>
      </c>
      <c r="AE115" s="5">
        <v>170</v>
      </c>
      <c r="AF115" s="5">
        <v>170</v>
      </c>
      <c r="AG115" s="5">
        <v>20</v>
      </c>
      <c r="AH115" s="5">
        <v>0.15</v>
      </c>
      <c r="AI115" s="5">
        <v>95.07</v>
      </c>
      <c r="AJ115" s="5">
        <v>115.54</v>
      </c>
      <c r="AK115" s="5">
        <v>143.6</v>
      </c>
      <c r="AL115" s="5">
        <v>146.94</v>
      </c>
      <c r="AM115" s="5">
        <v>612.1</v>
      </c>
      <c r="AN115" s="5">
        <v>220.22649999999999</v>
      </c>
      <c r="AO115" s="5">
        <v>121.08</v>
      </c>
      <c r="AP115" s="5">
        <v>131.28</v>
      </c>
      <c r="AQ115" s="5">
        <v>138.79</v>
      </c>
      <c r="AR115" s="5">
        <v>675.14</v>
      </c>
      <c r="AS115" s="5">
        <v>22.52</v>
      </c>
      <c r="AT115" s="5">
        <v>58.72</v>
      </c>
      <c r="AU115" s="5">
        <v>99.62</v>
      </c>
      <c r="AV115" s="5">
        <v>111.42</v>
      </c>
      <c r="AW115" s="5">
        <v>0.127</v>
      </c>
      <c r="AX115" s="5">
        <v>1.74</v>
      </c>
      <c r="AY115" s="5">
        <v>10000000000</v>
      </c>
      <c r="AZ115" s="5">
        <v>84.15</v>
      </c>
      <c r="BA115" s="5">
        <v>16.38</v>
      </c>
      <c r="BB115" s="5">
        <v>9.82</v>
      </c>
      <c r="BC115" s="5">
        <v>0.56999999999999995</v>
      </c>
      <c r="BD115" s="5">
        <v>7.03</v>
      </c>
      <c r="BE115" s="5">
        <v>6.14</v>
      </c>
      <c r="BF115" s="5">
        <v>1064.51</v>
      </c>
      <c r="BG115" s="5">
        <v>5.77</v>
      </c>
      <c r="BH115" s="5">
        <v>10000000000</v>
      </c>
      <c r="BI115" s="5">
        <v>210.5</v>
      </c>
      <c r="BJ115" s="5">
        <v>21.6</v>
      </c>
      <c r="BK115" s="5">
        <v>85.1</v>
      </c>
      <c r="BL115" s="5">
        <v>41.3</v>
      </c>
      <c r="BM115" s="5">
        <v>2.35</v>
      </c>
      <c r="BN115" s="5">
        <v>29.49</v>
      </c>
      <c r="BO115" s="5">
        <v>37.99</v>
      </c>
      <c r="BP115" s="5">
        <v>706.34</v>
      </c>
      <c r="BQ115" s="5">
        <v>59.737340000000003</v>
      </c>
      <c r="BR115" s="5">
        <v>247.33940000000001</v>
      </c>
      <c r="BS115" s="5">
        <v>40.298479999999998</v>
      </c>
      <c r="BT115" s="5">
        <v>33.02102</v>
      </c>
      <c r="BU115" s="5">
        <v>32.77346</v>
      </c>
      <c r="BV115" s="5">
        <v>0.105354</v>
      </c>
      <c r="BW115" s="5">
        <v>0.10595599999999999</v>
      </c>
      <c r="BX115" s="5">
        <v>116.19329999999999</v>
      </c>
      <c r="BY115" s="5">
        <v>18.995360000000002</v>
      </c>
      <c r="BZ115" s="5">
        <v>0</v>
      </c>
      <c r="CA115" s="5">
        <v>0.92274299999999998</v>
      </c>
      <c r="CB115" s="5">
        <v>758.00149999999996</v>
      </c>
      <c r="CC115" s="5">
        <v>788.05769999999995</v>
      </c>
      <c r="CD115" s="5">
        <v>120.19880000000001</v>
      </c>
      <c r="CE115" s="5">
        <v>459.82</v>
      </c>
      <c r="CF115" s="5">
        <v>83.06</v>
      </c>
      <c r="CG115" s="5">
        <v>97.66</v>
      </c>
      <c r="CH115" s="5">
        <v>511.3</v>
      </c>
      <c r="CI115" s="5">
        <v>535.99</v>
      </c>
      <c r="CJ115" s="5">
        <v>549.12</v>
      </c>
      <c r="CK115" s="5">
        <v>564.67999999999995</v>
      </c>
      <c r="CL115" s="5">
        <v>564.13</v>
      </c>
      <c r="CM115" s="5">
        <v>550.23</v>
      </c>
      <c r="CN115" s="5">
        <v>478.43</v>
      </c>
      <c r="CO115" s="5">
        <v>28.66</v>
      </c>
      <c r="CP115" s="5">
        <v>828.3</v>
      </c>
      <c r="CQ115" s="5">
        <v>833.06</v>
      </c>
      <c r="CR115" s="5">
        <v>14.8</v>
      </c>
      <c r="CS115" s="5">
        <v>14.9</v>
      </c>
      <c r="CT115" s="5">
        <v>25.54</v>
      </c>
      <c r="CU115" s="5">
        <v>58.76</v>
      </c>
      <c r="CV115" s="5">
        <v>99.03</v>
      </c>
      <c r="CW115" s="5">
        <v>0.91379965042057987</v>
      </c>
      <c r="CX115" s="5">
        <v>5.6107298535823604</v>
      </c>
    </row>
    <row r="116" spans="1:102" x14ac:dyDescent="0.25">
      <c r="A116" s="5">
        <v>11</v>
      </c>
      <c r="B116" s="23">
        <v>41409.517539745371</v>
      </c>
      <c r="C116" s="5">
        <v>4</v>
      </c>
      <c r="D116" s="5">
        <v>19</v>
      </c>
      <c r="E116" s="5">
        <v>883</v>
      </c>
      <c r="F116" s="5">
        <v>883</v>
      </c>
      <c r="G116" s="5">
        <v>883.1</v>
      </c>
      <c r="H116" s="5">
        <v>82.6</v>
      </c>
      <c r="I116" s="5">
        <v>82.6</v>
      </c>
      <c r="J116" s="5">
        <v>1701</v>
      </c>
      <c r="K116" s="5">
        <v>17</v>
      </c>
      <c r="L116" s="5">
        <v>17</v>
      </c>
      <c r="M116" s="5">
        <v>0.14000000000000001</v>
      </c>
      <c r="N116" s="5">
        <v>0.139989</v>
      </c>
      <c r="O116" s="5">
        <v>1</v>
      </c>
      <c r="P116" s="5">
        <v>1.0690440000000001</v>
      </c>
      <c r="Q116" s="5">
        <v>4.22</v>
      </c>
      <c r="R116" s="5">
        <v>4.21875</v>
      </c>
      <c r="S116" s="5">
        <v>180.83</v>
      </c>
      <c r="T116" s="5">
        <v>180.75030000000001</v>
      </c>
      <c r="U116" s="5">
        <v>4.7300000000000004</v>
      </c>
      <c r="V116" s="5">
        <v>4.71875</v>
      </c>
      <c r="W116" s="5">
        <v>300</v>
      </c>
      <c r="X116" s="5">
        <v>300</v>
      </c>
      <c r="Y116" s="5">
        <v>0</v>
      </c>
      <c r="Z116" s="5">
        <v>0</v>
      </c>
      <c r="AA116" s="5">
        <v>300</v>
      </c>
      <c r="AB116" s="5">
        <v>300</v>
      </c>
      <c r="AC116" s="5">
        <v>0</v>
      </c>
      <c r="AD116" s="5">
        <v>145.36240000000001</v>
      </c>
      <c r="AE116" s="5">
        <v>170</v>
      </c>
      <c r="AF116" s="5">
        <v>170</v>
      </c>
      <c r="AG116" s="5">
        <v>20</v>
      </c>
      <c r="AH116" s="5">
        <v>0.15</v>
      </c>
      <c r="AI116" s="5">
        <v>100.71</v>
      </c>
      <c r="AJ116" s="5">
        <v>113.36</v>
      </c>
      <c r="AK116" s="5">
        <v>131.09</v>
      </c>
      <c r="AL116" s="5">
        <v>134.66999999999999</v>
      </c>
      <c r="AM116" s="5">
        <v>645.23</v>
      </c>
      <c r="AN116" s="5">
        <v>214.5865</v>
      </c>
      <c r="AO116" s="5">
        <v>115.93</v>
      </c>
      <c r="AP116" s="5">
        <v>128.06</v>
      </c>
      <c r="AQ116" s="5">
        <v>131.53</v>
      </c>
      <c r="AR116" s="5">
        <v>651.30999999999995</v>
      </c>
      <c r="AS116" s="5">
        <v>15.16</v>
      </c>
      <c r="AT116" s="5">
        <v>59.1</v>
      </c>
      <c r="AU116" s="5">
        <v>99.38</v>
      </c>
      <c r="AV116" s="5">
        <v>114.76</v>
      </c>
      <c r="AW116" s="5">
        <v>0.28799999999999998</v>
      </c>
      <c r="AX116" s="5">
        <v>4.13</v>
      </c>
      <c r="AY116" s="5">
        <v>10000000000</v>
      </c>
      <c r="AZ116" s="5">
        <v>513.91999999999996</v>
      </c>
      <c r="BA116" s="5">
        <v>16.34</v>
      </c>
      <c r="BB116" s="5">
        <v>10.68</v>
      </c>
      <c r="BC116" s="5">
        <v>0.69</v>
      </c>
      <c r="BD116" s="5">
        <v>5.79</v>
      </c>
      <c r="BE116" s="5">
        <v>6.15</v>
      </c>
      <c r="BF116" s="5">
        <v>1192.68</v>
      </c>
      <c r="BG116" s="5">
        <v>6.47</v>
      </c>
      <c r="BH116" s="5">
        <v>10000000000</v>
      </c>
      <c r="BI116" s="5">
        <v>209.5</v>
      </c>
      <c r="BJ116" s="5">
        <v>19.8</v>
      </c>
      <c r="BK116" s="5">
        <v>84.8</v>
      </c>
      <c r="BL116" s="5">
        <v>45.03</v>
      </c>
      <c r="BM116" s="5">
        <v>2.29</v>
      </c>
      <c r="BN116" s="5">
        <v>29.61</v>
      </c>
      <c r="BO116" s="5">
        <v>38.799999999999997</v>
      </c>
      <c r="BP116" s="5">
        <v>684.06</v>
      </c>
      <c r="BQ116" s="5">
        <v>60.04177</v>
      </c>
      <c r="BR116" s="5">
        <v>233.86770000000001</v>
      </c>
      <c r="BS116" s="5">
        <v>38.445819999999998</v>
      </c>
      <c r="BT116" s="5">
        <v>31.875330000000002</v>
      </c>
      <c r="BU116" s="5">
        <v>32.223050000000001</v>
      </c>
      <c r="BV116" s="5">
        <v>0.102548</v>
      </c>
      <c r="BW116" s="5">
        <v>6.8968000000000002E-2</v>
      </c>
      <c r="BX116" s="5">
        <v>122.4648</v>
      </c>
      <c r="BY116" s="5">
        <v>18.995360000000002</v>
      </c>
      <c r="BZ116" s="5">
        <v>0</v>
      </c>
      <c r="CA116" s="5">
        <v>0.92044899999999996</v>
      </c>
      <c r="CB116" s="5">
        <v>736.07330000000002</v>
      </c>
      <c r="CC116" s="5">
        <v>767.88400000000001</v>
      </c>
      <c r="CD116" s="5">
        <v>127.1835</v>
      </c>
      <c r="CE116" s="5">
        <v>497.4</v>
      </c>
      <c r="CF116" s="5">
        <v>85.02</v>
      </c>
      <c r="CG116" s="5">
        <v>98.37</v>
      </c>
      <c r="CH116" s="5">
        <v>539.78</v>
      </c>
      <c r="CI116" s="5">
        <v>564.07000000000005</v>
      </c>
      <c r="CJ116" s="5">
        <v>576.13</v>
      </c>
      <c r="CK116" s="5">
        <v>597.70000000000005</v>
      </c>
      <c r="CL116" s="5">
        <v>594.37</v>
      </c>
      <c r="CM116" s="5">
        <v>581.59</v>
      </c>
      <c r="CN116" s="5">
        <v>514.79</v>
      </c>
      <c r="CO116" s="5">
        <v>28.43</v>
      </c>
      <c r="CP116" s="5">
        <v>877.4</v>
      </c>
      <c r="CQ116" s="5">
        <v>883.05</v>
      </c>
      <c r="CR116" s="5">
        <v>15.7</v>
      </c>
      <c r="CS116" s="5">
        <v>15.8</v>
      </c>
      <c r="CT116" s="5">
        <v>26.75</v>
      </c>
      <c r="CU116" s="5">
        <v>48.72</v>
      </c>
      <c r="CV116" s="5">
        <v>98.18</v>
      </c>
      <c r="CW116" s="5">
        <v>0.89791112286691244</v>
      </c>
      <c r="CX116" s="5">
        <v>5.5221534056315118</v>
      </c>
    </row>
    <row r="117" spans="1:102" x14ac:dyDescent="0.25">
      <c r="A117" s="5">
        <v>29</v>
      </c>
      <c r="B117" s="23">
        <v>41408.654098009261</v>
      </c>
      <c r="C117" s="5">
        <v>4</v>
      </c>
      <c r="D117" s="5">
        <v>3</v>
      </c>
      <c r="E117" s="5">
        <v>808</v>
      </c>
      <c r="F117" s="5">
        <v>808</v>
      </c>
      <c r="G117" s="5">
        <v>808.1</v>
      </c>
      <c r="H117" s="5">
        <v>82.6</v>
      </c>
      <c r="I117" s="5">
        <v>82.6</v>
      </c>
      <c r="J117" s="5">
        <v>1701</v>
      </c>
      <c r="K117" s="5">
        <v>19</v>
      </c>
      <c r="L117" s="5">
        <v>19</v>
      </c>
      <c r="M117" s="5">
        <v>0.3</v>
      </c>
      <c r="N117" s="5">
        <v>0.29994300000000002</v>
      </c>
      <c r="O117" s="5">
        <v>1</v>
      </c>
      <c r="P117" s="5">
        <v>1.0695239999999999</v>
      </c>
      <c r="Q117" s="5">
        <v>1.4</v>
      </c>
      <c r="R117" s="5">
        <v>1.3952640000000001</v>
      </c>
      <c r="S117" s="5">
        <v>177.05</v>
      </c>
      <c r="T117" s="5">
        <v>177.04689999999999</v>
      </c>
      <c r="U117" s="5">
        <v>3.62</v>
      </c>
      <c r="V117" s="5">
        <v>3.625</v>
      </c>
      <c r="W117" s="5">
        <v>300</v>
      </c>
      <c r="X117" s="5">
        <v>300</v>
      </c>
      <c r="Y117" s="5">
        <v>0</v>
      </c>
      <c r="Z117" s="5">
        <v>0</v>
      </c>
      <c r="AA117" s="5">
        <v>300</v>
      </c>
      <c r="AB117" s="5">
        <v>300</v>
      </c>
      <c r="AC117" s="5">
        <v>0</v>
      </c>
      <c r="AD117" s="5">
        <v>138.4973</v>
      </c>
      <c r="AE117" s="5">
        <v>170</v>
      </c>
      <c r="AF117" s="5">
        <v>170</v>
      </c>
      <c r="AG117" s="5">
        <v>20</v>
      </c>
      <c r="AH117" s="5">
        <v>0.15</v>
      </c>
      <c r="AI117" s="5">
        <v>86.4</v>
      </c>
      <c r="AJ117" s="5">
        <v>108.77</v>
      </c>
      <c r="AK117" s="5">
        <v>119.3</v>
      </c>
      <c r="AL117" s="5">
        <v>122</v>
      </c>
      <c r="AM117" s="5">
        <v>646.72</v>
      </c>
      <c r="AN117" s="5">
        <v>207.47800000000001</v>
      </c>
      <c r="AO117" s="5">
        <v>108.55</v>
      </c>
      <c r="AP117" s="5">
        <v>120.61</v>
      </c>
      <c r="AQ117" s="5">
        <v>124.48</v>
      </c>
      <c r="AR117" s="5">
        <v>602.79999999999995</v>
      </c>
      <c r="AS117" s="5">
        <v>10.76</v>
      </c>
      <c r="AT117" s="5">
        <v>61.47</v>
      </c>
      <c r="AU117" s="5">
        <v>99.51</v>
      </c>
      <c r="AV117" s="5">
        <v>111.99</v>
      </c>
      <c r="AW117" s="5">
        <v>0.41199999999999998</v>
      </c>
      <c r="AX117" s="5">
        <v>6.15</v>
      </c>
      <c r="AY117" s="5">
        <v>10000000000</v>
      </c>
      <c r="AZ117" s="5">
        <v>289.60000000000002</v>
      </c>
      <c r="BA117" s="5">
        <v>14.36</v>
      </c>
      <c r="BB117" s="5">
        <v>10.84</v>
      </c>
      <c r="BC117" s="5">
        <v>1.1399999999999999</v>
      </c>
      <c r="BD117" s="5">
        <v>5.58</v>
      </c>
      <c r="BE117" s="5">
        <v>3.45</v>
      </c>
      <c r="BF117" s="5">
        <v>662.31</v>
      </c>
      <c r="BG117" s="5">
        <v>10.54</v>
      </c>
      <c r="BH117" s="5">
        <v>10000000000</v>
      </c>
      <c r="BI117" s="5">
        <v>214.4</v>
      </c>
      <c r="BJ117" s="5">
        <v>19.5</v>
      </c>
      <c r="BK117" s="5">
        <v>84</v>
      </c>
      <c r="BL117" s="5">
        <v>71.010000000000005</v>
      </c>
      <c r="BM117" s="5">
        <v>2.2400000000000002</v>
      </c>
      <c r="BN117" s="5">
        <v>30.02</v>
      </c>
      <c r="BO117" s="5">
        <v>38.909999999999997</v>
      </c>
      <c r="BP117" s="5">
        <v>633.59</v>
      </c>
      <c r="BQ117" s="5">
        <v>62.171619999999997</v>
      </c>
      <c r="BR117" s="5">
        <v>219.26320000000001</v>
      </c>
      <c r="BS117" s="5">
        <v>40.754989999999999</v>
      </c>
      <c r="BT117" s="5">
        <v>32.219099999999997</v>
      </c>
      <c r="BU117" s="5">
        <v>32.436669999999999</v>
      </c>
      <c r="BV117" s="5">
        <v>0.10534499999999999</v>
      </c>
      <c r="BW117" s="5">
        <v>8.5898000000000002E-2</v>
      </c>
      <c r="BX117" s="5">
        <v>114.7978</v>
      </c>
      <c r="BY117" s="5">
        <v>18.995360000000002</v>
      </c>
      <c r="BZ117" s="5">
        <v>0</v>
      </c>
      <c r="CA117" s="5">
        <v>0.92320599999999997</v>
      </c>
      <c r="CB117" s="5">
        <v>709.24350000000004</v>
      </c>
      <c r="CC117" s="5">
        <v>738.8569</v>
      </c>
      <c r="CD117" s="5">
        <v>118.4271</v>
      </c>
      <c r="CE117" s="5">
        <v>556.04999999999995</v>
      </c>
      <c r="CF117" s="5">
        <v>86.13</v>
      </c>
      <c r="CG117" s="5">
        <v>97.37</v>
      </c>
      <c r="CH117" s="5">
        <v>533.29</v>
      </c>
      <c r="CI117" s="5">
        <v>556.66999999999996</v>
      </c>
      <c r="CJ117" s="5">
        <v>569.55999999999995</v>
      </c>
      <c r="CK117" s="5">
        <v>591.64</v>
      </c>
      <c r="CL117" s="5">
        <v>590.25</v>
      </c>
      <c r="CM117" s="5">
        <v>586.79</v>
      </c>
      <c r="CN117" s="5">
        <v>518.05999999999995</v>
      </c>
      <c r="CO117" s="5">
        <v>28.01</v>
      </c>
      <c r="CP117" s="5">
        <v>802.1</v>
      </c>
      <c r="CQ117" s="5">
        <v>808.06</v>
      </c>
      <c r="CR117" s="5">
        <v>14.4</v>
      </c>
      <c r="CS117" s="5">
        <v>14.5</v>
      </c>
      <c r="CT117" s="5">
        <v>25</v>
      </c>
      <c r="CU117" s="5">
        <v>54.22</v>
      </c>
      <c r="CV117" s="5">
        <v>99.07</v>
      </c>
      <c r="CW117" s="5">
        <v>0.8870234815161232</v>
      </c>
      <c r="CX117" s="5">
        <v>3.0602310112306252</v>
      </c>
    </row>
    <row r="118" spans="1:102" x14ac:dyDescent="0.25">
      <c r="A118" s="5">
        <v>33</v>
      </c>
      <c r="B118" s="23">
        <v>41408.675790023146</v>
      </c>
      <c r="C118" s="5">
        <v>4</v>
      </c>
      <c r="D118" s="5">
        <v>7</v>
      </c>
      <c r="E118" s="5">
        <v>830</v>
      </c>
      <c r="F118" s="5">
        <v>830</v>
      </c>
      <c r="G118" s="5">
        <v>830</v>
      </c>
      <c r="H118" s="5">
        <v>82.6</v>
      </c>
      <c r="I118" s="5">
        <v>82.6</v>
      </c>
      <c r="J118" s="5">
        <v>1701</v>
      </c>
      <c r="K118" s="5">
        <v>34</v>
      </c>
      <c r="L118" s="5">
        <v>34</v>
      </c>
      <c r="M118" s="5">
        <v>0.22</v>
      </c>
      <c r="N118" s="5">
        <v>0.219995</v>
      </c>
      <c r="O118" s="5">
        <v>1</v>
      </c>
      <c r="P118" s="5">
        <v>1.0694459999999999</v>
      </c>
      <c r="Q118" s="5">
        <v>2.2200000000000002</v>
      </c>
      <c r="R118" s="5">
        <v>2.2192379999999998</v>
      </c>
      <c r="S118" s="5">
        <v>178.14</v>
      </c>
      <c r="T118" s="5">
        <v>178.14060000000001</v>
      </c>
      <c r="U118" s="5">
        <v>3.94</v>
      </c>
      <c r="V118" s="5">
        <v>3.9375</v>
      </c>
      <c r="W118" s="5">
        <v>300</v>
      </c>
      <c r="X118" s="5">
        <v>300</v>
      </c>
      <c r="Y118" s="5">
        <v>0</v>
      </c>
      <c r="Z118" s="5">
        <v>0</v>
      </c>
      <c r="AA118" s="5">
        <v>300</v>
      </c>
      <c r="AB118" s="5">
        <v>300</v>
      </c>
      <c r="AC118" s="5">
        <v>0</v>
      </c>
      <c r="AD118" s="5">
        <v>167.5264</v>
      </c>
      <c r="AE118" s="5">
        <v>170</v>
      </c>
      <c r="AF118" s="5">
        <v>170</v>
      </c>
      <c r="AG118" s="5">
        <v>20</v>
      </c>
      <c r="AH118" s="5">
        <v>0.15</v>
      </c>
      <c r="AI118" s="5">
        <v>98.52</v>
      </c>
      <c r="AJ118" s="5">
        <v>118.87</v>
      </c>
      <c r="AK118" s="5">
        <v>162.61000000000001</v>
      </c>
      <c r="AL118" s="5">
        <v>164.42</v>
      </c>
      <c r="AM118" s="5">
        <v>588.79</v>
      </c>
      <c r="AN118" s="5">
        <v>237.31739999999999</v>
      </c>
      <c r="AO118" s="5">
        <v>138.72999999999999</v>
      </c>
      <c r="AP118" s="5">
        <v>140.41</v>
      </c>
      <c r="AQ118" s="5">
        <v>156.12</v>
      </c>
      <c r="AR118" s="5">
        <v>667.29</v>
      </c>
      <c r="AS118" s="5">
        <v>23.88</v>
      </c>
      <c r="AT118" s="5">
        <v>62.44</v>
      </c>
      <c r="AU118" s="5">
        <v>103</v>
      </c>
      <c r="AV118" s="5">
        <v>115.72</v>
      </c>
      <c r="AW118" s="5">
        <v>0.185</v>
      </c>
      <c r="AX118" s="5">
        <v>2.57</v>
      </c>
      <c r="AY118" s="5">
        <v>10000000000</v>
      </c>
      <c r="AZ118" s="5">
        <v>80.42</v>
      </c>
      <c r="BA118" s="5">
        <v>15.54</v>
      </c>
      <c r="BB118" s="5">
        <v>9.73</v>
      </c>
      <c r="BC118" s="5">
        <v>1.19</v>
      </c>
      <c r="BD118" s="5">
        <v>7.16</v>
      </c>
      <c r="BE118" s="5">
        <v>3.76</v>
      </c>
      <c r="BF118" s="5">
        <v>658.49</v>
      </c>
      <c r="BG118" s="5">
        <v>12.24</v>
      </c>
      <c r="BH118" s="5">
        <v>10000000000</v>
      </c>
      <c r="BI118" s="5">
        <v>209.5</v>
      </c>
      <c r="BJ118" s="5">
        <v>21.5</v>
      </c>
      <c r="BK118" s="5">
        <v>82.9</v>
      </c>
      <c r="BL118" s="5">
        <v>93.11</v>
      </c>
      <c r="BM118" s="5">
        <v>2.56</v>
      </c>
      <c r="BN118" s="5">
        <v>30.08</v>
      </c>
      <c r="BO118" s="5">
        <v>38.020000000000003</v>
      </c>
      <c r="BP118" s="5">
        <v>698.42</v>
      </c>
      <c r="BQ118" s="5">
        <v>63.130519999999997</v>
      </c>
      <c r="BR118" s="5">
        <v>261.18810000000002</v>
      </c>
      <c r="BS118" s="5">
        <v>40.548070000000003</v>
      </c>
      <c r="BT118" s="5">
        <v>35.586860000000001</v>
      </c>
      <c r="BU118" s="5">
        <v>35.249319999999997</v>
      </c>
      <c r="BV118" s="5">
        <v>0.105421</v>
      </c>
      <c r="BW118" s="5">
        <v>0.104521</v>
      </c>
      <c r="BX118" s="5">
        <v>115.29810000000001</v>
      </c>
      <c r="BY118" s="5">
        <v>18.995360000000002</v>
      </c>
      <c r="BZ118" s="5">
        <v>0</v>
      </c>
      <c r="CA118" s="5">
        <v>0.92300899999999997</v>
      </c>
      <c r="CB118" s="5">
        <v>808.82730000000004</v>
      </c>
      <c r="CC118" s="5">
        <v>838.64769999999999</v>
      </c>
      <c r="CD118" s="5">
        <v>119.2393</v>
      </c>
      <c r="CE118" s="5">
        <v>532.79999999999995</v>
      </c>
      <c r="CF118" s="5">
        <v>88.13</v>
      </c>
      <c r="CG118" s="5">
        <v>100.07</v>
      </c>
      <c r="CH118" s="5">
        <v>491.89</v>
      </c>
      <c r="CI118" s="5">
        <v>513.52</v>
      </c>
      <c r="CJ118" s="5">
        <v>525.83000000000004</v>
      </c>
      <c r="CK118" s="5">
        <v>543.63</v>
      </c>
      <c r="CL118" s="5">
        <v>544.79999999999995</v>
      </c>
      <c r="CM118" s="5">
        <v>547.24</v>
      </c>
      <c r="CN118" s="5">
        <v>446.41</v>
      </c>
      <c r="CO118" s="5">
        <v>27.79</v>
      </c>
      <c r="CP118" s="5">
        <v>825.8</v>
      </c>
      <c r="CQ118" s="5">
        <v>830.04</v>
      </c>
      <c r="CR118" s="5">
        <v>14.8</v>
      </c>
      <c r="CS118" s="5">
        <v>14.9</v>
      </c>
      <c r="CT118" s="5">
        <v>24.26</v>
      </c>
      <c r="CU118" s="5">
        <v>59.85</v>
      </c>
      <c r="CV118" s="5">
        <v>99.04</v>
      </c>
      <c r="CW118" s="5">
        <v>0.90413369593684234</v>
      </c>
      <c r="CX118" s="5">
        <v>3.3995426967225271</v>
      </c>
    </row>
    <row r="119" spans="1:102" x14ac:dyDescent="0.25">
      <c r="A119" s="5">
        <v>23</v>
      </c>
      <c r="B119" s="23">
        <v>41409.586264756945</v>
      </c>
      <c r="C119" s="5">
        <v>4</v>
      </c>
      <c r="D119" s="5">
        <v>30</v>
      </c>
      <c r="E119" s="5">
        <v>933</v>
      </c>
      <c r="F119" s="5">
        <v>933</v>
      </c>
      <c r="G119" s="5">
        <v>933.1</v>
      </c>
      <c r="H119" s="5">
        <v>82.6</v>
      </c>
      <c r="I119" s="5">
        <v>82.6</v>
      </c>
      <c r="J119" s="5">
        <v>1701</v>
      </c>
      <c r="K119" s="5">
        <v>15</v>
      </c>
      <c r="L119" s="5">
        <v>15</v>
      </c>
      <c r="M119" s="5">
        <v>0.22</v>
      </c>
      <c r="N119" s="5">
        <v>0.21998400000000001</v>
      </c>
      <c r="O119" s="5">
        <v>1</v>
      </c>
      <c r="P119" s="5">
        <v>1.0690770000000001</v>
      </c>
      <c r="Q119" s="5">
        <v>3.72</v>
      </c>
      <c r="R119" s="5">
        <v>3.7243650000000001</v>
      </c>
      <c r="S119" s="5">
        <v>176.57</v>
      </c>
      <c r="T119" s="5">
        <v>176.4948</v>
      </c>
      <c r="U119" s="5">
        <v>4.9800000000000004</v>
      </c>
      <c r="V119" s="5">
        <v>4.96875</v>
      </c>
      <c r="W119" s="5">
        <v>300</v>
      </c>
      <c r="X119" s="5">
        <v>300</v>
      </c>
      <c r="Y119" s="5">
        <v>0</v>
      </c>
      <c r="Z119" s="5">
        <v>0</v>
      </c>
      <c r="AA119" s="5">
        <v>299.39</v>
      </c>
      <c r="AB119" s="5">
        <v>299</v>
      </c>
      <c r="AC119" s="5">
        <v>0</v>
      </c>
      <c r="AD119" s="5">
        <v>152.8973</v>
      </c>
      <c r="AE119" s="5">
        <v>170</v>
      </c>
      <c r="AF119" s="5">
        <v>170</v>
      </c>
      <c r="AG119" s="5">
        <v>20</v>
      </c>
      <c r="AH119" s="5">
        <v>0.15</v>
      </c>
      <c r="AI119" s="5">
        <v>100.81</v>
      </c>
      <c r="AJ119" s="5">
        <v>115.5</v>
      </c>
      <c r="AK119" s="5">
        <v>134.58000000000001</v>
      </c>
      <c r="AL119" s="5">
        <v>138.16</v>
      </c>
      <c r="AM119" s="5">
        <v>680.07</v>
      </c>
      <c r="AN119" s="5">
        <v>221.89840000000001</v>
      </c>
      <c r="AO119" s="5">
        <v>123.2</v>
      </c>
      <c r="AP119" s="5">
        <v>132.44999999999999</v>
      </c>
      <c r="AQ119" s="5">
        <v>138.99</v>
      </c>
      <c r="AR119" s="5">
        <v>658.43</v>
      </c>
      <c r="AS119" s="5">
        <v>11.38</v>
      </c>
      <c r="AT119" s="5">
        <v>60.42</v>
      </c>
      <c r="AU119" s="5">
        <v>99.8</v>
      </c>
      <c r="AV119" s="5">
        <v>110.2</v>
      </c>
      <c r="AW119" s="5">
        <v>0.48699999999999999</v>
      </c>
      <c r="AX119" s="5">
        <v>7.43</v>
      </c>
      <c r="AY119" s="5">
        <v>10000000000</v>
      </c>
      <c r="AZ119" s="5">
        <v>708.91</v>
      </c>
      <c r="BA119" s="5">
        <v>11.84</v>
      </c>
      <c r="BB119" s="5">
        <v>11.34</v>
      </c>
      <c r="BC119" s="5">
        <v>0.94</v>
      </c>
      <c r="BD119" s="5">
        <v>4.93</v>
      </c>
      <c r="BE119" s="5">
        <v>4.57</v>
      </c>
      <c r="BF119" s="5">
        <v>934.39</v>
      </c>
      <c r="BG119" s="5">
        <v>8.27</v>
      </c>
      <c r="BH119" s="5">
        <v>10000000000</v>
      </c>
      <c r="BI119" s="5">
        <v>211.7</v>
      </c>
      <c r="BJ119" s="5">
        <v>18.7</v>
      </c>
      <c r="BK119" s="5">
        <v>84.2</v>
      </c>
      <c r="BL119" s="5">
        <v>59.41</v>
      </c>
      <c r="BM119" s="5">
        <v>2.38</v>
      </c>
      <c r="BN119" s="5">
        <v>29.83</v>
      </c>
      <c r="BO119" s="5">
        <v>39.31</v>
      </c>
      <c r="BP119" s="5">
        <v>693.91</v>
      </c>
      <c r="BQ119" s="5">
        <v>61.192450000000001</v>
      </c>
      <c r="BR119" s="5">
        <v>236.51820000000001</v>
      </c>
      <c r="BS119" s="5">
        <v>36.072679999999998</v>
      </c>
      <c r="BT119" s="5">
        <v>31.239820000000002</v>
      </c>
      <c r="BU119" s="5">
        <v>31.79862</v>
      </c>
      <c r="BV119" s="5">
        <v>0.104072</v>
      </c>
      <c r="BW119" s="5">
        <v>5.2811999999999998E-2</v>
      </c>
      <c r="BX119" s="5">
        <v>132.04560000000001</v>
      </c>
      <c r="BY119" s="5">
        <v>18.995360000000002</v>
      </c>
      <c r="BZ119" s="5">
        <v>0</v>
      </c>
      <c r="CA119" s="5">
        <v>0.91970200000000002</v>
      </c>
      <c r="CB119" s="5">
        <v>757.92039999999997</v>
      </c>
      <c r="CC119" s="5">
        <v>792.19439999999997</v>
      </c>
      <c r="CD119" s="5">
        <v>137.01390000000001</v>
      </c>
      <c r="CE119" s="5">
        <v>554.16999999999996</v>
      </c>
      <c r="CF119" s="5">
        <v>87.29</v>
      </c>
      <c r="CG119" s="5">
        <v>99.58</v>
      </c>
      <c r="CH119" s="5">
        <v>563.79</v>
      </c>
      <c r="CI119" s="5">
        <v>587.52</v>
      </c>
      <c r="CJ119" s="5">
        <v>602.78</v>
      </c>
      <c r="CK119" s="5">
        <v>623.54999999999995</v>
      </c>
      <c r="CL119" s="5">
        <v>619.65</v>
      </c>
      <c r="CM119" s="5">
        <v>612.25</v>
      </c>
      <c r="CN119" s="5">
        <v>544.30999999999995</v>
      </c>
      <c r="CO119" s="5">
        <v>29.53</v>
      </c>
      <c r="CP119" s="5">
        <v>925.3</v>
      </c>
      <c r="CQ119" s="5">
        <v>933.05</v>
      </c>
      <c r="CR119" s="5">
        <v>16.600000000000001</v>
      </c>
      <c r="CS119" s="5">
        <v>16.7</v>
      </c>
      <c r="CT119" s="5">
        <v>26.28</v>
      </c>
      <c r="CU119" s="5">
        <v>50.2</v>
      </c>
      <c r="CV119" s="5">
        <v>98.4</v>
      </c>
      <c r="CW119" s="5">
        <v>0.90033491494637896</v>
      </c>
      <c r="CX119" s="5">
        <v>4.1145305613049521</v>
      </c>
    </row>
    <row r="120" spans="1:102" x14ac:dyDescent="0.25">
      <c r="A120" s="5">
        <v>17</v>
      </c>
      <c r="B120" s="23">
        <v>41409.553699247685</v>
      </c>
      <c r="C120" s="5">
        <v>4</v>
      </c>
      <c r="D120" s="5">
        <v>24</v>
      </c>
      <c r="E120" s="5">
        <v>905</v>
      </c>
      <c r="F120" s="5">
        <v>905</v>
      </c>
      <c r="G120" s="5">
        <v>905.1</v>
      </c>
      <c r="H120" s="5">
        <v>82.6</v>
      </c>
      <c r="I120" s="5">
        <v>82.6</v>
      </c>
      <c r="J120" s="5">
        <v>1701</v>
      </c>
      <c r="K120" s="5">
        <v>45</v>
      </c>
      <c r="L120" s="5">
        <v>45</v>
      </c>
      <c r="M120" s="5">
        <v>0.3</v>
      </c>
      <c r="N120" s="5">
        <v>0.299981</v>
      </c>
      <c r="O120" s="5">
        <v>1</v>
      </c>
      <c r="P120" s="5">
        <v>1.0690280000000001</v>
      </c>
      <c r="Q120" s="5">
        <v>4.7</v>
      </c>
      <c r="R120" s="5">
        <v>4.7021480000000002</v>
      </c>
      <c r="S120" s="5">
        <v>180.93</v>
      </c>
      <c r="T120" s="5">
        <v>179.87880000000001</v>
      </c>
      <c r="U120" s="5">
        <v>4.9800000000000004</v>
      </c>
      <c r="V120" s="5">
        <v>4.96875</v>
      </c>
      <c r="W120" s="5">
        <v>300</v>
      </c>
      <c r="X120" s="5">
        <v>300</v>
      </c>
      <c r="Y120" s="5">
        <v>0</v>
      </c>
      <c r="Z120" s="5">
        <v>0</v>
      </c>
      <c r="AA120" s="5">
        <v>299.91000000000003</v>
      </c>
      <c r="AB120" s="5">
        <v>300</v>
      </c>
      <c r="AC120" s="5">
        <v>0</v>
      </c>
      <c r="AD120" s="5">
        <v>184.33459999999999</v>
      </c>
      <c r="AE120" s="5">
        <v>170</v>
      </c>
      <c r="AF120" s="5">
        <v>170</v>
      </c>
      <c r="AG120" s="5">
        <v>20</v>
      </c>
      <c r="AH120" s="5">
        <v>0.15</v>
      </c>
      <c r="AI120" s="5">
        <v>116.07</v>
      </c>
      <c r="AJ120" s="5">
        <v>126.24</v>
      </c>
      <c r="AK120" s="5">
        <v>202.75</v>
      </c>
      <c r="AL120" s="5">
        <v>202.44</v>
      </c>
      <c r="AM120" s="5">
        <v>584.20000000000005</v>
      </c>
      <c r="AN120" s="5">
        <v>266.1404</v>
      </c>
      <c r="AO120" s="5">
        <v>168.82</v>
      </c>
      <c r="AP120" s="5">
        <v>161.19</v>
      </c>
      <c r="AQ120" s="5">
        <v>184.7</v>
      </c>
      <c r="AR120" s="5">
        <v>675.93</v>
      </c>
      <c r="AS120" s="5">
        <v>33.94</v>
      </c>
      <c r="AT120" s="5">
        <v>69.81</v>
      </c>
      <c r="AU120" s="5">
        <v>118.4</v>
      </c>
      <c r="AV120" s="5">
        <v>114.25</v>
      </c>
      <c r="AW120" s="5">
        <v>0.502</v>
      </c>
      <c r="AX120" s="5">
        <v>7.69</v>
      </c>
      <c r="AY120" s="5">
        <v>10000000000</v>
      </c>
      <c r="AZ120" s="5">
        <v>473</v>
      </c>
      <c r="BA120" s="5">
        <v>13</v>
      </c>
      <c r="BB120" s="5">
        <v>10.35</v>
      </c>
      <c r="BC120" s="5">
        <v>1.97</v>
      </c>
      <c r="BD120" s="5">
        <v>6.28</v>
      </c>
      <c r="BE120" s="5">
        <v>2.38</v>
      </c>
      <c r="BF120" s="5">
        <v>453.51</v>
      </c>
      <c r="BG120" s="5">
        <v>19.05</v>
      </c>
      <c r="BH120" s="5">
        <v>10000000000</v>
      </c>
      <c r="BI120" s="5">
        <v>208</v>
      </c>
      <c r="BJ120" s="5">
        <v>20.2</v>
      </c>
      <c r="BK120" s="5">
        <v>80.8</v>
      </c>
      <c r="BL120" s="5">
        <v>159.05000000000001</v>
      </c>
      <c r="BM120" s="5">
        <v>2.89</v>
      </c>
      <c r="BN120" s="5">
        <v>30.81</v>
      </c>
      <c r="BO120" s="5">
        <v>38.61</v>
      </c>
      <c r="BP120" s="5">
        <v>709.26</v>
      </c>
      <c r="BQ120" s="5">
        <v>69.23021</v>
      </c>
      <c r="BR120" s="5">
        <v>295.2346</v>
      </c>
      <c r="BS120" s="5">
        <v>37.752540000000003</v>
      </c>
      <c r="BT120" s="5">
        <v>36.222119999999997</v>
      </c>
      <c r="BU120" s="5">
        <v>35.710470000000001</v>
      </c>
      <c r="BV120" s="5">
        <v>0.101577</v>
      </c>
      <c r="BW120" s="5">
        <v>9.8988000000000007E-2</v>
      </c>
      <c r="BX120" s="5">
        <v>124.8227</v>
      </c>
      <c r="BY120" s="5">
        <v>18.995360000000002</v>
      </c>
      <c r="BZ120" s="5">
        <v>0</v>
      </c>
      <c r="CA120" s="5">
        <v>0.91963799999999996</v>
      </c>
      <c r="CB120" s="5">
        <v>887.64940000000001</v>
      </c>
      <c r="CC120" s="5">
        <v>920.11580000000004</v>
      </c>
      <c r="CD120" s="5">
        <v>129.79159999999999</v>
      </c>
      <c r="CE120" s="5">
        <v>558.36</v>
      </c>
      <c r="CF120" s="5">
        <v>99.59</v>
      </c>
      <c r="CG120" s="5">
        <v>116.1</v>
      </c>
      <c r="CH120" s="5">
        <v>495.1</v>
      </c>
      <c r="CI120" s="5">
        <v>515.09</v>
      </c>
      <c r="CJ120" s="5">
        <v>528.32000000000005</v>
      </c>
      <c r="CK120" s="5">
        <v>548.48</v>
      </c>
      <c r="CL120" s="5">
        <v>549.66999999999996</v>
      </c>
      <c r="CM120" s="5">
        <v>549.54</v>
      </c>
      <c r="CN120" s="5">
        <v>425.34</v>
      </c>
      <c r="CO120" s="5">
        <v>30.11</v>
      </c>
      <c r="CP120" s="5">
        <v>901.7</v>
      </c>
      <c r="CQ120" s="5">
        <v>905.05</v>
      </c>
      <c r="CR120" s="5">
        <v>16.2</v>
      </c>
      <c r="CS120" s="5">
        <v>16.2</v>
      </c>
      <c r="CT120" s="5">
        <v>26.39</v>
      </c>
      <c r="CU120" s="5">
        <v>48.89</v>
      </c>
      <c r="CV120" s="5">
        <v>98.29</v>
      </c>
      <c r="CW120" s="5">
        <v>0.89977445161580494</v>
      </c>
      <c r="CX120" s="5">
        <v>2.1414631948456155</v>
      </c>
    </row>
    <row r="121" spans="1:102" x14ac:dyDescent="0.25">
      <c r="A121" s="5">
        <v>31</v>
      </c>
      <c r="B121" s="23">
        <v>41408.664945231481</v>
      </c>
      <c r="C121" s="5">
        <v>4</v>
      </c>
      <c r="D121" s="5">
        <v>5</v>
      </c>
      <c r="E121" s="5">
        <v>817</v>
      </c>
      <c r="F121" s="5">
        <v>817</v>
      </c>
      <c r="G121" s="5">
        <v>817</v>
      </c>
      <c r="H121" s="5">
        <v>82.6</v>
      </c>
      <c r="I121" s="5">
        <v>82.6</v>
      </c>
      <c r="J121" s="5">
        <v>1701</v>
      </c>
      <c r="K121" s="5">
        <v>29</v>
      </c>
      <c r="L121" s="5">
        <v>29</v>
      </c>
      <c r="M121" s="5">
        <v>0.27</v>
      </c>
      <c r="N121" s="5">
        <v>0.26997199999999999</v>
      </c>
      <c r="O121" s="5">
        <v>1</v>
      </c>
      <c r="P121" s="5">
        <v>1.0694889999999999</v>
      </c>
      <c r="Q121" s="5">
        <v>1.74</v>
      </c>
      <c r="R121" s="5">
        <v>1.73584</v>
      </c>
      <c r="S121" s="5">
        <v>177.49</v>
      </c>
      <c r="T121" s="5">
        <v>177.48439999999999</v>
      </c>
      <c r="U121" s="5">
        <v>3.75</v>
      </c>
      <c r="V121" s="5">
        <v>3.75</v>
      </c>
      <c r="W121" s="5">
        <v>300</v>
      </c>
      <c r="X121" s="5">
        <v>300</v>
      </c>
      <c r="Y121" s="5">
        <v>0</v>
      </c>
      <c r="Z121" s="5">
        <v>0</v>
      </c>
      <c r="AA121" s="5">
        <v>300</v>
      </c>
      <c r="AB121" s="5">
        <v>300</v>
      </c>
      <c r="AC121" s="5">
        <v>0</v>
      </c>
      <c r="AD121" s="5">
        <v>156.375</v>
      </c>
      <c r="AE121" s="5">
        <v>170</v>
      </c>
      <c r="AF121" s="5">
        <v>170</v>
      </c>
      <c r="AG121" s="5">
        <v>20</v>
      </c>
      <c r="AH121" s="5">
        <v>0.15</v>
      </c>
      <c r="AI121" s="5">
        <v>93.05</v>
      </c>
      <c r="AJ121" s="5">
        <v>114.85</v>
      </c>
      <c r="AK121" s="5">
        <v>144.97999999999999</v>
      </c>
      <c r="AL121" s="5">
        <v>147.01</v>
      </c>
      <c r="AM121" s="5">
        <v>606.04</v>
      </c>
      <c r="AN121" s="5">
        <v>226.09209999999999</v>
      </c>
      <c r="AO121" s="5">
        <v>127.42</v>
      </c>
      <c r="AP121" s="5">
        <v>133.69999999999999</v>
      </c>
      <c r="AQ121" s="5">
        <v>144.19</v>
      </c>
      <c r="AR121" s="5">
        <v>641.79999999999995</v>
      </c>
      <c r="AS121" s="5">
        <v>17.559999999999999</v>
      </c>
      <c r="AT121" s="5">
        <v>62.27</v>
      </c>
      <c r="AU121" s="5">
        <v>101.93</v>
      </c>
      <c r="AV121" s="5">
        <v>114.39</v>
      </c>
      <c r="AW121" s="5">
        <v>0.252</v>
      </c>
      <c r="AX121" s="5">
        <v>3.57</v>
      </c>
      <c r="AY121" s="5">
        <v>10000000000</v>
      </c>
      <c r="AZ121" s="5">
        <v>122.61</v>
      </c>
      <c r="BA121" s="5">
        <v>15.94</v>
      </c>
      <c r="BB121" s="5">
        <v>10.09</v>
      </c>
      <c r="BC121" s="5">
        <v>1.22</v>
      </c>
      <c r="BD121" s="5">
        <v>6.64</v>
      </c>
      <c r="BE121" s="5">
        <v>3.51</v>
      </c>
      <c r="BF121" s="5">
        <v>631.19000000000005</v>
      </c>
      <c r="BG121" s="5">
        <v>12.1</v>
      </c>
      <c r="BH121" s="5">
        <v>10000000000</v>
      </c>
      <c r="BI121" s="5">
        <v>210.8</v>
      </c>
      <c r="BJ121" s="5">
        <v>20.9</v>
      </c>
      <c r="BK121" s="5">
        <v>83.5</v>
      </c>
      <c r="BL121" s="5">
        <v>88.35</v>
      </c>
      <c r="BM121" s="5">
        <v>2.44</v>
      </c>
      <c r="BN121" s="5">
        <v>30.1</v>
      </c>
      <c r="BO121" s="5">
        <v>38.28</v>
      </c>
      <c r="BP121" s="5">
        <v>672.53</v>
      </c>
      <c r="BQ121" s="5">
        <v>62.907809999999998</v>
      </c>
      <c r="BR121" s="5">
        <v>243.7867</v>
      </c>
      <c r="BS121" s="5">
        <v>40.887590000000003</v>
      </c>
      <c r="BT121" s="5">
        <v>34.2684</v>
      </c>
      <c r="BU121" s="5">
        <v>34.001010000000001</v>
      </c>
      <c r="BV121" s="5">
        <v>0.105297</v>
      </c>
      <c r="BW121" s="5">
        <v>0.105646</v>
      </c>
      <c r="BX121" s="5">
        <v>114.1553</v>
      </c>
      <c r="BY121" s="5">
        <v>18.995360000000002</v>
      </c>
      <c r="BZ121" s="5">
        <v>0</v>
      </c>
      <c r="CA121" s="5">
        <v>0.92333500000000002</v>
      </c>
      <c r="CB121" s="5">
        <v>771.33690000000001</v>
      </c>
      <c r="CC121" s="5">
        <v>800.82090000000005</v>
      </c>
      <c r="CD121" s="5">
        <v>117.9097</v>
      </c>
      <c r="CE121" s="5">
        <v>542.23</v>
      </c>
      <c r="CF121" s="5">
        <v>87.53</v>
      </c>
      <c r="CG121" s="5">
        <v>99.13</v>
      </c>
      <c r="CH121" s="5">
        <v>501.47</v>
      </c>
      <c r="CI121" s="5">
        <v>524.61</v>
      </c>
      <c r="CJ121" s="5">
        <v>538.36</v>
      </c>
      <c r="CK121" s="5">
        <v>558.77</v>
      </c>
      <c r="CL121" s="5">
        <v>557.54</v>
      </c>
      <c r="CM121" s="5">
        <v>559.80999999999995</v>
      </c>
      <c r="CN121" s="5">
        <v>468.83</v>
      </c>
      <c r="CO121" s="5">
        <v>28.66</v>
      </c>
      <c r="CP121" s="5">
        <v>813.2</v>
      </c>
      <c r="CQ121" s="5">
        <v>817.05</v>
      </c>
      <c r="CR121" s="5">
        <v>14.6</v>
      </c>
      <c r="CS121" s="5">
        <v>14.6</v>
      </c>
      <c r="CT121" s="5">
        <v>25.25</v>
      </c>
      <c r="CU121" s="5">
        <v>55.98</v>
      </c>
      <c r="CV121" s="5">
        <v>99.06</v>
      </c>
      <c r="CW121" s="5">
        <v>0.90032220677161079</v>
      </c>
      <c r="CX121" s="5">
        <v>3.1601309457683535</v>
      </c>
    </row>
    <row r="122" spans="1:102" x14ac:dyDescent="0.25">
      <c r="A122" s="5">
        <v>1</v>
      </c>
      <c r="B122" s="23">
        <v>41409.453663599539</v>
      </c>
      <c r="C122" s="5">
        <v>4</v>
      </c>
      <c r="D122" s="5">
        <v>9</v>
      </c>
      <c r="E122" s="5">
        <v>836</v>
      </c>
      <c r="F122" s="5">
        <v>836</v>
      </c>
      <c r="G122" s="5">
        <v>836.1</v>
      </c>
      <c r="H122" s="5">
        <v>82.6</v>
      </c>
      <c r="I122" s="5">
        <v>82.6</v>
      </c>
      <c r="J122" s="5">
        <v>1701</v>
      </c>
      <c r="K122" s="5">
        <v>22</v>
      </c>
      <c r="L122" s="5">
        <v>22</v>
      </c>
      <c r="M122" s="5">
        <v>0.3</v>
      </c>
      <c r="N122" s="5">
        <v>0.300041</v>
      </c>
      <c r="O122" s="5">
        <v>1</v>
      </c>
      <c r="P122" s="5">
        <v>1.068967</v>
      </c>
      <c r="Q122" s="5">
        <v>2.4500000000000002</v>
      </c>
      <c r="R122" s="5">
        <v>2.449951</v>
      </c>
      <c r="S122" s="5">
        <v>178.44</v>
      </c>
      <c r="T122" s="5">
        <v>178.4375</v>
      </c>
      <c r="U122" s="5">
        <v>4.03</v>
      </c>
      <c r="V122" s="5">
        <v>4.03125</v>
      </c>
      <c r="W122" s="5">
        <v>300</v>
      </c>
      <c r="X122" s="5">
        <v>300</v>
      </c>
      <c r="Y122" s="5">
        <v>0</v>
      </c>
      <c r="Z122" s="5">
        <v>0</v>
      </c>
      <c r="AA122" s="5">
        <v>300</v>
      </c>
      <c r="AB122" s="5">
        <v>300</v>
      </c>
      <c r="AC122" s="5">
        <v>0</v>
      </c>
      <c r="AD122" s="5">
        <v>142.38999999999999</v>
      </c>
      <c r="AE122" s="5">
        <v>170</v>
      </c>
      <c r="AF122" s="5">
        <v>170</v>
      </c>
      <c r="AG122" s="5">
        <v>20</v>
      </c>
      <c r="AH122" s="5">
        <v>0.15</v>
      </c>
      <c r="AI122" s="5">
        <v>91.18</v>
      </c>
      <c r="AJ122" s="5">
        <v>112.88</v>
      </c>
      <c r="AK122" s="5">
        <v>126.21</v>
      </c>
      <c r="AL122" s="5">
        <v>127.49</v>
      </c>
      <c r="AM122" s="5">
        <v>645.19000000000005</v>
      </c>
      <c r="AN122" s="5">
        <v>212.95140000000001</v>
      </c>
      <c r="AO122" s="5">
        <v>114.61</v>
      </c>
      <c r="AP122" s="5">
        <v>135.34</v>
      </c>
      <c r="AQ122" s="5">
        <v>128.81</v>
      </c>
      <c r="AR122" s="5">
        <v>628.03</v>
      </c>
      <c r="AS122" s="5">
        <v>11.6</v>
      </c>
      <c r="AT122" s="5">
        <v>62.12</v>
      </c>
      <c r="AU122" s="5">
        <v>100.51</v>
      </c>
      <c r="AV122" s="5">
        <v>116.82</v>
      </c>
      <c r="AW122" s="5">
        <v>0.44600000000000001</v>
      </c>
      <c r="AX122" s="5">
        <v>6.72</v>
      </c>
      <c r="AY122" s="5">
        <v>10000000000</v>
      </c>
      <c r="AZ122" s="5">
        <v>632.58000000000004</v>
      </c>
      <c r="BA122" s="5">
        <v>28.9</v>
      </c>
      <c r="BB122" s="5">
        <v>10.92</v>
      </c>
      <c r="BC122" s="5">
        <v>1.23</v>
      </c>
      <c r="BD122" s="5">
        <v>5.42</v>
      </c>
      <c r="BE122" s="5">
        <v>3.6</v>
      </c>
      <c r="BF122" s="5">
        <v>685.73</v>
      </c>
      <c r="BG122" s="5">
        <v>11.25</v>
      </c>
      <c r="BH122" s="5">
        <v>10000000000</v>
      </c>
      <c r="BI122" s="5">
        <v>211.9</v>
      </c>
      <c r="BJ122" s="5">
        <v>19.899999999999999</v>
      </c>
      <c r="BK122" s="5">
        <v>86.1</v>
      </c>
      <c r="BL122" s="5">
        <v>79.55</v>
      </c>
      <c r="BM122" s="5">
        <v>2.2999999999999998</v>
      </c>
      <c r="BN122" s="5">
        <v>30.07</v>
      </c>
      <c r="BO122" s="5">
        <v>38.74</v>
      </c>
      <c r="BP122" s="5">
        <v>659.06</v>
      </c>
      <c r="BQ122" s="5">
        <v>62.747810000000001</v>
      </c>
      <c r="BR122" s="5">
        <v>225.41739999999999</v>
      </c>
      <c r="BS122" s="5">
        <v>40.014429999999997</v>
      </c>
      <c r="BT122" s="5">
        <v>32.23518</v>
      </c>
      <c r="BU122" s="5">
        <v>32.389299999999999</v>
      </c>
      <c r="BV122" s="5">
        <v>0.10497099999999999</v>
      </c>
      <c r="BW122" s="5">
        <v>8.5500000000000007E-2</v>
      </c>
      <c r="BX122" s="5">
        <v>117.24120000000001</v>
      </c>
      <c r="BY122" s="5">
        <v>18.995360000000002</v>
      </c>
      <c r="BZ122" s="5">
        <v>0</v>
      </c>
      <c r="CA122" s="5">
        <v>0.92240299999999997</v>
      </c>
      <c r="CB122" s="5">
        <v>726.12729999999999</v>
      </c>
      <c r="CC122" s="5">
        <v>756.45429999999999</v>
      </c>
      <c r="CD122" s="5">
        <v>121.2723</v>
      </c>
      <c r="CE122" s="5">
        <v>562.9</v>
      </c>
      <c r="CF122" s="5">
        <v>83.65</v>
      </c>
      <c r="CG122" s="5">
        <v>96.71</v>
      </c>
      <c r="CH122" s="5">
        <v>529.86</v>
      </c>
      <c r="CI122" s="5">
        <v>556.9</v>
      </c>
      <c r="CJ122" s="5">
        <v>571.46</v>
      </c>
      <c r="CK122" s="5">
        <v>596.08000000000004</v>
      </c>
      <c r="CL122" s="5">
        <v>592.16</v>
      </c>
      <c r="CM122" s="5">
        <v>590.99</v>
      </c>
      <c r="CN122" s="5">
        <v>507.37</v>
      </c>
      <c r="CO122" s="5">
        <v>29.91</v>
      </c>
      <c r="CP122" s="5">
        <v>837.6</v>
      </c>
      <c r="CQ122" s="5">
        <v>836.05</v>
      </c>
      <c r="CR122" s="5">
        <v>15</v>
      </c>
      <c r="CS122" s="5">
        <v>15</v>
      </c>
      <c r="CT122" s="5">
        <v>20.399999999999999</v>
      </c>
      <c r="CU122" s="5">
        <v>29.8</v>
      </c>
      <c r="CV122" s="5">
        <v>98.21</v>
      </c>
      <c r="CW122" s="5">
        <v>0.81174479854851633</v>
      </c>
      <c r="CX122" s="5">
        <v>2.9222812747746589</v>
      </c>
    </row>
    <row r="123" spans="1:102" x14ac:dyDescent="0.25">
      <c r="A123" s="5">
        <v>28</v>
      </c>
      <c r="B123" s="23">
        <v>41408.648678090278</v>
      </c>
      <c r="C123" s="5">
        <v>4</v>
      </c>
      <c r="D123" s="5">
        <v>2</v>
      </c>
      <c r="E123" s="5">
        <v>805</v>
      </c>
      <c r="F123" s="5">
        <v>805</v>
      </c>
      <c r="G123" s="5">
        <v>805</v>
      </c>
      <c r="H123" s="5">
        <v>82.6</v>
      </c>
      <c r="I123" s="5">
        <v>82.6</v>
      </c>
      <c r="J123" s="5">
        <v>1701</v>
      </c>
      <c r="K123" s="5">
        <v>21</v>
      </c>
      <c r="L123" s="5">
        <v>21</v>
      </c>
      <c r="M123" s="5">
        <v>0.18</v>
      </c>
      <c r="N123" s="5">
        <v>0.179951</v>
      </c>
      <c r="O123" s="5">
        <v>1</v>
      </c>
      <c r="P123" s="5">
        <v>1.069482</v>
      </c>
      <c r="Q123" s="5">
        <v>1.29</v>
      </c>
      <c r="R123" s="5">
        <v>1.2854000000000001</v>
      </c>
      <c r="S123" s="5">
        <v>176.9</v>
      </c>
      <c r="T123" s="5">
        <v>176.90629999999999</v>
      </c>
      <c r="U123" s="5">
        <v>3.57</v>
      </c>
      <c r="V123" s="5">
        <v>3.5625</v>
      </c>
      <c r="W123" s="5">
        <v>300</v>
      </c>
      <c r="X123" s="5">
        <v>300</v>
      </c>
      <c r="Y123" s="5">
        <v>0</v>
      </c>
      <c r="Z123" s="5">
        <v>0</v>
      </c>
      <c r="AA123" s="5">
        <v>300</v>
      </c>
      <c r="AB123" s="5">
        <v>300</v>
      </c>
      <c r="AC123" s="5">
        <v>0</v>
      </c>
      <c r="AD123" s="5">
        <v>142.7672</v>
      </c>
      <c r="AE123" s="5">
        <v>170</v>
      </c>
      <c r="AF123" s="5">
        <v>170</v>
      </c>
      <c r="AG123" s="5">
        <v>20</v>
      </c>
      <c r="AH123" s="5">
        <v>0.15</v>
      </c>
      <c r="AI123" s="5">
        <v>88.04</v>
      </c>
      <c r="AJ123" s="5">
        <v>111.52</v>
      </c>
      <c r="AK123" s="5">
        <v>129.09</v>
      </c>
      <c r="AL123" s="5">
        <v>132.21</v>
      </c>
      <c r="AM123" s="5">
        <v>626.01</v>
      </c>
      <c r="AN123" s="5">
        <v>212.22239999999999</v>
      </c>
      <c r="AO123" s="5">
        <v>113.17</v>
      </c>
      <c r="AP123" s="5">
        <v>125.31</v>
      </c>
      <c r="AQ123" s="5">
        <v>129.88999999999999</v>
      </c>
      <c r="AR123" s="5">
        <v>631.92999999999995</v>
      </c>
      <c r="AS123" s="5">
        <v>15.92</v>
      </c>
      <c r="AT123" s="5">
        <v>59.94</v>
      </c>
      <c r="AU123" s="5">
        <v>99.07</v>
      </c>
      <c r="AV123" s="5">
        <v>117.81</v>
      </c>
      <c r="AW123" s="5">
        <v>0.20399999999999999</v>
      </c>
      <c r="AX123" s="5">
        <v>2.86</v>
      </c>
      <c r="AY123" s="5">
        <v>10000000000</v>
      </c>
      <c r="AZ123" s="5">
        <v>146.01</v>
      </c>
      <c r="BA123" s="5">
        <v>16.309999999999999</v>
      </c>
      <c r="BB123" s="5">
        <v>10.25</v>
      </c>
      <c r="BC123" s="5">
        <v>0.85</v>
      </c>
      <c r="BD123" s="5">
        <v>6.5</v>
      </c>
      <c r="BE123" s="5">
        <v>4.5199999999999996</v>
      </c>
      <c r="BF123" s="5">
        <v>816.66</v>
      </c>
      <c r="BG123" s="5">
        <v>8.3000000000000007</v>
      </c>
      <c r="BH123" s="5">
        <v>10000000000</v>
      </c>
      <c r="BI123" s="5">
        <v>212.9</v>
      </c>
      <c r="BJ123" s="5">
        <v>20.7</v>
      </c>
      <c r="BK123" s="5">
        <v>84.5</v>
      </c>
      <c r="BL123" s="5">
        <v>57.22</v>
      </c>
      <c r="BM123" s="5">
        <v>2.2799999999999998</v>
      </c>
      <c r="BN123" s="5">
        <v>29.75</v>
      </c>
      <c r="BO123" s="5">
        <v>38.369999999999997</v>
      </c>
      <c r="BP123" s="5">
        <v>662.62</v>
      </c>
      <c r="BQ123" s="5">
        <v>60.803069999999998</v>
      </c>
      <c r="BR123" s="5">
        <v>230.82980000000001</v>
      </c>
      <c r="BS123" s="5">
        <v>41.065939999999998</v>
      </c>
      <c r="BT123" s="5">
        <v>32.606160000000003</v>
      </c>
      <c r="BU123" s="5">
        <v>32.460160000000002</v>
      </c>
      <c r="BV123" s="5">
        <v>0.10523399999999999</v>
      </c>
      <c r="BW123" s="5">
        <v>0.10469199999999999</v>
      </c>
      <c r="BX123" s="5">
        <v>113.6429</v>
      </c>
      <c r="BY123" s="5">
        <v>18.995360000000002</v>
      </c>
      <c r="BZ123" s="5">
        <v>0</v>
      </c>
      <c r="CA123" s="5">
        <v>0.92350900000000002</v>
      </c>
      <c r="CB123" s="5">
        <v>728.7296</v>
      </c>
      <c r="CC123" s="5">
        <v>758.04229999999995</v>
      </c>
      <c r="CD123" s="5">
        <v>117.2084</v>
      </c>
      <c r="CE123" s="5">
        <v>513.28</v>
      </c>
      <c r="CF123" s="5">
        <v>85.06</v>
      </c>
      <c r="CG123" s="5">
        <v>96.62</v>
      </c>
      <c r="CH123" s="5">
        <v>518.66999999999996</v>
      </c>
      <c r="CI123" s="5">
        <v>541.26</v>
      </c>
      <c r="CJ123" s="5">
        <v>554.52</v>
      </c>
      <c r="CK123" s="5">
        <v>575.38</v>
      </c>
      <c r="CL123" s="5">
        <v>574.36</v>
      </c>
      <c r="CM123" s="5">
        <v>568.09</v>
      </c>
      <c r="CN123" s="5">
        <v>496.49</v>
      </c>
      <c r="CO123" s="5">
        <v>28.94</v>
      </c>
      <c r="CP123" s="5">
        <v>800.2</v>
      </c>
      <c r="CQ123" s="5">
        <v>805.05</v>
      </c>
      <c r="CR123" s="5">
        <v>14.3</v>
      </c>
      <c r="CS123" s="5">
        <v>14.4</v>
      </c>
      <c r="CT123" s="5">
        <v>25.61</v>
      </c>
      <c r="CU123" s="5">
        <v>51.21</v>
      </c>
      <c r="CV123" s="5">
        <v>99.09</v>
      </c>
      <c r="CW123" s="5">
        <v>0.89014111654638184</v>
      </c>
      <c r="CX123" s="5">
        <v>4.0234378467896459</v>
      </c>
    </row>
    <row r="124" spans="1:102" x14ac:dyDescent="0.25">
      <c r="A124" s="5">
        <v>21</v>
      </c>
      <c r="B124" s="23">
        <v>41409.575418194443</v>
      </c>
      <c r="C124" s="5">
        <v>4</v>
      </c>
      <c r="D124" s="5">
        <v>28</v>
      </c>
      <c r="E124" s="5">
        <v>923</v>
      </c>
      <c r="F124" s="5">
        <v>923</v>
      </c>
      <c r="G124" s="5">
        <v>923.1</v>
      </c>
      <c r="H124" s="5">
        <v>82.6</v>
      </c>
      <c r="I124" s="5">
        <v>82.6</v>
      </c>
      <c r="J124" s="5">
        <v>1701</v>
      </c>
      <c r="K124" s="5">
        <v>34</v>
      </c>
      <c r="L124" s="5">
        <v>34</v>
      </c>
      <c r="M124" s="5">
        <v>0.11</v>
      </c>
      <c r="N124" s="5">
        <v>0.109974</v>
      </c>
      <c r="O124" s="5">
        <v>1</v>
      </c>
      <c r="P124" s="5">
        <v>1.0690459999999999</v>
      </c>
      <c r="Q124" s="5">
        <v>4.07</v>
      </c>
      <c r="R124" s="5">
        <v>4.0649410000000001</v>
      </c>
      <c r="S124" s="5">
        <v>178.13</v>
      </c>
      <c r="T124" s="5">
        <v>178.12469999999999</v>
      </c>
      <c r="U124" s="5">
        <v>4.9800000000000004</v>
      </c>
      <c r="V124" s="5">
        <v>4.96875</v>
      </c>
      <c r="W124" s="5">
        <v>300</v>
      </c>
      <c r="X124" s="5">
        <v>300</v>
      </c>
      <c r="Y124" s="5">
        <v>0</v>
      </c>
      <c r="Z124" s="5">
        <v>0</v>
      </c>
      <c r="AA124" s="5">
        <v>299.57</v>
      </c>
      <c r="AB124" s="5">
        <v>300</v>
      </c>
      <c r="AC124" s="5">
        <v>0</v>
      </c>
      <c r="AD124" s="5">
        <v>181.27520000000001</v>
      </c>
      <c r="AE124" s="5">
        <v>170</v>
      </c>
      <c r="AF124" s="5">
        <v>170</v>
      </c>
      <c r="AG124" s="5">
        <v>20</v>
      </c>
      <c r="AH124" s="5">
        <v>0.15</v>
      </c>
      <c r="AI124" s="5">
        <v>112.52</v>
      </c>
      <c r="AJ124" s="5">
        <v>127.46</v>
      </c>
      <c r="AK124" s="5">
        <v>192.74</v>
      </c>
      <c r="AL124" s="5">
        <v>195.38</v>
      </c>
      <c r="AM124" s="5">
        <v>596.95000000000005</v>
      </c>
      <c r="AN124" s="5">
        <v>255.0462</v>
      </c>
      <c r="AO124" s="5">
        <v>156.62</v>
      </c>
      <c r="AP124" s="5">
        <v>156.47999999999999</v>
      </c>
      <c r="AQ124" s="5">
        <v>174.33</v>
      </c>
      <c r="AR124" s="5">
        <v>745.32</v>
      </c>
      <c r="AS124" s="5">
        <v>36.119999999999997</v>
      </c>
      <c r="AT124" s="5">
        <v>60.37</v>
      </c>
      <c r="AU124" s="5">
        <v>101.78</v>
      </c>
      <c r="AV124" s="5">
        <v>114.71</v>
      </c>
      <c r="AW124" s="5">
        <v>8.5999999999999993E-2</v>
      </c>
      <c r="AX124" s="5">
        <v>1.1599999999999999</v>
      </c>
      <c r="AY124" s="5">
        <v>10000000000</v>
      </c>
      <c r="AZ124" s="5">
        <v>405.4</v>
      </c>
      <c r="BA124" s="5">
        <v>14.24</v>
      </c>
      <c r="BB124" s="5">
        <v>9.64</v>
      </c>
      <c r="BC124" s="5">
        <v>0.82</v>
      </c>
      <c r="BD124" s="5">
        <v>7.36</v>
      </c>
      <c r="BE124" s="5">
        <v>5.96</v>
      </c>
      <c r="BF124" s="5">
        <v>1035.98</v>
      </c>
      <c r="BG124" s="5">
        <v>8.48</v>
      </c>
      <c r="BH124" s="5">
        <v>10000000000</v>
      </c>
      <c r="BI124" s="5">
        <v>207.3</v>
      </c>
      <c r="BJ124" s="5">
        <v>21.9</v>
      </c>
      <c r="BK124" s="5">
        <v>83.2</v>
      </c>
      <c r="BL124" s="5">
        <v>69.08</v>
      </c>
      <c r="BM124" s="5">
        <v>2.73</v>
      </c>
      <c r="BN124" s="5">
        <v>29.73</v>
      </c>
      <c r="BO124" s="5">
        <v>37.89</v>
      </c>
      <c r="BP124" s="5">
        <v>779.21</v>
      </c>
      <c r="BQ124" s="5">
        <v>61.23068</v>
      </c>
      <c r="BR124" s="5">
        <v>294.20010000000002</v>
      </c>
      <c r="BS124" s="5">
        <v>37.101849999999999</v>
      </c>
      <c r="BT124" s="5">
        <v>34.802500000000002</v>
      </c>
      <c r="BU124" s="5">
        <v>34.33484</v>
      </c>
      <c r="BV124" s="5">
        <v>0.102355</v>
      </c>
      <c r="BW124" s="5">
        <v>0.100285</v>
      </c>
      <c r="BX124" s="5">
        <v>127.3518</v>
      </c>
      <c r="BY124" s="5">
        <v>18.995360000000002</v>
      </c>
      <c r="BZ124" s="5">
        <v>0</v>
      </c>
      <c r="CA124" s="5">
        <v>0.91957999999999995</v>
      </c>
      <c r="CB124" s="5">
        <v>870.92520000000002</v>
      </c>
      <c r="CC124" s="5">
        <v>904.02539999999999</v>
      </c>
      <c r="CD124" s="5">
        <v>132.31950000000001</v>
      </c>
      <c r="CE124" s="5">
        <v>508.34</v>
      </c>
      <c r="CF124" s="5">
        <v>85.6</v>
      </c>
      <c r="CG124" s="5">
        <v>98.95</v>
      </c>
      <c r="CH124" s="5">
        <v>504.55</v>
      </c>
      <c r="CI124" s="5">
        <v>525.12</v>
      </c>
      <c r="CJ124" s="5">
        <v>539.79</v>
      </c>
      <c r="CK124" s="5">
        <v>559.59</v>
      </c>
      <c r="CL124" s="5">
        <v>558.09</v>
      </c>
      <c r="CM124" s="5">
        <v>553.41</v>
      </c>
      <c r="CN124" s="5">
        <v>443.38</v>
      </c>
      <c r="CO124" s="5">
        <v>29.37</v>
      </c>
      <c r="CP124" s="5">
        <v>919.3</v>
      </c>
      <c r="CQ124" s="5">
        <v>923.05</v>
      </c>
      <c r="CR124" s="5">
        <v>16.5</v>
      </c>
      <c r="CS124" s="5">
        <v>16.5</v>
      </c>
      <c r="CT124" s="5">
        <v>25.48</v>
      </c>
      <c r="CU124" s="5">
        <v>52.41</v>
      </c>
      <c r="CV124" s="5">
        <v>98.35</v>
      </c>
      <c r="CW124" s="5">
        <v>0.91042003559595241</v>
      </c>
      <c r="CX124" s="5">
        <v>5.4261034121518765</v>
      </c>
    </row>
    <row r="125" spans="1:102" x14ac:dyDescent="0.25">
      <c r="A125" s="5">
        <v>2</v>
      </c>
      <c r="B125" s="23">
        <v>41409.459086238428</v>
      </c>
      <c r="C125" s="5">
        <v>4</v>
      </c>
      <c r="D125" s="5">
        <v>10</v>
      </c>
      <c r="E125" s="5">
        <v>842</v>
      </c>
      <c r="F125" s="5">
        <v>842</v>
      </c>
      <c r="G125" s="5">
        <v>842</v>
      </c>
      <c r="H125" s="5">
        <v>82.6</v>
      </c>
      <c r="I125" s="5">
        <v>82.6</v>
      </c>
      <c r="J125" s="5">
        <v>1701</v>
      </c>
      <c r="K125" s="5">
        <v>15</v>
      </c>
      <c r="L125" s="5">
        <v>15</v>
      </c>
      <c r="M125" s="5">
        <v>0.11</v>
      </c>
      <c r="N125" s="5">
        <v>0.10999200000000001</v>
      </c>
      <c r="O125" s="5">
        <v>1</v>
      </c>
      <c r="P125" s="5">
        <v>1.0689329999999999</v>
      </c>
      <c r="Q125" s="5">
        <v>2.67</v>
      </c>
      <c r="R125" s="5">
        <v>2.6696780000000002</v>
      </c>
      <c r="S125" s="5">
        <v>178.73</v>
      </c>
      <c r="T125" s="5">
        <v>178.73439999999999</v>
      </c>
      <c r="U125" s="5">
        <v>4.12</v>
      </c>
      <c r="V125" s="5">
        <v>4.125</v>
      </c>
      <c r="W125" s="5">
        <v>300</v>
      </c>
      <c r="X125" s="5">
        <v>300</v>
      </c>
      <c r="Y125" s="5">
        <v>0</v>
      </c>
      <c r="Z125" s="5">
        <v>0</v>
      </c>
      <c r="AA125" s="5">
        <v>300</v>
      </c>
      <c r="AB125" s="5">
        <v>300</v>
      </c>
      <c r="AC125" s="5">
        <v>0</v>
      </c>
      <c r="AD125" s="5">
        <v>136.2773</v>
      </c>
      <c r="AE125" s="5">
        <v>170</v>
      </c>
      <c r="AF125" s="5">
        <v>170</v>
      </c>
      <c r="AG125" s="5">
        <v>20</v>
      </c>
      <c r="AH125" s="5">
        <v>0.15</v>
      </c>
      <c r="AI125" s="5">
        <v>90.83</v>
      </c>
      <c r="AJ125" s="5">
        <v>111.91</v>
      </c>
      <c r="AK125" s="5">
        <v>122.11</v>
      </c>
      <c r="AL125" s="5">
        <v>124.87</v>
      </c>
      <c r="AM125" s="5">
        <v>659.63</v>
      </c>
      <c r="AN125" s="5">
        <v>203.4905</v>
      </c>
      <c r="AO125" s="5">
        <v>105.37</v>
      </c>
      <c r="AP125" s="5">
        <v>134.49</v>
      </c>
      <c r="AQ125" s="5">
        <v>120.19</v>
      </c>
      <c r="AR125" s="5">
        <v>641.85</v>
      </c>
      <c r="AS125" s="5">
        <v>16.739999999999998</v>
      </c>
      <c r="AT125" s="5">
        <v>59.34</v>
      </c>
      <c r="AU125" s="5">
        <v>100</v>
      </c>
      <c r="AV125" s="5">
        <v>113.16</v>
      </c>
      <c r="AW125" s="5">
        <v>0.26</v>
      </c>
      <c r="AX125" s="5">
        <v>3.7</v>
      </c>
      <c r="AY125" s="5">
        <v>10000000000</v>
      </c>
      <c r="AZ125" s="5">
        <v>583.45000000000005</v>
      </c>
      <c r="BA125" s="5">
        <v>19.8</v>
      </c>
      <c r="BB125" s="5">
        <v>10.85</v>
      </c>
      <c r="BC125" s="5">
        <v>0.61</v>
      </c>
      <c r="BD125" s="5">
        <v>5.6</v>
      </c>
      <c r="BE125" s="5">
        <v>5.83</v>
      </c>
      <c r="BF125" s="5">
        <v>1090.0999999999999</v>
      </c>
      <c r="BG125" s="5">
        <v>5.62</v>
      </c>
      <c r="BH125" s="5">
        <v>10000000000</v>
      </c>
      <c r="BI125" s="5">
        <v>213.3</v>
      </c>
      <c r="BJ125" s="5">
        <v>20.100000000000001</v>
      </c>
      <c r="BK125" s="5">
        <v>87.4</v>
      </c>
      <c r="BL125" s="5">
        <v>38.22</v>
      </c>
      <c r="BM125" s="5">
        <v>2.17</v>
      </c>
      <c r="BN125" s="5">
        <v>29.51</v>
      </c>
      <c r="BO125" s="5">
        <v>38.65</v>
      </c>
      <c r="BP125" s="5">
        <v>673.93</v>
      </c>
      <c r="BQ125" s="5">
        <v>60.36</v>
      </c>
      <c r="BR125" s="5">
        <v>225.2056</v>
      </c>
      <c r="BS125" s="5">
        <v>39.629820000000002</v>
      </c>
      <c r="BT125" s="5">
        <v>31.729800000000001</v>
      </c>
      <c r="BU125" s="5">
        <v>32.348880000000001</v>
      </c>
      <c r="BV125" s="5">
        <v>0.104376</v>
      </c>
      <c r="BW125" s="5">
        <v>6.0316000000000002E-2</v>
      </c>
      <c r="BX125" s="5">
        <v>118.5996</v>
      </c>
      <c r="BY125" s="5">
        <v>18.995360000000002</v>
      </c>
      <c r="BZ125" s="5">
        <v>0</v>
      </c>
      <c r="CA125" s="5">
        <v>0.92191900000000004</v>
      </c>
      <c r="CB125" s="5">
        <v>698.46119999999996</v>
      </c>
      <c r="CC125" s="5">
        <v>729.15459999999996</v>
      </c>
      <c r="CD125" s="5">
        <v>122.7244</v>
      </c>
      <c r="CE125" s="5">
        <v>481.66</v>
      </c>
      <c r="CF125" s="5">
        <v>84.13</v>
      </c>
      <c r="CG125" s="5">
        <v>99.98</v>
      </c>
      <c r="CH125" s="5">
        <v>549.28</v>
      </c>
      <c r="CI125" s="5">
        <v>575.11</v>
      </c>
      <c r="CJ125" s="5">
        <v>586.80999999999995</v>
      </c>
      <c r="CK125" s="5">
        <v>611.64</v>
      </c>
      <c r="CL125" s="5">
        <v>605.36</v>
      </c>
      <c r="CM125" s="5">
        <v>587.41</v>
      </c>
      <c r="CN125" s="5">
        <v>531.09</v>
      </c>
      <c r="CO125" s="5">
        <v>32.090000000000003</v>
      </c>
      <c r="CP125" s="5">
        <v>845.6</v>
      </c>
      <c r="CQ125" s="5">
        <v>842.05</v>
      </c>
      <c r="CR125" s="5">
        <v>15.1</v>
      </c>
      <c r="CS125" s="5">
        <v>15.1</v>
      </c>
      <c r="CT125" s="5">
        <v>23.09</v>
      </c>
      <c r="CU125" s="5">
        <v>24.88</v>
      </c>
      <c r="CV125" s="5">
        <v>98.19</v>
      </c>
      <c r="CW125" s="5">
        <v>0.8123755024784296</v>
      </c>
      <c r="CX125" s="5">
        <v>4.736149179449245</v>
      </c>
    </row>
    <row r="126" spans="1:102" x14ac:dyDescent="0.25">
      <c r="A126" s="5">
        <v>18</v>
      </c>
      <c r="B126" s="23">
        <v>41409.559132314818</v>
      </c>
      <c r="C126" s="5">
        <v>4</v>
      </c>
      <c r="D126" s="5">
        <v>25</v>
      </c>
      <c r="E126" s="5">
        <v>908</v>
      </c>
      <c r="F126" s="5">
        <v>908</v>
      </c>
      <c r="G126" s="5">
        <v>908.1</v>
      </c>
      <c r="H126" s="5">
        <v>82.6</v>
      </c>
      <c r="I126" s="5">
        <v>82.6</v>
      </c>
      <c r="J126" s="5">
        <v>1701</v>
      </c>
      <c r="K126" s="5">
        <v>35</v>
      </c>
      <c r="L126" s="5">
        <v>35</v>
      </c>
      <c r="M126" s="5">
        <v>0.18</v>
      </c>
      <c r="N126" s="5">
        <v>0.180034</v>
      </c>
      <c r="O126" s="5">
        <v>1</v>
      </c>
      <c r="P126" s="5">
        <v>1.0690459999999999</v>
      </c>
      <c r="Q126" s="5">
        <v>4.59</v>
      </c>
      <c r="R126" s="5">
        <v>4.5922850000000004</v>
      </c>
      <c r="S126" s="5">
        <v>180.46</v>
      </c>
      <c r="T126" s="5">
        <v>179.90729999999999</v>
      </c>
      <c r="U126" s="5">
        <v>4.9800000000000004</v>
      </c>
      <c r="V126" s="5">
        <v>4.96875</v>
      </c>
      <c r="W126" s="5">
        <v>300</v>
      </c>
      <c r="X126" s="5">
        <v>300</v>
      </c>
      <c r="Y126" s="5">
        <v>0</v>
      </c>
      <c r="Z126" s="5">
        <v>0</v>
      </c>
      <c r="AA126" s="5">
        <v>299.85000000000002</v>
      </c>
      <c r="AB126" s="5">
        <v>300</v>
      </c>
      <c r="AC126" s="5">
        <v>0</v>
      </c>
      <c r="AD126" s="5">
        <v>177.69720000000001</v>
      </c>
      <c r="AE126" s="5">
        <v>170</v>
      </c>
      <c r="AF126" s="5">
        <v>170</v>
      </c>
      <c r="AG126" s="5">
        <v>20</v>
      </c>
      <c r="AH126" s="5">
        <v>0.15</v>
      </c>
      <c r="AI126" s="5">
        <v>113.17</v>
      </c>
      <c r="AJ126" s="5">
        <v>124.79</v>
      </c>
      <c r="AK126" s="5">
        <v>181.66</v>
      </c>
      <c r="AL126" s="5">
        <v>183.54</v>
      </c>
      <c r="AM126" s="5">
        <v>595.02</v>
      </c>
      <c r="AN126" s="5">
        <v>250.83019999999999</v>
      </c>
      <c r="AO126" s="5">
        <v>152.54</v>
      </c>
      <c r="AP126" s="5">
        <v>153.43</v>
      </c>
      <c r="AQ126" s="5">
        <v>169.31</v>
      </c>
      <c r="AR126" s="5">
        <v>708.49</v>
      </c>
      <c r="AS126" s="5">
        <v>29.12</v>
      </c>
      <c r="AT126" s="5">
        <v>62.26</v>
      </c>
      <c r="AU126" s="5">
        <v>103.83</v>
      </c>
      <c r="AV126" s="5">
        <v>112.25</v>
      </c>
      <c r="AW126" s="5">
        <v>0.17499999999999999</v>
      </c>
      <c r="AX126" s="5">
        <v>2.4300000000000002</v>
      </c>
      <c r="AY126" s="5">
        <v>10000000000</v>
      </c>
      <c r="AZ126" s="5">
        <v>429.96</v>
      </c>
      <c r="BA126" s="5">
        <v>14.46</v>
      </c>
      <c r="BB126" s="5">
        <v>9.94</v>
      </c>
      <c r="BC126" s="5">
        <v>1.1399999999999999</v>
      </c>
      <c r="BD126" s="5">
        <v>6.91</v>
      </c>
      <c r="BE126" s="5">
        <v>4.76</v>
      </c>
      <c r="BF126" s="5">
        <v>859.97</v>
      </c>
      <c r="BG126" s="5">
        <v>11.5</v>
      </c>
      <c r="BH126" s="5">
        <v>10000000000</v>
      </c>
      <c r="BI126" s="5">
        <v>206.8</v>
      </c>
      <c r="BJ126" s="5">
        <v>21.2</v>
      </c>
      <c r="BK126" s="5">
        <v>82.9</v>
      </c>
      <c r="BL126" s="5">
        <v>92.15</v>
      </c>
      <c r="BM126" s="5">
        <v>2.7</v>
      </c>
      <c r="BN126" s="5">
        <v>30.03</v>
      </c>
      <c r="BO126" s="5">
        <v>38.159999999999997</v>
      </c>
      <c r="BP126" s="5">
        <v>742.36</v>
      </c>
      <c r="BQ126" s="5">
        <v>62.959269999999997</v>
      </c>
      <c r="BR126" s="5">
        <v>280.3972</v>
      </c>
      <c r="BS126" s="5">
        <v>37.772089999999999</v>
      </c>
      <c r="BT126" s="5">
        <v>34.745249999999999</v>
      </c>
      <c r="BU126" s="5">
        <v>34.303780000000003</v>
      </c>
      <c r="BV126" s="5">
        <v>0.101594</v>
      </c>
      <c r="BW126" s="5">
        <v>0.100235</v>
      </c>
      <c r="BX126" s="5">
        <v>124.7456</v>
      </c>
      <c r="BY126" s="5">
        <v>18.995360000000002</v>
      </c>
      <c r="BZ126" s="5">
        <v>0</v>
      </c>
      <c r="CA126" s="5">
        <v>0.91965600000000003</v>
      </c>
      <c r="CB126" s="5">
        <v>852.19619999999998</v>
      </c>
      <c r="CC126" s="5">
        <v>884.64329999999995</v>
      </c>
      <c r="CD126" s="5">
        <v>129.71459999999999</v>
      </c>
      <c r="CE126" s="5">
        <v>537.97</v>
      </c>
      <c r="CF126" s="5">
        <v>88.9</v>
      </c>
      <c r="CG126" s="5">
        <v>101.25</v>
      </c>
      <c r="CH126" s="5">
        <v>502.06</v>
      </c>
      <c r="CI126" s="5">
        <v>522.32000000000005</v>
      </c>
      <c r="CJ126" s="5">
        <v>534.82000000000005</v>
      </c>
      <c r="CK126" s="5">
        <v>555.70000000000005</v>
      </c>
      <c r="CL126" s="5">
        <v>554.87</v>
      </c>
      <c r="CM126" s="5">
        <v>555.84</v>
      </c>
      <c r="CN126" s="5">
        <v>444.08</v>
      </c>
      <c r="CO126" s="5">
        <v>29.96</v>
      </c>
      <c r="CP126" s="5">
        <v>905</v>
      </c>
      <c r="CQ126" s="5">
        <v>908.06</v>
      </c>
      <c r="CR126" s="5">
        <v>16.2</v>
      </c>
      <c r="CS126" s="5">
        <v>16.3</v>
      </c>
      <c r="CT126" s="5">
        <v>26.88</v>
      </c>
      <c r="CU126" s="5">
        <v>47.52</v>
      </c>
      <c r="CV126" s="5">
        <v>98.3</v>
      </c>
      <c r="CW126" s="5">
        <v>0.90423264913238377</v>
      </c>
      <c r="CX126" s="5">
        <v>4.3041474098701462</v>
      </c>
    </row>
    <row r="127" spans="1:102" x14ac:dyDescent="0.25">
      <c r="A127" s="5">
        <v>25</v>
      </c>
      <c r="B127" s="23">
        <v>41409.597112708332</v>
      </c>
      <c r="C127" s="5">
        <v>4</v>
      </c>
      <c r="D127" s="5">
        <v>32</v>
      </c>
      <c r="E127" s="5">
        <v>942</v>
      </c>
      <c r="F127" s="5">
        <v>942</v>
      </c>
      <c r="G127" s="5">
        <v>942</v>
      </c>
      <c r="H127" s="5">
        <v>82.6</v>
      </c>
      <c r="I127" s="5">
        <v>82.6</v>
      </c>
      <c r="J127" s="5">
        <v>1701</v>
      </c>
      <c r="K127" s="5">
        <v>43</v>
      </c>
      <c r="L127" s="5">
        <v>43</v>
      </c>
      <c r="M127" s="5">
        <v>0.24</v>
      </c>
      <c r="N127" s="5">
        <v>0.24007200000000001</v>
      </c>
      <c r="O127" s="5">
        <v>1</v>
      </c>
      <c r="P127" s="5">
        <v>1.0690329999999999</v>
      </c>
      <c r="Q127" s="5">
        <v>3.41</v>
      </c>
      <c r="R127" s="5">
        <v>3.4057620000000002</v>
      </c>
      <c r="S127" s="5">
        <v>175.17</v>
      </c>
      <c r="T127" s="5">
        <v>175.17189999999999</v>
      </c>
      <c r="U127" s="5">
        <v>4.9800000000000004</v>
      </c>
      <c r="V127" s="5">
        <v>4.96875</v>
      </c>
      <c r="W127" s="5">
        <v>300</v>
      </c>
      <c r="X127" s="5">
        <v>300</v>
      </c>
      <c r="Y127" s="5">
        <v>0</v>
      </c>
      <c r="Z127" s="5">
        <v>0</v>
      </c>
      <c r="AA127" s="5">
        <v>299.22000000000003</v>
      </c>
      <c r="AB127" s="5">
        <v>299</v>
      </c>
      <c r="AC127" s="5">
        <v>0</v>
      </c>
      <c r="AD127" s="5">
        <v>189.8733</v>
      </c>
      <c r="AE127" s="5">
        <v>170</v>
      </c>
      <c r="AF127" s="5">
        <v>170</v>
      </c>
      <c r="AG127" s="5">
        <v>20</v>
      </c>
      <c r="AH127" s="5">
        <v>0.15</v>
      </c>
      <c r="AI127" s="5">
        <v>114.73</v>
      </c>
      <c r="AJ127" s="5">
        <v>130.34</v>
      </c>
      <c r="AK127" s="5">
        <v>215.11</v>
      </c>
      <c r="AL127" s="5">
        <v>215.19</v>
      </c>
      <c r="AM127" s="5">
        <v>599.76</v>
      </c>
      <c r="AN127" s="5">
        <v>275.54579999999999</v>
      </c>
      <c r="AO127" s="5">
        <v>177.81</v>
      </c>
      <c r="AP127" s="5">
        <v>167.83</v>
      </c>
      <c r="AQ127" s="5">
        <v>194.8</v>
      </c>
      <c r="AR127" s="5">
        <v>723.91</v>
      </c>
      <c r="AS127" s="5">
        <v>37.299999999999997</v>
      </c>
      <c r="AT127" s="5">
        <v>67.14</v>
      </c>
      <c r="AU127" s="5">
        <v>114.65</v>
      </c>
      <c r="AV127" s="5">
        <v>115.93</v>
      </c>
      <c r="AW127" s="5">
        <v>0.25600000000000001</v>
      </c>
      <c r="AX127" s="5">
        <v>3.65</v>
      </c>
      <c r="AY127" s="5">
        <v>10000000000</v>
      </c>
      <c r="AZ127" s="5">
        <v>441.66</v>
      </c>
      <c r="BA127" s="5">
        <v>12.89</v>
      </c>
      <c r="BB127" s="5">
        <v>10.17</v>
      </c>
      <c r="BC127" s="5">
        <v>1.68</v>
      </c>
      <c r="BD127" s="5">
        <v>6.59</v>
      </c>
      <c r="BE127" s="5">
        <v>2.67</v>
      </c>
      <c r="BF127" s="5">
        <v>492.04</v>
      </c>
      <c r="BG127" s="5">
        <v>16.54</v>
      </c>
      <c r="BH127" s="5">
        <v>10000000000</v>
      </c>
      <c r="BI127" s="5">
        <v>209</v>
      </c>
      <c r="BJ127" s="5">
        <v>20.6</v>
      </c>
      <c r="BK127" s="5">
        <v>81.3</v>
      </c>
      <c r="BL127" s="5">
        <v>143.52000000000001</v>
      </c>
      <c r="BM127" s="5">
        <v>2.98</v>
      </c>
      <c r="BN127" s="5">
        <v>30.53</v>
      </c>
      <c r="BO127" s="5">
        <v>38.39</v>
      </c>
      <c r="BP127" s="5">
        <v>759.2</v>
      </c>
      <c r="BQ127" s="5">
        <v>67.115679999999998</v>
      </c>
      <c r="BR127" s="5">
        <v>309.49619999999999</v>
      </c>
      <c r="BS127" s="5">
        <v>36.108400000000003</v>
      </c>
      <c r="BT127" s="5">
        <v>35.752630000000003</v>
      </c>
      <c r="BU127" s="5">
        <v>35.187869999999997</v>
      </c>
      <c r="BV127" s="5">
        <v>0.104008</v>
      </c>
      <c r="BW127" s="5">
        <v>9.9981E-2</v>
      </c>
      <c r="BX127" s="5">
        <v>131.83619999999999</v>
      </c>
      <c r="BY127" s="5">
        <v>18.995360000000002</v>
      </c>
      <c r="BZ127" s="5">
        <v>0</v>
      </c>
      <c r="CA127" s="5">
        <v>0.91969500000000004</v>
      </c>
      <c r="CB127" s="5">
        <v>924.79039999999998</v>
      </c>
      <c r="CC127" s="5">
        <v>959.01440000000002</v>
      </c>
      <c r="CD127" s="5">
        <v>136.80449999999999</v>
      </c>
      <c r="CE127" s="5">
        <v>564.73</v>
      </c>
      <c r="CF127" s="5">
        <v>97.05</v>
      </c>
      <c r="CG127" s="5">
        <v>112.24</v>
      </c>
      <c r="CH127" s="5">
        <v>506.82</v>
      </c>
      <c r="CI127" s="5">
        <v>525.41</v>
      </c>
      <c r="CJ127" s="5">
        <v>539.98</v>
      </c>
      <c r="CK127" s="5">
        <v>559.88</v>
      </c>
      <c r="CL127" s="5">
        <v>560.11</v>
      </c>
      <c r="CM127" s="5">
        <v>562.59</v>
      </c>
      <c r="CN127" s="5">
        <v>433.68</v>
      </c>
      <c r="CO127" s="5">
        <v>30.57</v>
      </c>
      <c r="CP127" s="5">
        <v>938.3</v>
      </c>
      <c r="CQ127" s="5">
        <v>942.05</v>
      </c>
      <c r="CR127" s="5">
        <v>16.8</v>
      </c>
      <c r="CS127" s="5">
        <v>16.899999999999999</v>
      </c>
      <c r="CT127" s="5">
        <v>25.75</v>
      </c>
      <c r="CU127" s="5">
        <v>49.37</v>
      </c>
      <c r="CV127" s="5">
        <v>98.43</v>
      </c>
      <c r="CW127" s="5">
        <v>0.90226012518328569</v>
      </c>
      <c r="CX127" s="5">
        <v>2.4090345342393729</v>
      </c>
    </row>
    <row r="128" spans="1:102" x14ac:dyDescent="0.25">
      <c r="A128" s="5">
        <v>24</v>
      </c>
      <c r="B128" s="23">
        <v>41409.591688900466</v>
      </c>
      <c r="C128" s="5">
        <v>4</v>
      </c>
      <c r="D128" s="5">
        <v>31</v>
      </c>
      <c r="E128" s="5">
        <v>936</v>
      </c>
      <c r="F128" s="5">
        <v>936</v>
      </c>
      <c r="G128" s="5">
        <v>936</v>
      </c>
      <c r="H128" s="5">
        <v>82.6</v>
      </c>
      <c r="I128" s="5">
        <v>82.6</v>
      </c>
      <c r="J128" s="5">
        <v>1701</v>
      </c>
      <c r="K128" s="5">
        <v>44</v>
      </c>
      <c r="L128" s="5">
        <v>44</v>
      </c>
      <c r="M128" s="5">
        <v>0.19</v>
      </c>
      <c r="N128" s="5">
        <v>0.19006500000000001</v>
      </c>
      <c r="O128" s="5">
        <v>1</v>
      </c>
      <c r="P128" s="5">
        <v>1.0691079999999999</v>
      </c>
      <c r="Q128" s="5">
        <v>3.62</v>
      </c>
      <c r="R128" s="5">
        <v>3.6254879999999998</v>
      </c>
      <c r="S128" s="5">
        <v>176.1</v>
      </c>
      <c r="T128" s="5">
        <v>176.09379999999999</v>
      </c>
      <c r="U128" s="5">
        <v>4.9800000000000004</v>
      </c>
      <c r="V128" s="5">
        <v>4.96875</v>
      </c>
      <c r="W128" s="5">
        <v>300</v>
      </c>
      <c r="X128" s="5">
        <v>300</v>
      </c>
      <c r="Y128" s="5">
        <v>0</v>
      </c>
      <c r="Z128" s="5">
        <v>0</v>
      </c>
      <c r="AA128" s="5">
        <v>299.33</v>
      </c>
      <c r="AB128" s="5">
        <v>299</v>
      </c>
      <c r="AC128" s="5">
        <v>0</v>
      </c>
      <c r="AD128" s="5">
        <v>189.89340000000001</v>
      </c>
      <c r="AE128" s="5">
        <v>170</v>
      </c>
      <c r="AF128" s="5">
        <v>170</v>
      </c>
      <c r="AG128" s="5">
        <v>20</v>
      </c>
      <c r="AH128" s="5">
        <v>0.15</v>
      </c>
      <c r="AI128" s="5">
        <v>116.59</v>
      </c>
      <c r="AJ128" s="5">
        <v>131.59</v>
      </c>
      <c r="AK128" s="5">
        <v>224.09</v>
      </c>
      <c r="AL128" s="5">
        <v>224.36</v>
      </c>
      <c r="AM128" s="5">
        <v>588.41</v>
      </c>
      <c r="AN128" s="5">
        <v>277.56970000000001</v>
      </c>
      <c r="AO128" s="5">
        <v>179.66</v>
      </c>
      <c r="AP128" s="5">
        <v>168.64</v>
      </c>
      <c r="AQ128" s="5">
        <v>196.99</v>
      </c>
      <c r="AR128" s="5">
        <v>737.53</v>
      </c>
      <c r="AS128" s="5">
        <v>44.43</v>
      </c>
      <c r="AT128" s="5">
        <v>65.92</v>
      </c>
      <c r="AU128" s="5">
        <v>112.36</v>
      </c>
      <c r="AV128" s="5">
        <v>117.55</v>
      </c>
      <c r="AW128" s="5">
        <v>0.18099999999999999</v>
      </c>
      <c r="AX128" s="5">
        <v>2.5099999999999998</v>
      </c>
      <c r="AY128" s="5">
        <v>10000000000</v>
      </c>
      <c r="AZ128" s="5">
        <v>417.58</v>
      </c>
      <c r="BA128" s="5">
        <v>12.89</v>
      </c>
      <c r="BB128" s="5">
        <v>9.86</v>
      </c>
      <c r="BC128" s="5">
        <v>1.52</v>
      </c>
      <c r="BD128" s="5">
        <v>7.01</v>
      </c>
      <c r="BE128" s="5">
        <v>3.2</v>
      </c>
      <c r="BF128" s="5">
        <v>572.66</v>
      </c>
      <c r="BG128" s="5">
        <v>15.42</v>
      </c>
      <c r="BH128" s="5">
        <v>10000000000</v>
      </c>
      <c r="BI128" s="5">
        <v>208.6</v>
      </c>
      <c r="BJ128" s="5">
        <v>21.2</v>
      </c>
      <c r="BK128" s="5">
        <v>81.400000000000006</v>
      </c>
      <c r="BL128" s="5">
        <v>134.6</v>
      </c>
      <c r="BM128" s="5">
        <v>3</v>
      </c>
      <c r="BN128" s="5">
        <v>30.39</v>
      </c>
      <c r="BO128" s="5">
        <v>38.15</v>
      </c>
      <c r="BP128" s="5">
        <v>772.85</v>
      </c>
      <c r="BQ128" s="5">
        <v>66.104740000000007</v>
      </c>
      <c r="BR128" s="5">
        <v>319.28050000000002</v>
      </c>
      <c r="BS128" s="5">
        <v>36.325760000000002</v>
      </c>
      <c r="BT128" s="5">
        <v>36.500309999999999</v>
      </c>
      <c r="BU128" s="5">
        <v>35.897060000000003</v>
      </c>
      <c r="BV128" s="5">
        <v>0.103629</v>
      </c>
      <c r="BW128" s="5">
        <v>9.9076999999999998E-2</v>
      </c>
      <c r="BX128" s="5">
        <v>130.5839</v>
      </c>
      <c r="BY128" s="5">
        <v>18.995360000000002</v>
      </c>
      <c r="BZ128" s="5">
        <v>0</v>
      </c>
      <c r="CA128" s="5">
        <v>0.91966199999999998</v>
      </c>
      <c r="CB128" s="5">
        <v>934.32770000000005</v>
      </c>
      <c r="CC128" s="5">
        <v>968.23940000000005</v>
      </c>
      <c r="CD128" s="5">
        <v>135.5523</v>
      </c>
      <c r="CE128" s="5">
        <v>555.95000000000005</v>
      </c>
      <c r="CF128" s="5">
        <v>94.88</v>
      </c>
      <c r="CG128" s="5">
        <v>109.44</v>
      </c>
      <c r="CH128" s="5">
        <v>500.61</v>
      </c>
      <c r="CI128" s="5">
        <v>517.71</v>
      </c>
      <c r="CJ128" s="5">
        <v>533.91</v>
      </c>
      <c r="CK128" s="5">
        <v>550.41</v>
      </c>
      <c r="CL128" s="5">
        <v>552.65</v>
      </c>
      <c r="CM128" s="5">
        <v>555.82000000000005</v>
      </c>
      <c r="CN128" s="5">
        <v>422.45</v>
      </c>
      <c r="CO128" s="5">
        <v>29.74</v>
      </c>
      <c r="CP128" s="5">
        <v>932</v>
      </c>
      <c r="CQ128" s="5">
        <v>936.04</v>
      </c>
      <c r="CR128" s="5">
        <v>16.7</v>
      </c>
      <c r="CS128" s="5">
        <v>16.8</v>
      </c>
      <c r="CT128" s="5">
        <v>24.52</v>
      </c>
      <c r="CU128" s="5">
        <v>51.84</v>
      </c>
      <c r="CV128" s="5">
        <v>98.42</v>
      </c>
      <c r="CW128" s="5">
        <v>0.90051036485127134</v>
      </c>
      <c r="CX128" s="5">
        <v>2.8816331675240683</v>
      </c>
    </row>
    <row r="129" spans="1:102" x14ac:dyDescent="0.25">
      <c r="A129" s="5">
        <v>32</v>
      </c>
      <c r="B129" s="23">
        <v>41409.648971678238</v>
      </c>
      <c r="C129" s="5">
        <v>4</v>
      </c>
      <c r="D129" s="5">
        <v>40</v>
      </c>
      <c r="E129" s="5">
        <v>980</v>
      </c>
      <c r="F129" s="5">
        <v>980</v>
      </c>
      <c r="G129" s="5">
        <v>980.1</v>
      </c>
      <c r="H129" s="5">
        <v>82.6</v>
      </c>
      <c r="I129" s="5">
        <v>82.6</v>
      </c>
      <c r="J129" s="5">
        <v>1701</v>
      </c>
      <c r="K129" s="5">
        <v>34</v>
      </c>
      <c r="L129" s="5">
        <v>34</v>
      </c>
      <c r="M129" s="5">
        <v>0.14000000000000001</v>
      </c>
      <c r="N129" s="5">
        <v>0.13999400000000001</v>
      </c>
      <c r="O129" s="5">
        <v>1</v>
      </c>
      <c r="P129" s="5">
        <v>1.0690470000000001</v>
      </c>
      <c r="Q129" s="5">
        <v>2.1</v>
      </c>
      <c r="R129" s="5">
        <v>2.0983890000000001</v>
      </c>
      <c r="S129" s="5">
        <v>169.28</v>
      </c>
      <c r="T129" s="5">
        <v>169.28129999999999</v>
      </c>
      <c r="U129" s="5">
        <v>4.99</v>
      </c>
      <c r="V129" s="5">
        <v>5</v>
      </c>
      <c r="W129" s="5">
        <v>300</v>
      </c>
      <c r="X129" s="5">
        <v>300</v>
      </c>
      <c r="Y129" s="5">
        <v>0</v>
      </c>
      <c r="Z129" s="5">
        <v>0</v>
      </c>
      <c r="AA129" s="5">
        <v>299.63</v>
      </c>
      <c r="AB129" s="5">
        <v>300</v>
      </c>
      <c r="AC129" s="5">
        <v>0</v>
      </c>
      <c r="AD129" s="5">
        <v>189.86490000000001</v>
      </c>
      <c r="AE129" s="5">
        <v>170</v>
      </c>
      <c r="AF129" s="5">
        <v>170</v>
      </c>
      <c r="AG129" s="5">
        <v>20</v>
      </c>
      <c r="AH129" s="5">
        <v>0.15</v>
      </c>
      <c r="AI129" s="5">
        <v>109.14</v>
      </c>
      <c r="AJ129" s="5">
        <v>132.55000000000001</v>
      </c>
      <c r="AK129" s="5">
        <v>208.27</v>
      </c>
      <c r="AL129" s="5">
        <v>210.94</v>
      </c>
      <c r="AM129" s="5">
        <v>632.27</v>
      </c>
      <c r="AN129" s="5">
        <v>271.06670000000003</v>
      </c>
      <c r="AO129" s="5">
        <v>172.36</v>
      </c>
      <c r="AP129" s="5">
        <v>168</v>
      </c>
      <c r="AQ129" s="5">
        <v>190.76</v>
      </c>
      <c r="AR129" s="5">
        <v>777.84</v>
      </c>
      <c r="AS129" s="5">
        <v>35.909999999999997</v>
      </c>
      <c r="AT129" s="5">
        <v>61.68</v>
      </c>
      <c r="AU129" s="5">
        <v>104.28</v>
      </c>
      <c r="AV129" s="5">
        <v>113.7</v>
      </c>
      <c r="AW129" s="5">
        <v>9.8000000000000004E-2</v>
      </c>
      <c r="AX129" s="5">
        <v>1.32</v>
      </c>
      <c r="AY129" s="5">
        <v>10000000000</v>
      </c>
      <c r="AZ129" s="5">
        <v>419.39</v>
      </c>
      <c r="BA129" s="5">
        <v>12.2</v>
      </c>
      <c r="BB129" s="5">
        <v>10.050000000000001</v>
      </c>
      <c r="BC129" s="5">
        <v>0.99</v>
      </c>
      <c r="BD129" s="5">
        <v>6.82</v>
      </c>
      <c r="BE129" s="5">
        <v>4.12</v>
      </c>
      <c r="BF129" s="5">
        <v>733.03</v>
      </c>
      <c r="BG129" s="5">
        <v>9.81</v>
      </c>
      <c r="BH129" s="5">
        <v>10000000000</v>
      </c>
      <c r="BI129" s="5">
        <v>211.2</v>
      </c>
      <c r="BJ129" s="5">
        <v>21.1</v>
      </c>
      <c r="BK129" s="5">
        <v>82.9</v>
      </c>
      <c r="BL129" s="5">
        <v>84.66</v>
      </c>
      <c r="BM129" s="5">
        <v>2.91</v>
      </c>
      <c r="BN129" s="5">
        <v>29.88</v>
      </c>
      <c r="BO129" s="5">
        <v>38.200000000000003</v>
      </c>
      <c r="BP129" s="5">
        <v>814.81</v>
      </c>
      <c r="BQ129" s="5">
        <v>62.373649999999998</v>
      </c>
      <c r="BR129" s="5">
        <v>308.98869999999999</v>
      </c>
      <c r="BS129" s="5">
        <v>35.28642</v>
      </c>
      <c r="BT129" s="5">
        <v>33.893320000000003</v>
      </c>
      <c r="BU129" s="5">
        <v>33.388849999999998</v>
      </c>
      <c r="BV129" s="5">
        <v>0.102685</v>
      </c>
      <c r="BW129" s="5">
        <v>9.9446999999999994E-2</v>
      </c>
      <c r="BX129" s="5">
        <v>139.3433</v>
      </c>
      <c r="BY129" s="5">
        <v>18.995360000000002</v>
      </c>
      <c r="BZ129" s="5">
        <v>0</v>
      </c>
      <c r="CA129" s="5">
        <v>0.92140200000000005</v>
      </c>
      <c r="CB129" s="5">
        <v>924.31479999999999</v>
      </c>
      <c r="CC129" s="5">
        <v>960.43290000000002</v>
      </c>
      <c r="CD129" s="5">
        <v>144.34379999999999</v>
      </c>
      <c r="CE129" s="5">
        <v>550.16999999999996</v>
      </c>
      <c r="CF129" s="5">
        <v>88.7</v>
      </c>
      <c r="CG129" s="5">
        <v>102.04</v>
      </c>
      <c r="CH129" s="5">
        <v>530.87</v>
      </c>
      <c r="CI129" s="5">
        <v>552.66</v>
      </c>
      <c r="CJ129" s="5">
        <v>569.1</v>
      </c>
      <c r="CK129" s="5">
        <v>585.08000000000004</v>
      </c>
      <c r="CL129" s="5">
        <v>585.37</v>
      </c>
      <c r="CM129" s="5">
        <v>582.67999999999995</v>
      </c>
      <c r="CN129" s="5">
        <v>467.02</v>
      </c>
      <c r="CO129" s="5">
        <v>31.3</v>
      </c>
      <c r="CP129" s="5">
        <v>975.5</v>
      </c>
      <c r="CQ129" s="5">
        <v>980.04</v>
      </c>
      <c r="CR129" s="5">
        <v>17.5</v>
      </c>
      <c r="CS129" s="5">
        <v>17.600000000000001</v>
      </c>
      <c r="CT129" s="5">
        <v>24.59</v>
      </c>
      <c r="CU129" s="5">
        <v>50.58</v>
      </c>
      <c r="CV129" s="5">
        <v>98.58</v>
      </c>
      <c r="CW129" s="5">
        <v>0.90058411665939675</v>
      </c>
      <c r="CX129" s="5">
        <v>3.7104065606367147</v>
      </c>
    </row>
    <row r="130" spans="1:102" x14ac:dyDescent="0.25">
      <c r="A130" s="5">
        <v>32</v>
      </c>
      <c r="B130" s="23">
        <v>41408.670366643521</v>
      </c>
      <c r="C130" s="5">
        <v>4</v>
      </c>
      <c r="D130" s="5">
        <v>6</v>
      </c>
      <c r="E130" s="5">
        <v>823</v>
      </c>
      <c r="F130" s="5">
        <v>823</v>
      </c>
      <c r="G130" s="5">
        <v>823.1</v>
      </c>
      <c r="H130" s="5">
        <v>82.6</v>
      </c>
      <c r="I130" s="5">
        <v>82.6</v>
      </c>
      <c r="J130" s="5">
        <v>1701</v>
      </c>
      <c r="K130" s="5">
        <v>17</v>
      </c>
      <c r="L130" s="5">
        <v>17</v>
      </c>
      <c r="M130" s="5">
        <v>0.25</v>
      </c>
      <c r="N130" s="5">
        <v>0.24999199999999999</v>
      </c>
      <c r="O130" s="5">
        <v>1</v>
      </c>
      <c r="P130" s="5">
        <v>1.0694440000000001</v>
      </c>
      <c r="Q130" s="5">
        <v>1.96</v>
      </c>
      <c r="R130" s="5">
        <v>1.9555659999999999</v>
      </c>
      <c r="S130" s="5">
        <v>177.79</v>
      </c>
      <c r="T130" s="5">
        <v>177.79689999999999</v>
      </c>
      <c r="U130" s="5">
        <v>3.84</v>
      </c>
      <c r="V130" s="5">
        <v>3.84375</v>
      </c>
      <c r="W130" s="5">
        <v>300</v>
      </c>
      <c r="X130" s="5">
        <v>300</v>
      </c>
      <c r="Y130" s="5">
        <v>0</v>
      </c>
      <c r="Z130" s="5">
        <v>0</v>
      </c>
      <c r="AA130" s="5">
        <v>300</v>
      </c>
      <c r="AB130" s="5">
        <v>300</v>
      </c>
      <c r="AC130" s="5">
        <v>0</v>
      </c>
      <c r="AD130" s="5">
        <v>137.9486</v>
      </c>
      <c r="AE130" s="5">
        <v>170</v>
      </c>
      <c r="AF130" s="5">
        <v>170</v>
      </c>
      <c r="AG130" s="5">
        <v>20</v>
      </c>
      <c r="AH130" s="5">
        <v>0.15</v>
      </c>
      <c r="AI130" s="5">
        <v>88.41</v>
      </c>
      <c r="AJ130" s="5">
        <v>108.78</v>
      </c>
      <c r="AK130" s="5">
        <v>118.85</v>
      </c>
      <c r="AL130" s="5">
        <v>121.78</v>
      </c>
      <c r="AM130" s="5">
        <v>652.05999999999995</v>
      </c>
      <c r="AN130" s="5">
        <v>206.4881</v>
      </c>
      <c r="AO130" s="5">
        <v>107.53</v>
      </c>
      <c r="AP130" s="5">
        <v>120.05</v>
      </c>
      <c r="AQ130" s="5">
        <v>123.58</v>
      </c>
      <c r="AR130" s="5">
        <v>608.70000000000005</v>
      </c>
      <c r="AS130" s="5">
        <v>11.32</v>
      </c>
      <c r="AT130" s="5">
        <v>60.89</v>
      </c>
      <c r="AU130" s="5">
        <v>99.02</v>
      </c>
      <c r="AV130" s="5">
        <v>110.39</v>
      </c>
      <c r="AW130" s="5">
        <v>0.38800000000000001</v>
      </c>
      <c r="AX130" s="5">
        <v>5.73</v>
      </c>
      <c r="AY130" s="5">
        <v>10000000000</v>
      </c>
      <c r="AZ130" s="5">
        <v>297.38</v>
      </c>
      <c r="BA130" s="5">
        <v>14.21</v>
      </c>
      <c r="BB130" s="5">
        <v>10.95</v>
      </c>
      <c r="BC130" s="5">
        <v>1.03</v>
      </c>
      <c r="BD130" s="5">
        <v>5.5</v>
      </c>
      <c r="BE130" s="5">
        <v>3.89</v>
      </c>
      <c r="BF130" s="5">
        <v>754.06</v>
      </c>
      <c r="BG130" s="5">
        <v>9.4</v>
      </c>
      <c r="BH130" s="5">
        <v>10000000000</v>
      </c>
      <c r="BI130" s="5">
        <v>213.7</v>
      </c>
      <c r="BJ130" s="5">
        <v>19.399999999999999</v>
      </c>
      <c r="BK130" s="5">
        <v>84.4</v>
      </c>
      <c r="BL130" s="5">
        <v>63.15</v>
      </c>
      <c r="BM130" s="5">
        <v>2.2200000000000002</v>
      </c>
      <c r="BN130" s="5">
        <v>29.91</v>
      </c>
      <c r="BO130" s="5">
        <v>38.96</v>
      </c>
      <c r="BP130" s="5">
        <v>640.14</v>
      </c>
      <c r="BQ130" s="5">
        <v>61.68938</v>
      </c>
      <c r="BR130" s="5">
        <v>219.7372</v>
      </c>
      <c r="BS130" s="5">
        <v>40.215069999999997</v>
      </c>
      <c r="BT130" s="5">
        <v>32.022550000000003</v>
      </c>
      <c r="BU130" s="5">
        <v>32.410989999999998</v>
      </c>
      <c r="BV130" s="5">
        <v>0.105269</v>
      </c>
      <c r="BW130" s="5">
        <v>7.4943999999999997E-2</v>
      </c>
      <c r="BX130" s="5">
        <v>116.667</v>
      </c>
      <c r="BY130" s="5">
        <v>18.995360000000002</v>
      </c>
      <c r="BZ130" s="5">
        <v>0</v>
      </c>
      <c r="CA130" s="5">
        <v>0.92264599999999997</v>
      </c>
      <c r="CB130" s="5">
        <v>706.48209999999995</v>
      </c>
      <c r="CC130" s="5">
        <v>736.62289999999996</v>
      </c>
      <c r="CD130" s="5">
        <v>120.51430000000001</v>
      </c>
      <c r="CE130" s="5">
        <v>547.42999999999995</v>
      </c>
      <c r="CF130" s="5">
        <v>86</v>
      </c>
      <c r="CG130" s="5">
        <v>97.52</v>
      </c>
      <c r="CH130" s="5">
        <v>538.20000000000005</v>
      </c>
      <c r="CI130" s="5">
        <v>563.84</v>
      </c>
      <c r="CJ130" s="5">
        <v>576.04999999999995</v>
      </c>
      <c r="CK130" s="5">
        <v>597.53</v>
      </c>
      <c r="CL130" s="5">
        <v>596.39</v>
      </c>
      <c r="CM130" s="5">
        <v>591</v>
      </c>
      <c r="CN130" s="5">
        <v>524.29999999999995</v>
      </c>
      <c r="CO130" s="5">
        <v>28.31</v>
      </c>
      <c r="CP130" s="5">
        <v>816.4</v>
      </c>
      <c r="CQ130" s="5">
        <v>823.05</v>
      </c>
      <c r="CR130" s="5">
        <v>14.6</v>
      </c>
      <c r="CS130" s="5">
        <v>14.7</v>
      </c>
      <c r="CT130" s="5">
        <v>25.47</v>
      </c>
      <c r="CU130" s="5">
        <v>56.39</v>
      </c>
      <c r="CV130" s="5">
        <v>99.05</v>
      </c>
      <c r="CW130" s="5">
        <v>0.89579193813243208</v>
      </c>
      <c r="CX130" s="5">
        <v>3.4846306393351609</v>
      </c>
    </row>
    <row r="131" spans="1:102" x14ac:dyDescent="0.25">
      <c r="A131" s="5">
        <v>26</v>
      </c>
      <c r="B131" s="23">
        <v>41409.602535821759</v>
      </c>
      <c r="C131" s="5">
        <v>4</v>
      </c>
      <c r="D131" s="5">
        <v>33</v>
      </c>
      <c r="E131" s="5">
        <v>948</v>
      </c>
      <c r="F131" s="5">
        <v>948</v>
      </c>
      <c r="G131" s="5">
        <v>948.1</v>
      </c>
      <c r="H131" s="5">
        <v>82.6</v>
      </c>
      <c r="I131" s="5">
        <v>82.6</v>
      </c>
      <c r="J131" s="5">
        <v>1701</v>
      </c>
      <c r="K131" s="5">
        <v>21</v>
      </c>
      <c r="L131" s="5">
        <v>21</v>
      </c>
      <c r="M131" s="5">
        <v>0.28000000000000003</v>
      </c>
      <c r="N131" s="5">
        <v>0.28001100000000001</v>
      </c>
      <c r="O131" s="5">
        <v>1</v>
      </c>
      <c r="P131" s="5">
        <v>1.0690500000000001</v>
      </c>
      <c r="Q131" s="5">
        <v>3.2</v>
      </c>
      <c r="R131" s="5">
        <v>3.1970209999999999</v>
      </c>
      <c r="S131" s="5">
        <v>174.23</v>
      </c>
      <c r="T131" s="5">
        <v>174.23439999999999</v>
      </c>
      <c r="U131" s="5">
        <v>4.9800000000000004</v>
      </c>
      <c r="V131" s="5">
        <v>4.96875</v>
      </c>
      <c r="W131" s="5">
        <v>300</v>
      </c>
      <c r="X131" s="5">
        <v>300</v>
      </c>
      <c r="Y131" s="5">
        <v>0</v>
      </c>
      <c r="Z131" s="5">
        <v>0</v>
      </c>
      <c r="AA131" s="5">
        <v>299.11</v>
      </c>
      <c r="AB131" s="5">
        <v>299</v>
      </c>
      <c r="AC131" s="5">
        <v>0</v>
      </c>
      <c r="AD131" s="5">
        <v>167.32650000000001</v>
      </c>
      <c r="AE131" s="5">
        <v>170</v>
      </c>
      <c r="AF131" s="5">
        <v>170</v>
      </c>
      <c r="AG131" s="5">
        <v>20</v>
      </c>
      <c r="AH131" s="5">
        <v>0.15</v>
      </c>
      <c r="AI131" s="5">
        <v>103.35</v>
      </c>
      <c r="AJ131" s="5">
        <v>120.16</v>
      </c>
      <c r="AK131" s="5">
        <v>149.72999999999999</v>
      </c>
      <c r="AL131" s="5">
        <v>152.85</v>
      </c>
      <c r="AM131" s="5">
        <v>667.62</v>
      </c>
      <c r="AN131" s="5">
        <v>236.3655</v>
      </c>
      <c r="AO131" s="5">
        <v>137.78</v>
      </c>
      <c r="AP131" s="5">
        <v>142.88</v>
      </c>
      <c r="AQ131" s="5">
        <v>154.05000000000001</v>
      </c>
      <c r="AR131" s="5">
        <v>680.39</v>
      </c>
      <c r="AS131" s="5">
        <v>11.95</v>
      </c>
      <c r="AT131" s="5">
        <v>61.55</v>
      </c>
      <c r="AU131" s="5">
        <v>101.36</v>
      </c>
      <c r="AV131" s="5">
        <v>113.64</v>
      </c>
      <c r="AW131" s="5">
        <v>0.39700000000000002</v>
      </c>
      <c r="AX131" s="5">
        <v>5.89</v>
      </c>
      <c r="AY131" s="5">
        <v>10000000000</v>
      </c>
      <c r="AZ131" s="5">
        <v>629.79</v>
      </c>
      <c r="BA131" s="5">
        <v>11.85</v>
      </c>
      <c r="BB131" s="5">
        <v>11.1</v>
      </c>
      <c r="BC131" s="5">
        <v>1.1200000000000001</v>
      </c>
      <c r="BD131" s="5">
        <v>5.31</v>
      </c>
      <c r="BE131" s="5">
        <v>3.86</v>
      </c>
      <c r="BF131" s="5">
        <v>774.65</v>
      </c>
      <c r="BG131" s="5">
        <v>10.07</v>
      </c>
      <c r="BH131" s="5">
        <v>10000000000</v>
      </c>
      <c r="BI131" s="5">
        <v>211.2</v>
      </c>
      <c r="BJ131" s="5">
        <v>19.100000000000001</v>
      </c>
      <c r="BK131" s="5">
        <v>83.1</v>
      </c>
      <c r="BL131" s="5">
        <v>76.27</v>
      </c>
      <c r="BM131" s="5">
        <v>2.5499999999999998</v>
      </c>
      <c r="BN131" s="5">
        <v>29.99</v>
      </c>
      <c r="BO131" s="5">
        <v>39.119999999999997</v>
      </c>
      <c r="BP131" s="5">
        <v>716.46</v>
      </c>
      <c r="BQ131" s="5">
        <v>62.159370000000003</v>
      </c>
      <c r="BR131" s="5">
        <v>250.22399999999999</v>
      </c>
      <c r="BS131" s="5">
        <v>35.730220000000003</v>
      </c>
      <c r="BT131" s="5">
        <v>31.600819999999999</v>
      </c>
      <c r="BU131" s="5">
        <v>31.699380000000001</v>
      </c>
      <c r="BV131" s="5">
        <v>0.104668</v>
      </c>
      <c r="BW131" s="5">
        <v>7.7130000000000004E-2</v>
      </c>
      <c r="BX131" s="5">
        <v>134.0581</v>
      </c>
      <c r="BY131" s="5">
        <v>18.995360000000002</v>
      </c>
      <c r="BZ131" s="5">
        <v>0</v>
      </c>
      <c r="CA131" s="5">
        <v>0.91975499999999999</v>
      </c>
      <c r="CB131" s="5">
        <v>805.1046</v>
      </c>
      <c r="CC131" s="5">
        <v>839.86210000000005</v>
      </c>
      <c r="CD131" s="5">
        <v>139.029</v>
      </c>
      <c r="CE131" s="5">
        <v>571</v>
      </c>
      <c r="CF131" s="5">
        <v>88.67</v>
      </c>
      <c r="CG131" s="5">
        <v>100.71</v>
      </c>
      <c r="CH131" s="5">
        <v>549.11</v>
      </c>
      <c r="CI131" s="5">
        <v>573.04</v>
      </c>
      <c r="CJ131" s="5">
        <v>589.67999999999995</v>
      </c>
      <c r="CK131" s="5">
        <v>614.09</v>
      </c>
      <c r="CL131" s="5">
        <v>606.99</v>
      </c>
      <c r="CM131" s="5">
        <v>603.9</v>
      </c>
      <c r="CN131" s="5">
        <v>522.05999999999995</v>
      </c>
      <c r="CO131" s="5">
        <v>32.049999999999997</v>
      </c>
      <c r="CP131" s="5">
        <v>941.8</v>
      </c>
      <c r="CQ131" s="5">
        <v>948.06</v>
      </c>
      <c r="CR131" s="5">
        <v>16.899999999999999</v>
      </c>
      <c r="CS131" s="5">
        <v>17</v>
      </c>
      <c r="CT131" s="5">
        <v>25.83</v>
      </c>
      <c r="CU131" s="5">
        <v>48.62</v>
      </c>
      <c r="CV131" s="5">
        <v>98.45</v>
      </c>
      <c r="CW131" s="5">
        <v>0.89597323538082463</v>
      </c>
      <c r="CX131" s="5">
        <v>3.4584566885699828</v>
      </c>
    </row>
    <row r="132" spans="1:102" x14ac:dyDescent="0.25">
      <c r="A132" s="5">
        <v>7</v>
      </c>
      <c r="B132" s="23">
        <v>41409.495849282408</v>
      </c>
      <c r="C132" s="5">
        <v>4</v>
      </c>
      <c r="D132" s="5">
        <v>15</v>
      </c>
      <c r="E132" s="5">
        <v>861</v>
      </c>
      <c r="F132" s="5">
        <v>861</v>
      </c>
      <c r="G132" s="5">
        <v>861.1</v>
      </c>
      <c r="H132" s="5">
        <v>82.6</v>
      </c>
      <c r="I132" s="5">
        <v>82.6</v>
      </c>
      <c r="J132" s="5">
        <v>1701</v>
      </c>
      <c r="K132" s="5">
        <v>16</v>
      </c>
      <c r="L132" s="5">
        <v>16</v>
      </c>
      <c r="M132" s="5">
        <v>0.15</v>
      </c>
      <c r="N132" s="5">
        <v>0.15009800000000001</v>
      </c>
      <c r="O132" s="5">
        <v>1</v>
      </c>
      <c r="P132" s="5">
        <v>1.069035</v>
      </c>
      <c r="Q132" s="5">
        <v>3.39</v>
      </c>
      <c r="R132" s="5">
        <v>3.3947750000000001</v>
      </c>
      <c r="S132" s="5">
        <v>179.7</v>
      </c>
      <c r="T132" s="5">
        <v>179.70310000000001</v>
      </c>
      <c r="U132" s="5">
        <v>4.4000000000000004</v>
      </c>
      <c r="V132" s="5">
        <v>4.40625</v>
      </c>
      <c r="W132" s="5">
        <v>300</v>
      </c>
      <c r="X132" s="5">
        <v>300</v>
      </c>
      <c r="Y132" s="5">
        <v>0</v>
      </c>
      <c r="Z132" s="5">
        <v>0</v>
      </c>
      <c r="AA132" s="5">
        <v>300</v>
      </c>
      <c r="AB132" s="5">
        <v>300</v>
      </c>
      <c r="AC132" s="5">
        <v>0</v>
      </c>
      <c r="AD132" s="5">
        <v>141.0872</v>
      </c>
      <c r="AE132" s="5">
        <v>170</v>
      </c>
      <c r="AF132" s="5">
        <v>170</v>
      </c>
      <c r="AG132" s="5">
        <v>20</v>
      </c>
      <c r="AH132" s="5">
        <v>0.15</v>
      </c>
      <c r="AI132" s="5">
        <v>95.27</v>
      </c>
      <c r="AJ132" s="5">
        <v>111.9</v>
      </c>
      <c r="AK132" s="5">
        <v>125.49</v>
      </c>
      <c r="AL132" s="5">
        <v>129.1</v>
      </c>
      <c r="AM132" s="5">
        <v>650.91999999999996</v>
      </c>
      <c r="AN132" s="5">
        <v>209.71940000000001</v>
      </c>
      <c r="AO132" s="5">
        <v>111.11</v>
      </c>
      <c r="AP132" s="5">
        <v>126.64</v>
      </c>
      <c r="AQ132" s="5">
        <v>126.44</v>
      </c>
      <c r="AR132" s="5">
        <v>637.20000000000005</v>
      </c>
      <c r="AS132" s="5">
        <v>14.37</v>
      </c>
      <c r="AT132" s="5">
        <v>59.33</v>
      </c>
      <c r="AU132" s="5">
        <v>99.18</v>
      </c>
      <c r="AV132" s="5">
        <v>110.26</v>
      </c>
      <c r="AW132" s="5">
        <v>0.27</v>
      </c>
      <c r="AX132" s="5">
        <v>3.85</v>
      </c>
      <c r="AY132" s="5">
        <v>10000000000</v>
      </c>
      <c r="AZ132" s="5">
        <v>541.80999999999995</v>
      </c>
      <c r="BA132" s="5">
        <v>16.62</v>
      </c>
      <c r="BB132" s="5">
        <v>10.74</v>
      </c>
      <c r="BC132" s="5">
        <v>0.72</v>
      </c>
      <c r="BD132" s="5">
        <v>5.67</v>
      </c>
      <c r="BE132" s="5">
        <v>5.57</v>
      </c>
      <c r="BF132" s="5">
        <v>1077.94</v>
      </c>
      <c r="BG132" s="5">
        <v>6.74</v>
      </c>
      <c r="BH132" s="5">
        <v>10000000000</v>
      </c>
      <c r="BI132" s="5">
        <v>211.2</v>
      </c>
      <c r="BJ132" s="5">
        <v>19.7</v>
      </c>
      <c r="BK132" s="5">
        <v>85</v>
      </c>
      <c r="BL132" s="5">
        <v>45.96</v>
      </c>
      <c r="BM132" s="5">
        <v>2.2400000000000002</v>
      </c>
      <c r="BN132" s="5">
        <v>29.64</v>
      </c>
      <c r="BO132" s="5">
        <v>38.85</v>
      </c>
      <c r="BP132" s="5">
        <v>668.8</v>
      </c>
      <c r="BQ132" s="5">
        <v>60.2639</v>
      </c>
      <c r="BR132" s="5">
        <v>227.9127</v>
      </c>
      <c r="BS132" s="5">
        <v>39.101239999999997</v>
      </c>
      <c r="BT132" s="5">
        <v>31.84844</v>
      </c>
      <c r="BU132" s="5">
        <v>32.291899999999998</v>
      </c>
      <c r="BV132" s="5">
        <v>0.103564</v>
      </c>
      <c r="BW132" s="5">
        <v>6.7331000000000002E-2</v>
      </c>
      <c r="BX132" s="5">
        <v>120.30500000000001</v>
      </c>
      <c r="BY132" s="5">
        <v>18.995360000000002</v>
      </c>
      <c r="BZ132" s="5">
        <v>0</v>
      </c>
      <c r="CA132" s="5">
        <v>0.92126399999999997</v>
      </c>
      <c r="CB132" s="5">
        <v>719.53959999999995</v>
      </c>
      <c r="CC132" s="5">
        <v>750.73080000000004</v>
      </c>
      <c r="CD132" s="5">
        <v>124.7111</v>
      </c>
      <c r="CE132" s="5">
        <v>502.67</v>
      </c>
      <c r="CF132" s="5">
        <v>85.22</v>
      </c>
      <c r="CG132" s="5">
        <v>98.23</v>
      </c>
      <c r="CH132" s="5">
        <v>542.84</v>
      </c>
      <c r="CI132" s="5">
        <v>566.80999999999995</v>
      </c>
      <c r="CJ132" s="5">
        <v>579.79</v>
      </c>
      <c r="CK132" s="5">
        <v>602.29999999999995</v>
      </c>
      <c r="CL132" s="5">
        <v>598.41999999999996</v>
      </c>
      <c r="CM132" s="5">
        <v>584.54</v>
      </c>
      <c r="CN132" s="5">
        <v>521.54</v>
      </c>
      <c r="CO132" s="5">
        <v>30.13</v>
      </c>
      <c r="CP132" s="5">
        <v>856.8</v>
      </c>
      <c r="CQ132" s="5">
        <v>861.07</v>
      </c>
      <c r="CR132" s="5">
        <v>15.4</v>
      </c>
      <c r="CS132" s="5">
        <v>15.4</v>
      </c>
      <c r="CT132" s="5">
        <v>27.33</v>
      </c>
      <c r="CU132" s="5">
        <v>44.24</v>
      </c>
      <c r="CV132" s="5">
        <v>98.12</v>
      </c>
      <c r="CW132" s="5">
        <v>0.88631491752833169</v>
      </c>
      <c r="CX132" s="5">
        <v>4.9367740906328077</v>
      </c>
    </row>
    <row r="133" spans="1:102" x14ac:dyDescent="0.25">
      <c r="A133" s="5">
        <v>29</v>
      </c>
      <c r="B133" s="23">
        <v>41409.631157002317</v>
      </c>
      <c r="C133" s="5">
        <v>4</v>
      </c>
      <c r="D133" s="5">
        <v>36</v>
      </c>
      <c r="E133" s="5">
        <v>958</v>
      </c>
      <c r="F133" s="5">
        <v>958</v>
      </c>
      <c r="G133" s="5">
        <v>958.1</v>
      </c>
      <c r="H133" s="5">
        <v>82.6</v>
      </c>
      <c r="I133" s="5">
        <v>82.6</v>
      </c>
      <c r="J133" s="5">
        <v>1701</v>
      </c>
      <c r="K133" s="5">
        <v>23</v>
      </c>
      <c r="L133" s="5">
        <v>23</v>
      </c>
      <c r="M133" s="5">
        <v>0.12</v>
      </c>
      <c r="N133" s="5">
        <v>0.11998399999999999</v>
      </c>
      <c r="O133" s="5">
        <v>1</v>
      </c>
      <c r="P133" s="5">
        <v>1.0690090000000001</v>
      </c>
      <c r="Q133" s="5">
        <v>2.86</v>
      </c>
      <c r="R133" s="5">
        <v>2.8564449999999999</v>
      </c>
      <c r="S133" s="5">
        <v>172.68</v>
      </c>
      <c r="T133" s="5">
        <v>172.6875</v>
      </c>
      <c r="U133" s="5">
        <v>4.9800000000000004</v>
      </c>
      <c r="V133" s="5">
        <v>4.96875</v>
      </c>
      <c r="W133" s="5">
        <v>300</v>
      </c>
      <c r="X133" s="5">
        <v>300</v>
      </c>
      <c r="Y133" s="5">
        <v>0</v>
      </c>
      <c r="Z133" s="5">
        <v>0</v>
      </c>
      <c r="AA133" s="5">
        <v>299.22000000000003</v>
      </c>
      <c r="AB133" s="5">
        <v>299</v>
      </c>
      <c r="AC133" s="5">
        <v>0</v>
      </c>
      <c r="AD133" s="5">
        <v>173.7885</v>
      </c>
      <c r="AE133" s="5">
        <v>170</v>
      </c>
      <c r="AF133" s="5">
        <v>170</v>
      </c>
      <c r="AG133" s="5">
        <v>20</v>
      </c>
      <c r="AH133" s="5">
        <v>0.15</v>
      </c>
      <c r="AI133" s="5">
        <v>104.52</v>
      </c>
      <c r="AJ133" s="5">
        <v>124.82</v>
      </c>
      <c r="AK133" s="5">
        <v>168.28</v>
      </c>
      <c r="AL133" s="5">
        <v>172</v>
      </c>
      <c r="AM133" s="5">
        <v>652.30999999999995</v>
      </c>
      <c r="AN133" s="5">
        <v>243.3707</v>
      </c>
      <c r="AO133" s="5">
        <v>144.47999999999999</v>
      </c>
      <c r="AP133" s="5">
        <v>152.61000000000001</v>
      </c>
      <c r="AQ133" s="5">
        <v>162.01</v>
      </c>
      <c r="AR133" s="5">
        <v>729.56</v>
      </c>
      <c r="AS133" s="5">
        <v>23.8</v>
      </c>
      <c r="AT133" s="5">
        <v>59.02</v>
      </c>
      <c r="AU133" s="5">
        <v>101.09</v>
      </c>
      <c r="AV133" s="5">
        <v>116.04</v>
      </c>
      <c r="AW133" s="5">
        <v>0.13100000000000001</v>
      </c>
      <c r="AX133" s="5">
        <v>1.79</v>
      </c>
      <c r="AY133" s="5">
        <v>10000000000</v>
      </c>
      <c r="AZ133" s="5">
        <v>468.29</v>
      </c>
      <c r="BA133" s="5">
        <v>12.25</v>
      </c>
      <c r="BB133" s="5">
        <v>10.46</v>
      </c>
      <c r="BC133" s="5">
        <v>0.7</v>
      </c>
      <c r="BD133" s="5">
        <v>6.26</v>
      </c>
      <c r="BE133" s="5">
        <v>5.38</v>
      </c>
      <c r="BF133" s="5">
        <v>1004.37</v>
      </c>
      <c r="BG133" s="5">
        <v>6.67</v>
      </c>
      <c r="BH133" s="5">
        <v>10000000000</v>
      </c>
      <c r="BI133" s="5">
        <v>210.5</v>
      </c>
      <c r="BJ133" s="5">
        <v>20.3</v>
      </c>
      <c r="BK133" s="5">
        <v>83.8</v>
      </c>
      <c r="BL133" s="5">
        <v>52.14</v>
      </c>
      <c r="BM133" s="5">
        <v>2.61</v>
      </c>
      <c r="BN133" s="5">
        <v>29.61</v>
      </c>
      <c r="BO133" s="5">
        <v>38.54</v>
      </c>
      <c r="BP133" s="5">
        <v>765.5</v>
      </c>
      <c r="BQ133" s="5">
        <v>59.869840000000003</v>
      </c>
      <c r="BR133" s="5">
        <v>271.73039999999997</v>
      </c>
      <c r="BS133" s="5">
        <v>35.55912</v>
      </c>
      <c r="BT133" s="5">
        <v>31.81785</v>
      </c>
      <c r="BU133" s="5">
        <v>31.627759999999999</v>
      </c>
      <c r="BV133" s="5">
        <v>0.104708</v>
      </c>
      <c r="BW133" s="5">
        <v>9.1905000000000001E-2</v>
      </c>
      <c r="BX133" s="5">
        <v>135.3186</v>
      </c>
      <c r="BY133" s="5">
        <v>18.995360000000002</v>
      </c>
      <c r="BZ133" s="5">
        <v>0</v>
      </c>
      <c r="CA133" s="5">
        <v>0.91993000000000003</v>
      </c>
      <c r="CB133" s="5">
        <v>834.77290000000005</v>
      </c>
      <c r="CC133" s="5">
        <v>869.87310000000002</v>
      </c>
      <c r="CD133" s="5">
        <v>140.2877</v>
      </c>
      <c r="CE133" s="5">
        <v>510.1</v>
      </c>
      <c r="CF133" s="5">
        <v>86.56</v>
      </c>
      <c r="CG133" s="5">
        <v>101.02</v>
      </c>
      <c r="CH133" s="5">
        <v>542.35</v>
      </c>
      <c r="CI133" s="5">
        <v>567.30999999999995</v>
      </c>
      <c r="CJ133" s="5">
        <v>582.37</v>
      </c>
      <c r="CK133" s="5">
        <v>600.80999999999995</v>
      </c>
      <c r="CL133" s="5">
        <v>597.57000000000005</v>
      </c>
      <c r="CM133" s="5">
        <v>586.32000000000005</v>
      </c>
      <c r="CN133" s="5">
        <v>503.93</v>
      </c>
      <c r="CO133" s="5">
        <v>32.14</v>
      </c>
      <c r="CP133" s="5">
        <v>953.2</v>
      </c>
      <c r="CQ133" s="5">
        <v>958.06</v>
      </c>
      <c r="CR133" s="5">
        <v>17.100000000000001</v>
      </c>
      <c r="CS133" s="5">
        <v>17.2</v>
      </c>
      <c r="CT133" s="5">
        <v>26.72</v>
      </c>
      <c r="CU133" s="5">
        <v>42.83</v>
      </c>
      <c r="CV133" s="5">
        <v>98.52</v>
      </c>
      <c r="CW133" s="5">
        <v>0.89138906538200602</v>
      </c>
      <c r="CX133" s="5">
        <v>4.7956731717551921</v>
      </c>
    </row>
    <row r="134" spans="1:102" x14ac:dyDescent="0.25">
      <c r="A134" s="5">
        <v>20</v>
      </c>
      <c r="B134" s="23">
        <v>4.2696759259259259E-3</v>
      </c>
      <c r="C134" s="5">
        <v>5</v>
      </c>
      <c r="D134" s="5">
        <v>19</v>
      </c>
      <c r="E134" s="5">
        <v>112</v>
      </c>
      <c r="F134" s="5">
        <v>112</v>
      </c>
      <c r="G134" s="5">
        <v>112</v>
      </c>
      <c r="H134" s="5">
        <v>91.7</v>
      </c>
      <c r="I134" s="5">
        <v>91.7</v>
      </c>
      <c r="J134" s="5">
        <v>1800</v>
      </c>
      <c r="K134" s="5">
        <v>12</v>
      </c>
      <c r="L134" s="5">
        <v>12</v>
      </c>
      <c r="M134" s="5">
        <v>0.16</v>
      </c>
      <c r="N134" s="5">
        <v>0.16001799999999999</v>
      </c>
      <c r="O134" s="5">
        <v>1</v>
      </c>
      <c r="P134" s="5">
        <v>1.068962</v>
      </c>
      <c r="Q134" s="5">
        <v>-0.76</v>
      </c>
      <c r="R134" s="5">
        <v>-0.75805699999999998</v>
      </c>
      <c r="S134" s="5">
        <v>115.2</v>
      </c>
      <c r="T134" s="5">
        <v>115.20310000000001</v>
      </c>
      <c r="U134" s="5">
        <v>3.5</v>
      </c>
      <c r="V134" s="5">
        <v>3.5</v>
      </c>
      <c r="W134" s="5">
        <v>300</v>
      </c>
      <c r="X134" s="5">
        <v>300</v>
      </c>
      <c r="Y134" s="5">
        <v>3.5</v>
      </c>
      <c r="Z134" s="5">
        <v>3.5</v>
      </c>
      <c r="AA134" s="5">
        <v>300</v>
      </c>
      <c r="AB134" s="5">
        <v>300</v>
      </c>
      <c r="AC134" s="5">
        <v>0</v>
      </c>
      <c r="AD134" s="5">
        <v>76.241720000000001</v>
      </c>
      <c r="AE134" s="5">
        <v>0</v>
      </c>
      <c r="AF134" s="5">
        <v>83.852649999999997</v>
      </c>
      <c r="AG134" s="5">
        <v>43</v>
      </c>
      <c r="AH134" s="5">
        <v>0.23</v>
      </c>
      <c r="AI134" s="5">
        <v>42.03</v>
      </c>
      <c r="AJ134" s="5">
        <v>48.75</v>
      </c>
      <c r="AK134" s="5">
        <v>26.26</v>
      </c>
      <c r="AL134" s="5">
        <v>26.76</v>
      </c>
      <c r="AM134" s="5">
        <v>280.57</v>
      </c>
      <c r="AN134" s="5">
        <v>107.23480000000001</v>
      </c>
      <c r="AO134" s="5">
        <v>4.37</v>
      </c>
      <c r="AP134" s="5">
        <v>43.12</v>
      </c>
      <c r="AQ134" s="5">
        <v>12.86</v>
      </c>
      <c r="AR134" s="5">
        <v>334.38</v>
      </c>
      <c r="AS134" s="5">
        <v>21.89</v>
      </c>
      <c r="AT134" s="5">
        <v>40.64</v>
      </c>
      <c r="AU134" s="5">
        <v>94.61</v>
      </c>
      <c r="AV134" s="5">
        <v>111.65</v>
      </c>
      <c r="AW134" s="59">
        <v>0.16800000000000001</v>
      </c>
      <c r="AX134" s="5">
        <v>2.33</v>
      </c>
      <c r="AY134" s="5">
        <v>1.1169</v>
      </c>
      <c r="AZ134" s="5">
        <v>188.96</v>
      </c>
      <c r="BA134" s="5">
        <v>45.96</v>
      </c>
      <c r="BB134" s="5">
        <v>4.43</v>
      </c>
      <c r="BC134" s="5">
        <v>0.66</v>
      </c>
      <c r="BD134" s="5">
        <v>14.51</v>
      </c>
      <c r="BE134" s="5">
        <v>4.49</v>
      </c>
      <c r="BF134" s="5">
        <v>199.69</v>
      </c>
      <c r="BG134" s="5">
        <v>14.99</v>
      </c>
      <c r="BH134" s="5">
        <v>0.08</v>
      </c>
      <c r="BI134" s="5">
        <v>320.2</v>
      </c>
      <c r="BJ134" s="5">
        <v>49.4</v>
      </c>
      <c r="BK134" s="5">
        <v>86.3</v>
      </c>
      <c r="BL134" s="5">
        <v>58.97</v>
      </c>
      <c r="BM134" s="5">
        <v>1.2</v>
      </c>
      <c r="BN134" s="5">
        <v>29.58</v>
      </c>
      <c r="BO134" s="5">
        <v>33.01</v>
      </c>
      <c r="BP134" s="5">
        <v>341.13</v>
      </c>
      <c r="BQ134" s="5">
        <v>42.985889999999998</v>
      </c>
      <c r="BR134" s="5">
        <v>127.1173</v>
      </c>
      <c r="BS134" s="5">
        <v>149.76490000000001</v>
      </c>
      <c r="BT134" s="5">
        <v>126.79949999999999</v>
      </c>
      <c r="BU134" s="5">
        <v>124.3706</v>
      </c>
      <c r="BV134" s="5">
        <v>0</v>
      </c>
      <c r="BW134" s="5">
        <v>0</v>
      </c>
      <c r="BX134" s="5">
        <v>12.026719999999999</v>
      </c>
      <c r="BY134" s="5">
        <v>18.995360000000002</v>
      </c>
      <c r="BZ134" s="5">
        <v>0</v>
      </c>
      <c r="CA134" s="5">
        <v>0.93396000000000001</v>
      </c>
      <c r="CB134" s="5">
        <v>416.29230000000001</v>
      </c>
      <c r="CC134" s="5">
        <v>421.27</v>
      </c>
      <c r="CD134" s="5">
        <v>19.011089999999999</v>
      </c>
      <c r="CE134" s="5">
        <v>268.13</v>
      </c>
      <c r="CF134" s="5">
        <v>69.010000000000005</v>
      </c>
      <c r="CG134" s="5">
        <v>82.73</v>
      </c>
      <c r="CH134" s="5">
        <v>271.87</v>
      </c>
      <c r="CI134" s="5">
        <v>265.02999999999997</v>
      </c>
      <c r="CJ134" s="5">
        <v>271.70999999999998</v>
      </c>
      <c r="CK134" s="5">
        <v>271.72000000000003</v>
      </c>
      <c r="CL134" s="5">
        <v>273.25</v>
      </c>
      <c r="CM134" s="5">
        <v>276.16000000000003</v>
      </c>
      <c r="CN134" s="5">
        <v>245.78</v>
      </c>
      <c r="CO134" s="5">
        <v>23.36</v>
      </c>
      <c r="CP134" s="5">
        <v>111.6</v>
      </c>
      <c r="CQ134" s="5">
        <v>112.05</v>
      </c>
      <c r="CR134" s="5">
        <v>2</v>
      </c>
      <c r="CS134" s="5">
        <v>2</v>
      </c>
      <c r="CT134" s="5">
        <v>21.46</v>
      </c>
      <c r="CU134" s="5">
        <v>23.23</v>
      </c>
      <c r="CV134" s="5">
        <v>101.81</v>
      </c>
      <c r="CW134" s="5">
        <v>0.85559128500000003</v>
      </c>
      <c r="CX134" s="5">
        <v>3.8416048690000002</v>
      </c>
    </row>
    <row r="135" spans="1:102" x14ac:dyDescent="0.25">
      <c r="A135" s="5">
        <v>23</v>
      </c>
      <c r="B135" s="23">
        <v>2.0539351851851854E-2</v>
      </c>
      <c r="C135" s="5">
        <v>5</v>
      </c>
      <c r="D135" s="5">
        <v>22</v>
      </c>
      <c r="E135" s="5">
        <v>124</v>
      </c>
      <c r="F135" s="5">
        <v>124</v>
      </c>
      <c r="G135" s="5">
        <v>124</v>
      </c>
      <c r="H135" s="5">
        <v>91.7</v>
      </c>
      <c r="I135" s="5">
        <v>91.7</v>
      </c>
      <c r="J135" s="5">
        <v>1800</v>
      </c>
      <c r="K135" s="5">
        <v>37</v>
      </c>
      <c r="L135" s="5">
        <v>37</v>
      </c>
      <c r="M135" s="5">
        <v>0.12</v>
      </c>
      <c r="N135" s="5">
        <v>0.120016</v>
      </c>
      <c r="O135" s="5">
        <v>1</v>
      </c>
      <c r="P135" s="5">
        <v>1.068899</v>
      </c>
      <c r="Q135" s="5">
        <v>-0.94</v>
      </c>
      <c r="R135" s="5">
        <v>-0.944824</v>
      </c>
      <c r="S135" s="5">
        <v>115.33</v>
      </c>
      <c r="T135" s="5">
        <v>115.32810000000001</v>
      </c>
      <c r="U135" s="5">
        <v>3.5</v>
      </c>
      <c r="V135" s="5">
        <v>3.5</v>
      </c>
      <c r="W135" s="5">
        <v>300</v>
      </c>
      <c r="X135" s="5">
        <v>300</v>
      </c>
      <c r="Y135" s="5">
        <v>3.5</v>
      </c>
      <c r="Z135" s="5">
        <v>3.5</v>
      </c>
      <c r="AA135" s="5">
        <v>300</v>
      </c>
      <c r="AB135" s="5">
        <v>300</v>
      </c>
      <c r="AC135" s="5">
        <v>0</v>
      </c>
      <c r="AD135" s="5">
        <v>82.952870000000004</v>
      </c>
      <c r="AE135" s="5">
        <v>0</v>
      </c>
      <c r="AF135" s="5">
        <v>91.233490000000003</v>
      </c>
      <c r="AG135" s="5">
        <v>43</v>
      </c>
      <c r="AH135" s="5">
        <v>0.23</v>
      </c>
      <c r="AI135" s="5">
        <v>47.36</v>
      </c>
      <c r="AJ135" s="5">
        <v>63.72</v>
      </c>
      <c r="AK135" s="5">
        <v>50.29</v>
      </c>
      <c r="AL135" s="5">
        <v>51.15</v>
      </c>
      <c r="AM135" s="5">
        <v>290.68</v>
      </c>
      <c r="AN135" s="5">
        <v>122.738</v>
      </c>
      <c r="AO135" s="5">
        <v>20.79</v>
      </c>
      <c r="AP135" s="5">
        <v>59.87</v>
      </c>
      <c r="AQ135" s="5">
        <v>30.78</v>
      </c>
      <c r="AR135" s="5">
        <v>385.35</v>
      </c>
      <c r="AS135" s="5">
        <v>29.49</v>
      </c>
      <c r="AT135" s="5">
        <v>57.6</v>
      </c>
      <c r="AU135" s="5">
        <v>94.77</v>
      </c>
      <c r="AV135" s="5">
        <v>117.58</v>
      </c>
      <c r="AW135" s="5">
        <v>0.17899999999999999</v>
      </c>
      <c r="AX135" s="5">
        <v>2.48</v>
      </c>
      <c r="AY135" s="5">
        <v>1.3062</v>
      </c>
      <c r="AZ135" s="5">
        <v>115.08</v>
      </c>
      <c r="BA135" s="5">
        <v>34.909999999999997</v>
      </c>
      <c r="BB135" s="5">
        <v>4.3</v>
      </c>
      <c r="BC135" s="5">
        <v>0.57999999999999996</v>
      </c>
      <c r="BD135" s="5">
        <v>14.72</v>
      </c>
      <c r="BE135" s="5">
        <v>5.57</v>
      </c>
      <c r="BF135" s="5">
        <v>236.61</v>
      </c>
      <c r="BG135" s="5">
        <v>13.57</v>
      </c>
      <c r="BH135" s="5">
        <v>0.09</v>
      </c>
      <c r="BI135" s="5">
        <v>317.39999999999998</v>
      </c>
      <c r="BJ135" s="5">
        <v>51.9</v>
      </c>
      <c r="BK135" s="5">
        <v>89.5</v>
      </c>
      <c r="BL135" s="5">
        <v>60.48</v>
      </c>
      <c r="BM135" s="5">
        <v>1.31</v>
      </c>
      <c r="BN135" s="5">
        <v>29.49</v>
      </c>
      <c r="BO135" s="5">
        <v>32.83</v>
      </c>
      <c r="BP135" s="5">
        <v>392.54</v>
      </c>
      <c r="BQ135" s="5">
        <v>58.888489999999997</v>
      </c>
      <c r="BR135" s="5">
        <v>151.815</v>
      </c>
      <c r="BS135" s="5">
        <v>137.08320000000001</v>
      </c>
      <c r="BT135" s="5">
        <v>121.11579999999999</v>
      </c>
      <c r="BU135" s="5">
        <v>118.92870000000001</v>
      </c>
      <c r="BV135" s="5">
        <v>0</v>
      </c>
      <c r="BW135" s="5">
        <v>0</v>
      </c>
      <c r="BX135" s="5">
        <v>14.671559999999999</v>
      </c>
      <c r="BY135" s="5">
        <v>18.995360000000002</v>
      </c>
      <c r="BZ135" s="5">
        <v>0</v>
      </c>
      <c r="CA135" s="5">
        <v>0.93506100000000003</v>
      </c>
      <c r="CB135" s="5">
        <v>454.20370000000003</v>
      </c>
      <c r="CC135" s="5">
        <v>459.85640000000001</v>
      </c>
      <c r="CD135" s="5">
        <v>21.671559999999999</v>
      </c>
      <c r="CE135" s="5">
        <v>279.97000000000003</v>
      </c>
      <c r="CF135" s="5">
        <v>75.790000000000006</v>
      </c>
      <c r="CG135" s="5">
        <v>87.38</v>
      </c>
      <c r="CH135" s="5">
        <v>277.57</v>
      </c>
      <c r="CI135" s="5">
        <v>273.89999999999998</v>
      </c>
      <c r="CJ135" s="5">
        <v>279.66000000000003</v>
      </c>
      <c r="CK135" s="5">
        <v>286.74</v>
      </c>
      <c r="CL135" s="5">
        <v>288.47000000000003</v>
      </c>
      <c r="CM135" s="5">
        <v>290.04000000000002</v>
      </c>
      <c r="CN135" s="5">
        <v>240.94</v>
      </c>
      <c r="CO135" s="5">
        <v>23.82</v>
      </c>
      <c r="CP135" s="5">
        <v>123.6</v>
      </c>
      <c r="CQ135" s="5">
        <v>124.05</v>
      </c>
      <c r="CR135" s="5">
        <v>2.2000000000000002</v>
      </c>
      <c r="CS135" s="5">
        <v>2.2000000000000002</v>
      </c>
      <c r="CT135" s="5">
        <v>21.83</v>
      </c>
      <c r="CU135" s="5">
        <v>21.96</v>
      </c>
      <c r="CV135" s="5">
        <v>101.79</v>
      </c>
      <c r="CW135" s="5">
        <v>0.85599518299999999</v>
      </c>
      <c r="CX135" s="5">
        <v>4.7678931670000004</v>
      </c>
    </row>
    <row r="136" spans="1:102" x14ac:dyDescent="0.25">
      <c r="A136" s="5">
        <v>19</v>
      </c>
      <c r="B136" s="23">
        <v>4.0513888888888891E-2</v>
      </c>
      <c r="C136" s="5">
        <v>5</v>
      </c>
      <c r="D136" s="5">
        <v>18</v>
      </c>
      <c r="E136" s="5">
        <v>110</v>
      </c>
      <c r="F136" s="5">
        <v>110</v>
      </c>
      <c r="G136" s="5">
        <v>110</v>
      </c>
      <c r="H136" s="5">
        <v>91.7</v>
      </c>
      <c r="I136" s="5">
        <v>91.7</v>
      </c>
      <c r="J136" s="5">
        <v>1800</v>
      </c>
      <c r="K136" s="5">
        <v>1</v>
      </c>
      <c r="L136" s="5">
        <v>1</v>
      </c>
      <c r="M136" s="5">
        <v>0.28999999999999998</v>
      </c>
      <c r="N136" s="5">
        <v>0.28997699999999998</v>
      </c>
      <c r="O136" s="5">
        <v>1</v>
      </c>
      <c r="P136" s="5">
        <v>1.0689409999999999</v>
      </c>
      <c r="Q136" s="5">
        <v>-0.73</v>
      </c>
      <c r="R136" s="5">
        <v>-0.72509800000000002</v>
      </c>
      <c r="S136" s="5">
        <v>115.17</v>
      </c>
      <c r="T136" s="5">
        <v>115.17189999999999</v>
      </c>
      <c r="U136" s="5">
        <v>3.5</v>
      </c>
      <c r="V136" s="5">
        <v>3.5</v>
      </c>
      <c r="W136" s="5">
        <v>300</v>
      </c>
      <c r="X136" s="5">
        <v>300</v>
      </c>
      <c r="Y136" s="5">
        <v>3.5</v>
      </c>
      <c r="Z136" s="5">
        <v>3.5</v>
      </c>
      <c r="AA136" s="5">
        <v>300</v>
      </c>
      <c r="AB136" s="5">
        <v>300</v>
      </c>
      <c r="AC136" s="5">
        <v>0</v>
      </c>
      <c r="AD136" s="5">
        <v>72.036720000000003</v>
      </c>
      <c r="AE136" s="5">
        <v>0</v>
      </c>
      <c r="AF136" s="5">
        <v>79.226410000000001</v>
      </c>
      <c r="AG136" s="5">
        <v>43</v>
      </c>
      <c r="AH136" s="5">
        <v>0.23</v>
      </c>
      <c r="AI136" s="5">
        <v>40.200000000000003</v>
      </c>
      <c r="AJ136" s="5">
        <v>41</v>
      </c>
      <c r="AK136" s="5">
        <v>18.760000000000002</v>
      </c>
      <c r="AL136" s="5">
        <v>18.59</v>
      </c>
      <c r="AM136" s="5">
        <v>285.05</v>
      </c>
      <c r="AN136" s="5">
        <v>102.9444</v>
      </c>
      <c r="AO136" s="5">
        <v>0.44</v>
      </c>
      <c r="AP136" s="5">
        <v>39.340000000000003</v>
      </c>
      <c r="AQ136" s="5">
        <v>7.88</v>
      </c>
      <c r="AR136" s="5">
        <v>285.60000000000002</v>
      </c>
      <c r="AS136" s="5">
        <v>18.309999999999999</v>
      </c>
      <c r="AT136" s="5">
        <v>46.13</v>
      </c>
      <c r="AU136" s="5">
        <v>96.73</v>
      </c>
      <c r="AV136" s="5">
        <v>118.01</v>
      </c>
      <c r="AW136" s="5">
        <v>0.214</v>
      </c>
      <c r="AX136" s="5">
        <v>3</v>
      </c>
      <c r="AY136" s="5">
        <v>1.4517</v>
      </c>
      <c r="AZ136" s="5">
        <v>234.53</v>
      </c>
      <c r="BA136" s="5">
        <v>51.73</v>
      </c>
      <c r="BB136" s="5">
        <v>4.9400000000000004</v>
      </c>
      <c r="BC136" s="5">
        <v>1.06</v>
      </c>
      <c r="BD136" s="5">
        <v>13.81</v>
      </c>
      <c r="BE136" s="5">
        <v>3.22</v>
      </c>
      <c r="BF136" s="5">
        <v>166.97</v>
      </c>
      <c r="BG136" s="5">
        <v>21.44</v>
      </c>
      <c r="BH136" s="5">
        <v>0.1</v>
      </c>
      <c r="BI136" s="5">
        <v>320</v>
      </c>
      <c r="BJ136" s="5">
        <v>43</v>
      </c>
      <c r="BK136" s="5">
        <v>83.2</v>
      </c>
      <c r="BL136" s="5">
        <v>77.98</v>
      </c>
      <c r="BM136" s="5">
        <v>1.1499999999999999</v>
      </c>
      <c r="BN136" s="5">
        <v>29.96</v>
      </c>
      <c r="BO136" s="5">
        <v>33.6</v>
      </c>
      <c r="BP136" s="5">
        <v>292.33</v>
      </c>
      <c r="BQ136" s="5">
        <v>47.875990000000002</v>
      </c>
      <c r="BR136" s="5">
        <v>117.28870000000001</v>
      </c>
      <c r="BS136" s="5">
        <v>151.57060000000001</v>
      </c>
      <c r="BT136" s="5">
        <v>122.11799999999999</v>
      </c>
      <c r="BU136" s="5">
        <v>120.1709</v>
      </c>
      <c r="BV136" s="5">
        <v>0</v>
      </c>
      <c r="BW136" s="5">
        <v>0</v>
      </c>
      <c r="BX136" s="5">
        <v>11.60688</v>
      </c>
      <c r="BY136" s="5">
        <v>18.995360000000002</v>
      </c>
      <c r="BZ136" s="5">
        <v>0</v>
      </c>
      <c r="CA136" s="5">
        <v>0.93350500000000003</v>
      </c>
      <c r="CB136" s="5">
        <v>393.38709999999998</v>
      </c>
      <c r="CC136" s="5">
        <v>398.24169999999998</v>
      </c>
      <c r="CD136" s="5">
        <v>18.601040000000001</v>
      </c>
      <c r="CE136" s="5">
        <v>277.92</v>
      </c>
      <c r="CF136" s="5">
        <v>74.23</v>
      </c>
      <c r="CG136" s="5">
        <v>88.3</v>
      </c>
      <c r="CH136" s="5">
        <v>272.18</v>
      </c>
      <c r="CI136" s="5">
        <v>268.98</v>
      </c>
      <c r="CJ136" s="5">
        <v>275.72000000000003</v>
      </c>
      <c r="CK136" s="5">
        <v>274.99</v>
      </c>
      <c r="CL136" s="5">
        <v>278.33999999999997</v>
      </c>
      <c r="CM136" s="5">
        <v>279.68</v>
      </c>
      <c r="CN136" s="5">
        <v>254.03</v>
      </c>
      <c r="CO136" s="5">
        <v>23.18</v>
      </c>
      <c r="CP136" s="5">
        <v>109.6</v>
      </c>
      <c r="CQ136" s="5">
        <v>110.05</v>
      </c>
      <c r="CR136" s="5">
        <v>2</v>
      </c>
      <c r="CS136" s="5">
        <v>2</v>
      </c>
      <c r="CT136" s="5">
        <v>21.32</v>
      </c>
      <c r="CU136" s="5">
        <v>22.94</v>
      </c>
      <c r="CV136" s="5">
        <v>101.81</v>
      </c>
      <c r="CW136" s="5">
        <v>0.84912929299999995</v>
      </c>
      <c r="CX136" s="5">
        <v>2.734196324</v>
      </c>
    </row>
    <row r="137" spans="1:102" x14ac:dyDescent="0.25">
      <c r="A137" s="5">
        <v>30</v>
      </c>
      <c r="B137" s="23">
        <v>1.9714120370370371E-2</v>
      </c>
      <c r="C137" s="5">
        <v>5</v>
      </c>
      <c r="D137" s="5">
        <v>28</v>
      </c>
      <c r="E137" s="5">
        <v>143</v>
      </c>
      <c r="F137" s="5">
        <v>143</v>
      </c>
      <c r="G137" s="5">
        <v>143</v>
      </c>
      <c r="H137" s="5">
        <v>91.7</v>
      </c>
      <c r="I137" s="5">
        <v>91.7</v>
      </c>
      <c r="J137" s="5">
        <v>1800</v>
      </c>
      <c r="K137" s="5">
        <v>52</v>
      </c>
      <c r="L137" s="5">
        <v>52</v>
      </c>
      <c r="M137" s="5">
        <v>0.13</v>
      </c>
      <c r="N137" s="5">
        <v>0.12998399999999999</v>
      </c>
      <c r="O137" s="5">
        <v>1</v>
      </c>
      <c r="P137" s="5">
        <v>1.0688880000000001</v>
      </c>
      <c r="Q137" s="5">
        <v>-1.23</v>
      </c>
      <c r="R137" s="5">
        <v>-1.230469</v>
      </c>
      <c r="S137" s="5">
        <v>115.55</v>
      </c>
      <c r="T137" s="5">
        <v>115.54689999999999</v>
      </c>
      <c r="U137" s="5">
        <v>3.5</v>
      </c>
      <c r="V137" s="5">
        <v>3.5</v>
      </c>
      <c r="W137" s="5">
        <v>300</v>
      </c>
      <c r="X137" s="5">
        <v>300</v>
      </c>
      <c r="Y137" s="5">
        <v>3.5</v>
      </c>
      <c r="Z137" s="5">
        <v>3.5</v>
      </c>
      <c r="AA137" s="5">
        <v>300</v>
      </c>
      <c r="AB137" s="5">
        <v>300</v>
      </c>
      <c r="AC137" s="5">
        <v>0</v>
      </c>
      <c r="AD137" s="5">
        <v>97.472549999999998</v>
      </c>
      <c r="AE137" s="5">
        <v>0</v>
      </c>
      <c r="AF137" s="5">
        <v>107.2059</v>
      </c>
      <c r="AG137" s="5">
        <v>43</v>
      </c>
      <c r="AH137" s="5">
        <v>0.23</v>
      </c>
      <c r="AI137" s="5">
        <v>54.43</v>
      </c>
      <c r="AJ137" s="5">
        <v>76.69</v>
      </c>
      <c r="AK137" s="5">
        <v>85.62</v>
      </c>
      <c r="AL137" s="5">
        <v>86.36</v>
      </c>
      <c r="AM137" s="5">
        <v>297.64</v>
      </c>
      <c r="AN137" s="5">
        <v>142.65809999999999</v>
      </c>
      <c r="AO137" s="5">
        <v>40.14</v>
      </c>
      <c r="AP137" s="5">
        <v>76.05</v>
      </c>
      <c r="AQ137" s="5">
        <v>51.09</v>
      </c>
      <c r="AR137" s="5">
        <v>425.91</v>
      </c>
      <c r="AS137" s="5">
        <v>45.47</v>
      </c>
      <c r="AT137" s="5">
        <v>52.17</v>
      </c>
      <c r="AU137" s="5">
        <v>97.15</v>
      </c>
      <c r="AV137" s="5">
        <v>117.01</v>
      </c>
      <c r="AW137" s="59">
        <v>0.22</v>
      </c>
      <c r="AX137" s="5">
        <v>3.09</v>
      </c>
      <c r="AY137" s="5">
        <v>2.0154000000000001</v>
      </c>
      <c r="AZ137" s="5">
        <v>109.33</v>
      </c>
      <c r="BA137" s="5">
        <v>4.17</v>
      </c>
      <c r="BB137" s="5">
        <v>4.3099999999999996</v>
      </c>
      <c r="BC137" s="5">
        <v>0.7</v>
      </c>
      <c r="BD137" s="5">
        <v>14.67</v>
      </c>
      <c r="BE137" s="5">
        <v>4.7</v>
      </c>
      <c r="BF137" s="5">
        <v>208.81</v>
      </c>
      <c r="BG137" s="5">
        <v>16.34</v>
      </c>
      <c r="BH137" s="5">
        <v>0.14000000000000001</v>
      </c>
      <c r="BI137" s="5">
        <v>311</v>
      </c>
      <c r="BJ137" s="5">
        <v>50.8</v>
      </c>
      <c r="BK137" s="5">
        <v>86.5</v>
      </c>
      <c r="BL137" s="5">
        <v>83.22</v>
      </c>
      <c r="BM137" s="5">
        <v>1.55</v>
      </c>
      <c r="BN137" s="5">
        <v>29.61</v>
      </c>
      <c r="BO137" s="5">
        <v>32.909999999999997</v>
      </c>
      <c r="BP137" s="5">
        <v>434.55</v>
      </c>
      <c r="BQ137" s="5">
        <v>53.574629999999999</v>
      </c>
      <c r="BR137" s="5">
        <v>186.71899999999999</v>
      </c>
      <c r="BS137" s="5">
        <v>116.5348</v>
      </c>
      <c r="BT137" s="5">
        <v>118.8567</v>
      </c>
      <c r="BU137" s="5">
        <v>116.7422</v>
      </c>
      <c r="BV137" s="5">
        <v>0</v>
      </c>
      <c r="BW137" s="5">
        <v>0</v>
      </c>
      <c r="BX137" s="5">
        <v>19.079219999999999</v>
      </c>
      <c r="BY137" s="5">
        <v>18.995360000000002</v>
      </c>
      <c r="BZ137" s="5">
        <v>0</v>
      </c>
      <c r="CA137" s="5">
        <v>0.93506</v>
      </c>
      <c r="CB137" s="5">
        <v>536.53459999999995</v>
      </c>
      <c r="CC137" s="5">
        <v>543.39610000000005</v>
      </c>
      <c r="CD137" s="5">
        <v>26.08109</v>
      </c>
      <c r="CE137" s="5">
        <v>283.02999999999997</v>
      </c>
      <c r="CF137" s="5">
        <v>74.38</v>
      </c>
      <c r="CG137" s="5">
        <v>88.01</v>
      </c>
      <c r="CH137" s="5">
        <v>286.05</v>
      </c>
      <c r="CI137" s="5">
        <v>276.7</v>
      </c>
      <c r="CJ137" s="5">
        <v>283.77</v>
      </c>
      <c r="CK137" s="5">
        <v>293.45999999999998</v>
      </c>
      <c r="CL137" s="5">
        <v>291.62</v>
      </c>
      <c r="CM137" s="5">
        <v>290.91000000000003</v>
      </c>
      <c r="CN137" s="5">
        <v>229.96</v>
      </c>
      <c r="CO137" s="5">
        <v>24.04</v>
      </c>
      <c r="CP137" s="5">
        <v>142.6</v>
      </c>
      <c r="CQ137" s="5">
        <v>143.05000000000001</v>
      </c>
      <c r="CR137" s="5">
        <v>2.6</v>
      </c>
      <c r="CS137" s="5">
        <v>2.6</v>
      </c>
      <c r="CT137" s="5">
        <v>22.19</v>
      </c>
      <c r="CU137" s="5">
        <v>20.170000000000002</v>
      </c>
      <c r="CV137" s="5">
        <v>101.78</v>
      </c>
      <c r="CW137" s="5">
        <v>0.85306205099999999</v>
      </c>
      <c r="CX137" s="5">
        <v>4.0093916380000003</v>
      </c>
    </row>
    <row r="138" spans="1:102" x14ac:dyDescent="0.25">
      <c r="A138" s="5">
        <v>31</v>
      </c>
      <c r="B138" s="23">
        <v>2.513773148148148E-2</v>
      </c>
      <c r="C138" s="5">
        <v>5</v>
      </c>
      <c r="D138" s="5">
        <v>29</v>
      </c>
      <c r="E138" s="5">
        <v>147</v>
      </c>
      <c r="F138" s="5">
        <v>147</v>
      </c>
      <c r="G138" s="5">
        <v>147</v>
      </c>
      <c r="H138" s="5">
        <v>91.7</v>
      </c>
      <c r="I138" s="5">
        <v>91.7</v>
      </c>
      <c r="J138" s="5">
        <v>1800</v>
      </c>
      <c r="K138" s="5">
        <v>13</v>
      </c>
      <c r="L138" s="5">
        <v>13</v>
      </c>
      <c r="M138" s="5">
        <v>0.09</v>
      </c>
      <c r="N138" s="5">
        <v>9.0053999999999995E-2</v>
      </c>
      <c r="O138" s="5">
        <v>1</v>
      </c>
      <c r="P138" s="5">
        <v>1.0689059999999999</v>
      </c>
      <c r="Q138" s="5">
        <v>-1.29</v>
      </c>
      <c r="R138" s="5">
        <v>-1.2854000000000001</v>
      </c>
      <c r="S138" s="5">
        <v>115.6</v>
      </c>
      <c r="T138" s="5">
        <v>115.5938</v>
      </c>
      <c r="U138" s="5">
        <v>3.5</v>
      </c>
      <c r="V138" s="5">
        <v>3.5</v>
      </c>
      <c r="W138" s="5">
        <v>300</v>
      </c>
      <c r="X138" s="5">
        <v>300</v>
      </c>
      <c r="Y138" s="5">
        <v>3.5</v>
      </c>
      <c r="Z138" s="5">
        <v>3.5</v>
      </c>
      <c r="AA138" s="5">
        <v>300</v>
      </c>
      <c r="AB138" s="5">
        <v>300</v>
      </c>
      <c r="AC138" s="5">
        <v>0</v>
      </c>
      <c r="AD138" s="5">
        <v>77.368179999999995</v>
      </c>
      <c r="AE138" s="5">
        <v>0</v>
      </c>
      <c r="AF138" s="5">
        <v>85.09151</v>
      </c>
      <c r="AG138" s="5">
        <v>43</v>
      </c>
      <c r="AH138" s="5">
        <v>0.23</v>
      </c>
      <c r="AI138" s="5">
        <v>43.37</v>
      </c>
      <c r="AJ138" s="5">
        <v>55.83</v>
      </c>
      <c r="AK138" s="5">
        <v>33.71</v>
      </c>
      <c r="AL138" s="5">
        <v>34.89</v>
      </c>
      <c r="AM138" s="5">
        <v>318.89</v>
      </c>
      <c r="AN138" s="5">
        <v>111.5723</v>
      </c>
      <c r="AO138" s="5">
        <v>9.0399999999999991</v>
      </c>
      <c r="AP138" s="5">
        <v>50.7</v>
      </c>
      <c r="AQ138" s="5">
        <v>18.75</v>
      </c>
      <c r="AR138" s="5">
        <v>368.38</v>
      </c>
      <c r="AS138" s="5">
        <v>24.66</v>
      </c>
      <c r="AT138" s="5">
        <v>48.99</v>
      </c>
      <c r="AU138" s="5">
        <v>93.67</v>
      </c>
      <c r="AV138" s="5">
        <v>112.78</v>
      </c>
      <c r="AW138" s="5">
        <v>0.223</v>
      </c>
      <c r="AX138" s="5">
        <v>3.14</v>
      </c>
      <c r="AY138" s="5">
        <v>1.8438000000000001</v>
      </c>
      <c r="AZ138" s="5">
        <v>146.58000000000001</v>
      </c>
      <c r="BA138" s="5">
        <v>4.3</v>
      </c>
      <c r="BB138" s="5">
        <v>4.79</v>
      </c>
      <c r="BC138" s="5">
        <v>0.44</v>
      </c>
      <c r="BD138" s="5">
        <v>14.02</v>
      </c>
      <c r="BE138" s="5">
        <v>5.15</v>
      </c>
      <c r="BF138" s="5">
        <v>274.79000000000002</v>
      </c>
      <c r="BG138" s="5">
        <v>9.27</v>
      </c>
      <c r="BH138" s="5">
        <v>0.13</v>
      </c>
      <c r="BI138" s="5">
        <v>291.39999999999998</v>
      </c>
      <c r="BJ138" s="5">
        <v>45.6</v>
      </c>
      <c r="BK138" s="5">
        <v>88.2</v>
      </c>
      <c r="BL138" s="5">
        <v>37.659999999999997</v>
      </c>
      <c r="BM138" s="5">
        <v>1.22</v>
      </c>
      <c r="BN138" s="5">
        <v>29.38</v>
      </c>
      <c r="BO138" s="5">
        <v>33.35</v>
      </c>
      <c r="BP138" s="5">
        <v>376.53</v>
      </c>
      <c r="BQ138" s="5">
        <v>51.04589</v>
      </c>
      <c r="BR138" s="5">
        <v>136.60589999999999</v>
      </c>
      <c r="BS138" s="5">
        <v>119.12130000000001</v>
      </c>
      <c r="BT138" s="5">
        <v>96.226900000000001</v>
      </c>
      <c r="BU138" s="5">
        <v>94.656899999999993</v>
      </c>
      <c r="BV138" s="5">
        <v>0</v>
      </c>
      <c r="BW138" s="5">
        <v>0</v>
      </c>
      <c r="BX138" s="5">
        <v>18.356200000000001</v>
      </c>
      <c r="BY138" s="5">
        <v>18.995360000000002</v>
      </c>
      <c r="BZ138" s="5">
        <v>0</v>
      </c>
      <c r="CA138" s="5">
        <v>0.93506</v>
      </c>
      <c r="CB138" s="5">
        <v>422.9006</v>
      </c>
      <c r="CC138" s="5">
        <v>429.53710000000001</v>
      </c>
      <c r="CD138" s="5">
        <v>25.356200000000001</v>
      </c>
      <c r="CE138" s="5">
        <v>293.25</v>
      </c>
      <c r="CF138" s="5">
        <v>69.5</v>
      </c>
      <c r="CG138" s="5">
        <v>82.77</v>
      </c>
      <c r="CH138" s="5">
        <v>298.56</v>
      </c>
      <c r="CI138" s="5">
        <v>294.42</v>
      </c>
      <c r="CJ138" s="5">
        <v>304.43</v>
      </c>
      <c r="CK138" s="5">
        <v>316.92</v>
      </c>
      <c r="CL138" s="5">
        <v>312.64999999999998</v>
      </c>
      <c r="CM138" s="5">
        <v>317.33999999999997</v>
      </c>
      <c r="CN138" s="5">
        <v>277.5</v>
      </c>
      <c r="CO138" s="5">
        <v>24.36</v>
      </c>
      <c r="CP138" s="5">
        <v>146.6</v>
      </c>
      <c r="CQ138" s="5">
        <v>147.05000000000001</v>
      </c>
      <c r="CR138" s="5">
        <v>2.6</v>
      </c>
      <c r="CS138" s="5">
        <v>2.6</v>
      </c>
      <c r="CT138" s="5">
        <v>22.47</v>
      </c>
      <c r="CU138" s="5">
        <v>20.45</v>
      </c>
      <c r="CV138" s="5">
        <v>101.77</v>
      </c>
      <c r="CW138" s="5">
        <v>0.85090254499999995</v>
      </c>
      <c r="CX138" s="5">
        <v>4.3821481069999999</v>
      </c>
    </row>
    <row r="139" spans="1:102" x14ac:dyDescent="0.25">
      <c r="A139" s="5">
        <v>21</v>
      </c>
      <c r="B139" s="23">
        <v>9.6921296296296304E-3</v>
      </c>
      <c r="C139" s="5">
        <v>5</v>
      </c>
      <c r="D139" s="5">
        <v>20</v>
      </c>
      <c r="E139" s="5">
        <v>114</v>
      </c>
      <c r="F139" s="5">
        <v>114</v>
      </c>
      <c r="G139" s="5">
        <v>114</v>
      </c>
      <c r="H139" s="5">
        <v>91.7</v>
      </c>
      <c r="I139" s="5">
        <v>91.7</v>
      </c>
      <c r="J139" s="5">
        <v>1800</v>
      </c>
      <c r="K139" s="5">
        <v>46</v>
      </c>
      <c r="L139" s="5">
        <v>46</v>
      </c>
      <c r="M139" s="5">
        <v>0.27</v>
      </c>
      <c r="N139" s="5">
        <v>0.27000999999999997</v>
      </c>
      <c r="O139" s="5">
        <v>1</v>
      </c>
      <c r="P139" s="5">
        <v>1.0689109999999999</v>
      </c>
      <c r="Q139" s="5">
        <v>-0.79</v>
      </c>
      <c r="R139" s="5">
        <v>-0.79101600000000005</v>
      </c>
      <c r="S139" s="5">
        <v>115.22</v>
      </c>
      <c r="T139" s="5">
        <v>115.2188</v>
      </c>
      <c r="U139" s="5">
        <v>3.5</v>
      </c>
      <c r="V139" s="5">
        <v>3.5</v>
      </c>
      <c r="W139" s="5">
        <v>300</v>
      </c>
      <c r="X139" s="5">
        <v>300</v>
      </c>
      <c r="Y139" s="5">
        <v>3.5</v>
      </c>
      <c r="Z139" s="5">
        <v>3.5</v>
      </c>
      <c r="AA139" s="5">
        <v>300</v>
      </c>
      <c r="AB139" s="5">
        <v>300</v>
      </c>
      <c r="AC139" s="5">
        <v>0</v>
      </c>
      <c r="AD139" s="5">
        <v>84.556200000000004</v>
      </c>
      <c r="AE139" s="5">
        <v>0</v>
      </c>
      <c r="AF139" s="5">
        <v>92.997339999999994</v>
      </c>
      <c r="AG139" s="5">
        <v>43</v>
      </c>
      <c r="AH139" s="5">
        <v>0.23</v>
      </c>
      <c r="AI139" s="5">
        <v>47.27</v>
      </c>
      <c r="AJ139" s="5">
        <v>58.98</v>
      </c>
      <c r="AK139" s="5">
        <v>46.93</v>
      </c>
      <c r="AL139" s="5">
        <v>46.56</v>
      </c>
      <c r="AM139" s="5">
        <v>276.58</v>
      </c>
      <c r="AN139" s="5">
        <v>122.0231</v>
      </c>
      <c r="AO139" s="5">
        <v>19.43</v>
      </c>
      <c r="AP139" s="5">
        <v>55.5</v>
      </c>
      <c r="AQ139" s="5">
        <v>27.69</v>
      </c>
      <c r="AR139" s="5">
        <v>329.73</v>
      </c>
      <c r="AS139" s="5">
        <v>27.5</v>
      </c>
      <c r="AT139" s="5">
        <v>49.54</v>
      </c>
      <c r="AU139" s="5">
        <v>99.19</v>
      </c>
      <c r="AV139" s="5">
        <v>115.37</v>
      </c>
      <c r="AW139" s="5">
        <v>0.23499999999999999</v>
      </c>
      <c r="AX139" s="5">
        <v>3.32</v>
      </c>
      <c r="AY139" s="5">
        <v>1.6316999999999999</v>
      </c>
      <c r="AZ139" s="5">
        <v>176.76</v>
      </c>
      <c r="BA139" s="5">
        <v>43.26</v>
      </c>
      <c r="BB139" s="5">
        <v>4.67</v>
      </c>
      <c r="BC139" s="5">
        <v>1.1399999999999999</v>
      </c>
      <c r="BD139" s="5">
        <v>14.19</v>
      </c>
      <c r="BE139" s="5">
        <v>3.33</v>
      </c>
      <c r="BF139" s="5">
        <v>153.72</v>
      </c>
      <c r="BG139" s="5">
        <v>24.29</v>
      </c>
      <c r="BH139" s="5">
        <v>0.12</v>
      </c>
      <c r="BI139" s="5">
        <v>326.2</v>
      </c>
      <c r="BJ139" s="5">
        <v>47</v>
      </c>
      <c r="BK139" s="5">
        <v>84.8</v>
      </c>
      <c r="BL139" s="5">
        <v>105.79</v>
      </c>
      <c r="BM139" s="5">
        <v>1.36</v>
      </c>
      <c r="BN139" s="5">
        <v>30</v>
      </c>
      <c r="BO139" s="5">
        <v>33.22</v>
      </c>
      <c r="BP139" s="5">
        <v>336.73</v>
      </c>
      <c r="BQ139" s="5">
        <v>50.477290000000004</v>
      </c>
      <c r="BR139" s="5">
        <v>144.4991</v>
      </c>
      <c r="BS139" s="5">
        <v>146.12719999999999</v>
      </c>
      <c r="BT139" s="5">
        <v>135.17150000000001</v>
      </c>
      <c r="BU139" s="5">
        <v>132.488</v>
      </c>
      <c r="BV139" s="5">
        <v>0</v>
      </c>
      <c r="BW139" s="5">
        <v>0</v>
      </c>
      <c r="BX139" s="5">
        <v>12.857290000000001</v>
      </c>
      <c r="BY139" s="5">
        <v>18.995360000000002</v>
      </c>
      <c r="BZ139" s="5">
        <v>0</v>
      </c>
      <c r="CA139" s="5">
        <v>0.93486899999999995</v>
      </c>
      <c r="CB139" s="5">
        <v>463.17750000000001</v>
      </c>
      <c r="CC139" s="5">
        <v>468.36079999999998</v>
      </c>
      <c r="CD139" s="5">
        <v>19.858280000000001</v>
      </c>
      <c r="CE139" s="5">
        <v>269.57</v>
      </c>
      <c r="CF139" s="5">
        <v>76.040000000000006</v>
      </c>
      <c r="CG139" s="5">
        <v>90.81</v>
      </c>
      <c r="CH139" s="5">
        <v>267.72000000000003</v>
      </c>
      <c r="CI139" s="5">
        <v>261.07</v>
      </c>
      <c r="CJ139" s="5">
        <v>266.08</v>
      </c>
      <c r="CK139" s="5">
        <v>273.52999999999997</v>
      </c>
      <c r="CL139" s="5">
        <v>270.18</v>
      </c>
      <c r="CM139" s="5">
        <v>272.25</v>
      </c>
      <c r="CN139" s="5">
        <v>228.47</v>
      </c>
      <c r="CO139" s="5">
        <v>23.23</v>
      </c>
      <c r="CP139" s="5">
        <v>113.6</v>
      </c>
      <c r="CQ139" s="5">
        <v>114.05</v>
      </c>
      <c r="CR139" s="5">
        <v>2</v>
      </c>
      <c r="CS139" s="5">
        <v>2</v>
      </c>
      <c r="CT139" s="5">
        <v>21.49</v>
      </c>
      <c r="CU139" s="5">
        <v>22.8</v>
      </c>
      <c r="CV139" s="5">
        <v>101.8</v>
      </c>
      <c r="CW139" s="5">
        <v>0.85307392100000001</v>
      </c>
      <c r="CX139" s="5">
        <v>2.8407361569999998</v>
      </c>
    </row>
    <row r="140" spans="1:102" x14ac:dyDescent="0.25">
      <c r="A140" s="5">
        <v>41</v>
      </c>
      <c r="B140" s="23">
        <v>4.1179398148148146E-2</v>
      </c>
      <c r="C140" s="5">
        <v>5</v>
      </c>
      <c r="D140" s="5">
        <v>38</v>
      </c>
      <c r="E140" s="5">
        <v>175</v>
      </c>
      <c r="F140" s="5">
        <v>175</v>
      </c>
      <c r="G140" s="5">
        <v>175</v>
      </c>
      <c r="H140" s="5">
        <v>91.7</v>
      </c>
      <c r="I140" s="5">
        <v>91.7</v>
      </c>
      <c r="J140" s="5">
        <v>1800</v>
      </c>
      <c r="K140" s="5">
        <v>69</v>
      </c>
      <c r="L140" s="5">
        <v>69</v>
      </c>
      <c r="M140" s="5">
        <v>0.11</v>
      </c>
      <c r="N140" s="5">
        <v>0.110111</v>
      </c>
      <c r="O140" s="5">
        <v>1</v>
      </c>
      <c r="P140" s="5">
        <v>1.068981</v>
      </c>
      <c r="Q140" s="5">
        <v>-1.72</v>
      </c>
      <c r="R140" s="5">
        <v>-1.7248540000000001</v>
      </c>
      <c r="S140" s="5">
        <v>115.97</v>
      </c>
      <c r="T140" s="5">
        <v>115.9688</v>
      </c>
      <c r="U140" s="5">
        <v>3.5</v>
      </c>
      <c r="V140" s="5">
        <v>3.5</v>
      </c>
      <c r="W140" s="5">
        <v>300</v>
      </c>
      <c r="X140" s="5">
        <v>300</v>
      </c>
      <c r="Y140" s="5">
        <v>3.5</v>
      </c>
      <c r="Z140" s="5">
        <v>3.5</v>
      </c>
      <c r="AA140" s="5">
        <v>300</v>
      </c>
      <c r="AB140" s="5">
        <v>300</v>
      </c>
      <c r="AC140" s="5">
        <v>0</v>
      </c>
      <c r="AD140" s="5">
        <v>124.5818</v>
      </c>
      <c r="AE140" s="5">
        <v>0</v>
      </c>
      <c r="AF140" s="5">
        <v>136.3587</v>
      </c>
      <c r="AG140" s="5">
        <v>43</v>
      </c>
      <c r="AH140" s="5">
        <v>0.23</v>
      </c>
      <c r="AI140" s="5">
        <v>71.23</v>
      </c>
      <c r="AJ140" s="5">
        <v>99.32</v>
      </c>
      <c r="AK140" s="5">
        <v>206.31</v>
      </c>
      <c r="AL140" s="5">
        <v>207.25</v>
      </c>
      <c r="AM140" s="5">
        <v>347.28</v>
      </c>
      <c r="AN140" s="5">
        <v>190.39089999999999</v>
      </c>
      <c r="AO140" s="5">
        <v>88.75</v>
      </c>
      <c r="AP140" s="5">
        <v>115.28</v>
      </c>
      <c r="AQ140" s="5">
        <v>102.17</v>
      </c>
      <c r="AR140" s="5">
        <v>522.28</v>
      </c>
      <c r="AS140" s="5">
        <v>117.57</v>
      </c>
      <c r="AT140" s="5">
        <v>64.55</v>
      </c>
      <c r="AU140" s="5">
        <v>104.62</v>
      </c>
      <c r="AV140" s="5">
        <v>117.35</v>
      </c>
      <c r="AW140" s="5">
        <v>0.23799999999999999</v>
      </c>
      <c r="AX140" s="5">
        <v>3.37</v>
      </c>
      <c r="AY140" s="5">
        <v>2.9723999999999999</v>
      </c>
      <c r="AZ140" s="5">
        <v>81.99</v>
      </c>
      <c r="BA140" s="5">
        <v>13.86</v>
      </c>
      <c r="BB140" s="5">
        <v>4.6100000000000003</v>
      </c>
      <c r="BC140" s="5">
        <v>0.86</v>
      </c>
      <c r="BD140" s="5">
        <v>14.27</v>
      </c>
      <c r="BE140" s="5">
        <v>4.82</v>
      </c>
      <c r="BF140" s="5">
        <v>215.25</v>
      </c>
      <c r="BG140" s="5">
        <v>18.54</v>
      </c>
      <c r="BH140" s="5">
        <v>0.21</v>
      </c>
      <c r="BI140" s="5">
        <v>334.3</v>
      </c>
      <c r="BJ140" s="5">
        <v>47.3</v>
      </c>
      <c r="BK140" s="5">
        <v>83.9</v>
      </c>
      <c r="BL140" s="5">
        <v>118.86</v>
      </c>
      <c r="BM140" s="5">
        <v>2.02</v>
      </c>
      <c r="BN140" s="5">
        <v>29.75</v>
      </c>
      <c r="BO140" s="5">
        <v>33.19</v>
      </c>
      <c r="BP140" s="5">
        <v>533.19000000000005</v>
      </c>
      <c r="BQ140" s="5">
        <v>64.989009999999993</v>
      </c>
      <c r="BR140" s="5">
        <v>306.41789999999997</v>
      </c>
      <c r="BS140" s="5">
        <v>92.166920000000005</v>
      </c>
      <c r="BT140" s="5">
        <v>110.2274</v>
      </c>
      <c r="BU140" s="5">
        <v>108.31140000000001</v>
      </c>
      <c r="BV140" s="5">
        <v>4.0010000000000002E-3</v>
      </c>
      <c r="BW140" s="5">
        <v>4.8840000000000003E-3</v>
      </c>
      <c r="BX140" s="5">
        <v>29.011769999999999</v>
      </c>
      <c r="BY140" s="5">
        <v>18.995360000000002</v>
      </c>
      <c r="BZ140" s="5">
        <v>0</v>
      </c>
      <c r="CA140" s="5">
        <v>0.93509299999999995</v>
      </c>
      <c r="CB140" s="5">
        <v>691.97919999999999</v>
      </c>
      <c r="CC140" s="5">
        <v>701.45079999999996</v>
      </c>
      <c r="CD140" s="5">
        <v>36.011769999999999</v>
      </c>
      <c r="CE140" s="5">
        <v>323.98</v>
      </c>
      <c r="CF140" s="5">
        <v>85.05</v>
      </c>
      <c r="CG140" s="5">
        <v>97.81</v>
      </c>
      <c r="CH140" s="5">
        <v>326.77999999999997</v>
      </c>
      <c r="CI140" s="5">
        <v>318.81</v>
      </c>
      <c r="CJ140" s="5">
        <v>324.17</v>
      </c>
      <c r="CK140" s="5">
        <v>345.01</v>
      </c>
      <c r="CL140" s="5">
        <v>330.88</v>
      </c>
      <c r="CM140" s="5">
        <v>327.77</v>
      </c>
      <c r="CN140" s="5">
        <v>238.87</v>
      </c>
      <c r="CO140" s="5">
        <v>26.56</v>
      </c>
      <c r="CP140" s="5">
        <v>174.5</v>
      </c>
      <c r="CQ140" s="5">
        <v>175.05</v>
      </c>
      <c r="CR140" s="5">
        <v>3.1</v>
      </c>
      <c r="CS140" s="5">
        <v>3.1</v>
      </c>
      <c r="CT140" s="5">
        <v>23.42</v>
      </c>
      <c r="CU140" s="5">
        <v>19.52</v>
      </c>
      <c r="CV140" s="5">
        <v>101.7</v>
      </c>
      <c r="CW140" s="5">
        <v>0.85389030499999996</v>
      </c>
      <c r="CX140" s="5">
        <v>4.1157512680000004</v>
      </c>
    </row>
    <row r="141" spans="1:102" x14ac:dyDescent="0.25">
      <c r="A141" s="5">
        <v>2</v>
      </c>
      <c r="B141" s="23">
        <v>1.4412037037037037E-2</v>
      </c>
      <c r="C141" s="5">
        <v>5</v>
      </c>
      <c r="D141" s="5">
        <v>2</v>
      </c>
      <c r="E141" s="5">
        <v>54</v>
      </c>
      <c r="F141" s="5">
        <v>54</v>
      </c>
      <c r="G141" s="5">
        <v>54</v>
      </c>
      <c r="H141" s="5">
        <v>91.7</v>
      </c>
      <c r="I141" s="5">
        <v>91.7</v>
      </c>
      <c r="J141" s="5">
        <v>1800</v>
      </c>
      <c r="K141" s="5">
        <v>27</v>
      </c>
      <c r="L141" s="5">
        <v>27</v>
      </c>
      <c r="M141" s="5">
        <v>0.23</v>
      </c>
      <c r="N141" s="5">
        <v>0.22998199999999999</v>
      </c>
      <c r="O141" s="5">
        <v>1</v>
      </c>
      <c r="P141" s="5">
        <v>1.069</v>
      </c>
      <c r="Q141" s="5">
        <v>-0.01</v>
      </c>
      <c r="R141" s="5">
        <v>-1.0985999999999999E-2</v>
      </c>
      <c r="S141" s="5">
        <v>114.31</v>
      </c>
      <c r="T141" s="5">
        <v>114.3125</v>
      </c>
      <c r="U141" s="5">
        <v>3.5</v>
      </c>
      <c r="V141" s="5">
        <v>3.5</v>
      </c>
      <c r="W141" s="5">
        <v>333.52</v>
      </c>
      <c r="X141" s="5">
        <v>334</v>
      </c>
      <c r="Y141" s="5">
        <v>0</v>
      </c>
      <c r="Z141" s="5">
        <v>0</v>
      </c>
      <c r="AA141" s="5">
        <v>300</v>
      </c>
      <c r="AB141" s="5">
        <v>300</v>
      </c>
      <c r="AC141" s="5">
        <v>0</v>
      </c>
      <c r="AD141" s="5">
        <v>75.414169999999999</v>
      </c>
      <c r="AE141" s="5">
        <v>0</v>
      </c>
      <c r="AF141" s="5">
        <v>82.94229</v>
      </c>
      <c r="AG141" s="5">
        <v>43</v>
      </c>
      <c r="AH141" s="5">
        <v>0.23</v>
      </c>
      <c r="AI141" s="5">
        <v>41.38</v>
      </c>
      <c r="AJ141" s="5">
        <v>47.35</v>
      </c>
      <c r="AK141" s="5">
        <v>27.24</v>
      </c>
      <c r="AL141" s="5">
        <v>27.03</v>
      </c>
      <c r="AM141" s="5">
        <v>225.71</v>
      </c>
      <c r="AN141" s="5">
        <v>107.9359</v>
      </c>
      <c r="AO141" s="5">
        <v>5.78</v>
      </c>
      <c r="AP141" s="5">
        <v>42.04</v>
      </c>
      <c r="AQ141" s="5">
        <v>13.37</v>
      </c>
      <c r="AR141" s="5">
        <v>310.95999999999998</v>
      </c>
      <c r="AS141" s="5">
        <v>21.46</v>
      </c>
      <c r="AT141" s="5">
        <v>46.75</v>
      </c>
      <c r="AU141" s="5">
        <v>95.31</v>
      </c>
      <c r="AV141" s="5">
        <v>114.28</v>
      </c>
      <c r="AW141" s="5">
        <v>0.24399999999999999</v>
      </c>
      <c r="AX141" s="5">
        <v>3.45</v>
      </c>
      <c r="AY141" s="5">
        <v>2.3997000000000002</v>
      </c>
      <c r="AZ141" s="5">
        <v>231.47</v>
      </c>
      <c r="BA141" s="5">
        <v>63.24</v>
      </c>
      <c r="BB141" s="5">
        <v>3.47</v>
      </c>
      <c r="BC141" s="5">
        <v>0.68</v>
      </c>
      <c r="BD141" s="5">
        <v>15.82</v>
      </c>
      <c r="BE141" s="5">
        <v>7.8</v>
      </c>
      <c r="BF141" s="5">
        <v>175.43</v>
      </c>
      <c r="BG141" s="5">
        <v>19.670000000000002</v>
      </c>
      <c r="BH141" s="5">
        <v>0.17</v>
      </c>
      <c r="BI141" s="5">
        <v>474.4</v>
      </c>
      <c r="BJ141" s="5">
        <v>64.400000000000006</v>
      </c>
      <c r="BK141" s="5">
        <v>85.4</v>
      </c>
      <c r="BL141" s="5">
        <v>76.180000000000007</v>
      </c>
      <c r="BM141" s="5">
        <v>1.2</v>
      </c>
      <c r="BN141" s="5">
        <v>29.58</v>
      </c>
      <c r="BO141" s="5">
        <v>32.090000000000003</v>
      </c>
      <c r="BP141" s="5">
        <v>315.88</v>
      </c>
      <c r="BQ141" s="5">
        <v>48.576610000000002</v>
      </c>
      <c r="BR141" s="5">
        <v>126.7381</v>
      </c>
      <c r="BS141" s="5">
        <v>172.18029999999999</v>
      </c>
      <c r="BT141" s="5">
        <v>172.07640000000001</v>
      </c>
      <c r="BU141" s="5">
        <v>169.7535</v>
      </c>
      <c r="BV141" s="5">
        <v>0</v>
      </c>
      <c r="BW141" s="5">
        <v>0</v>
      </c>
      <c r="BX141" s="5">
        <v>10.22193</v>
      </c>
      <c r="BY141" s="5">
        <v>18.995360000000002</v>
      </c>
      <c r="BZ141" s="5">
        <v>0</v>
      </c>
      <c r="CA141" s="5">
        <v>0.92813699999999999</v>
      </c>
      <c r="CB141" s="5">
        <v>409.23289999999997</v>
      </c>
      <c r="CC141" s="5">
        <v>412.78919999999999</v>
      </c>
      <c r="CD141" s="5">
        <v>13.72193</v>
      </c>
      <c r="CE141" s="5">
        <v>207.02</v>
      </c>
      <c r="CF141" s="5">
        <v>72.819999999999993</v>
      </c>
      <c r="CG141" s="5">
        <v>85.49</v>
      </c>
      <c r="CH141" s="5">
        <v>206.47</v>
      </c>
      <c r="CI141" s="5">
        <v>204.88</v>
      </c>
      <c r="CJ141" s="5">
        <v>214.41</v>
      </c>
      <c r="CK141" s="5">
        <v>217.15</v>
      </c>
      <c r="CL141" s="5">
        <v>217.46</v>
      </c>
      <c r="CM141" s="5">
        <v>211.95</v>
      </c>
      <c r="CN141" s="5">
        <v>196.13</v>
      </c>
      <c r="CO141" s="5">
        <v>21.64</v>
      </c>
      <c r="CP141" s="5">
        <v>53.8</v>
      </c>
      <c r="CQ141" s="5">
        <v>54.05</v>
      </c>
      <c r="CR141" s="5">
        <v>1</v>
      </c>
      <c r="CS141" s="5">
        <v>1</v>
      </c>
      <c r="CT141" s="5">
        <v>19.68</v>
      </c>
      <c r="CU141" s="5">
        <v>25.39</v>
      </c>
      <c r="CV141" s="5">
        <v>101.81</v>
      </c>
      <c r="CW141" s="5">
        <v>0.86207422600000005</v>
      </c>
      <c r="CX141" s="5">
        <v>6.724178964</v>
      </c>
    </row>
    <row r="142" spans="1:102" x14ac:dyDescent="0.25">
      <c r="A142" s="5">
        <v>3</v>
      </c>
      <c r="B142" s="23">
        <v>1.9837962962962963E-2</v>
      </c>
      <c r="C142" s="5">
        <v>5</v>
      </c>
      <c r="D142" s="5">
        <v>3</v>
      </c>
      <c r="E142" s="5">
        <v>56</v>
      </c>
      <c r="F142" s="5">
        <v>56</v>
      </c>
      <c r="G142" s="5">
        <v>56</v>
      </c>
      <c r="H142" s="5">
        <v>91.7</v>
      </c>
      <c r="I142" s="5">
        <v>91.7</v>
      </c>
      <c r="J142" s="5">
        <v>1800</v>
      </c>
      <c r="K142" s="5">
        <v>5</v>
      </c>
      <c r="L142" s="5">
        <v>5</v>
      </c>
      <c r="M142" s="5">
        <v>0.3</v>
      </c>
      <c r="N142" s="5">
        <v>0.29991699999999999</v>
      </c>
      <c r="O142" s="5">
        <v>1</v>
      </c>
      <c r="P142" s="5">
        <v>1.0689759999999999</v>
      </c>
      <c r="Q142" s="5">
        <v>-0.03</v>
      </c>
      <c r="R142" s="5">
        <v>-3.2959000000000002E-2</v>
      </c>
      <c r="S142" s="5">
        <v>114.35</v>
      </c>
      <c r="T142" s="5">
        <v>114.3438</v>
      </c>
      <c r="U142" s="5">
        <v>3.5</v>
      </c>
      <c r="V142" s="5">
        <v>3.5</v>
      </c>
      <c r="W142" s="5">
        <v>332.06</v>
      </c>
      <c r="X142" s="5">
        <v>332</v>
      </c>
      <c r="Y142" s="5">
        <v>0</v>
      </c>
      <c r="Z142" s="5">
        <v>0</v>
      </c>
      <c r="AA142" s="5">
        <v>300</v>
      </c>
      <c r="AB142" s="5">
        <v>300</v>
      </c>
      <c r="AC142" s="5">
        <v>0</v>
      </c>
      <c r="AD142" s="5">
        <v>70.842969999999994</v>
      </c>
      <c r="AE142" s="5">
        <v>0</v>
      </c>
      <c r="AF142" s="5">
        <v>77.913539999999998</v>
      </c>
      <c r="AG142" s="5">
        <v>43</v>
      </c>
      <c r="AH142" s="5">
        <v>0.23</v>
      </c>
      <c r="AI142" s="5">
        <v>38.64</v>
      </c>
      <c r="AJ142" s="5">
        <v>37.090000000000003</v>
      </c>
      <c r="AK142" s="5">
        <v>16.14</v>
      </c>
      <c r="AL142" s="5">
        <v>15.69</v>
      </c>
      <c r="AM142" s="5">
        <v>228.23</v>
      </c>
      <c r="AN142" s="5">
        <v>100.9166</v>
      </c>
      <c r="AO142" s="5">
        <v>-1.46</v>
      </c>
      <c r="AP142" s="5">
        <v>34.76</v>
      </c>
      <c r="AQ142" s="5">
        <v>5.4</v>
      </c>
      <c r="AR142" s="5">
        <v>273.49</v>
      </c>
      <c r="AS142" s="5">
        <v>17.600000000000001</v>
      </c>
      <c r="AT142" s="5">
        <v>44.93</v>
      </c>
      <c r="AU142" s="5">
        <v>95.41</v>
      </c>
      <c r="AV142" s="5">
        <v>113.35</v>
      </c>
      <c r="AW142" s="5">
        <v>0.28199999999999997</v>
      </c>
      <c r="AX142" s="5">
        <v>4.03</v>
      </c>
      <c r="AY142" s="5">
        <v>2.8942000000000001</v>
      </c>
      <c r="AZ142" s="5">
        <v>309.39</v>
      </c>
      <c r="BA142" s="5">
        <v>66.650000000000006</v>
      </c>
      <c r="BB142" s="5">
        <v>3.79</v>
      </c>
      <c r="BC142" s="5">
        <v>0.83</v>
      </c>
      <c r="BD142" s="5">
        <v>15.41</v>
      </c>
      <c r="BE142" s="5">
        <v>6.01</v>
      </c>
      <c r="BF142" s="5">
        <v>161.19999999999999</v>
      </c>
      <c r="BG142" s="5">
        <v>21.91</v>
      </c>
      <c r="BH142" s="5">
        <v>0.2</v>
      </c>
      <c r="BI142" s="5">
        <v>454.7</v>
      </c>
      <c r="BJ142" s="5">
        <v>56.9</v>
      </c>
      <c r="BK142" s="5">
        <v>81.900000000000006</v>
      </c>
      <c r="BL142" s="5">
        <v>76.75</v>
      </c>
      <c r="BM142" s="5">
        <v>1.1299999999999999</v>
      </c>
      <c r="BN142" s="5">
        <v>29.74</v>
      </c>
      <c r="BO142" s="5">
        <v>32.49</v>
      </c>
      <c r="BP142" s="5">
        <v>278.27999999999997</v>
      </c>
      <c r="BQ142" s="5">
        <v>46.729370000000003</v>
      </c>
      <c r="BR142" s="5">
        <v>114.9173</v>
      </c>
      <c r="BS142" s="5">
        <v>172.14619999999999</v>
      </c>
      <c r="BT142" s="5">
        <v>162.06989999999999</v>
      </c>
      <c r="BU142" s="5">
        <v>159.51220000000001</v>
      </c>
      <c r="BV142" s="5">
        <v>0</v>
      </c>
      <c r="BW142" s="5">
        <v>0</v>
      </c>
      <c r="BX142" s="5">
        <v>10.231669999999999</v>
      </c>
      <c r="BY142" s="5">
        <v>18.995360000000002</v>
      </c>
      <c r="BZ142" s="5">
        <v>0</v>
      </c>
      <c r="CA142" s="5">
        <v>0.928145</v>
      </c>
      <c r="CB142" s="5">
        <v>384.80770000000001</v>
      </c>
      <c r="CC142" s="5">
        <v>388.36829999999998</v>
      </c>
      <c r="CD142" s="5">
        <v>13.728910000000001</v>
      </c>
      <c r="CE142" s="5">
        <v>211.96</v>
      </c>
      <c r="CF142" s="5">
        <v>71.53</v>
      </c>
      <c r="CG142" s="5">
        <v>86.29</v>
      </c>
      <c r="CH142" s="5">
        <v>208.78</v>
      </c>
      <c r="CI142" s="5">
        <v>208.95</v>
      </c>
      <c r="CJ142" s="5">
        <v>219.35</v>
      </c>
      <c r="CK142" s="5">
        <v>220.91</v>
      </c>
      <c r="CL142" s="5">
        <v>221.02</v>
      </c>
      <c r="CM142" s="5">
        <v>215.25</v>
      </c>
      <c r="CN142" s="5">
        <v>203.29</v>
      </c>
      <c r="CO142" s="5">
        <v>21.31</v>
      </c>
      <c r="CP142" s="5">
        <v>55.8</v>
      </c>
      <c r="CQ142" s="5">
        <v>56.05</v>
      </c>
      <c r="CR142" s="5">
        <v>1</v>
      </c>
      <c r="CS142" s="5">
        <v>1</v>
      </c>
      <c r="CT142" s="5">
        <v>19.54</v>
      </c>
      <c r="CU142" s="5">
        <v>25.78</v>
      </c>
      <c r="CV142" s="5">
        <v>101.8</v>
      </c>
      <c r="CW142" s="5">
        <v>0.85850284600000004</v>
      </c>
      <c r="CX142" s="5">
        <v>5.1596021060000004</v>
      </c>
    </row>
    <row r="143" spans="1:102" x14ac:dyDescent="0.25">
      <c r="A143" s="5">
        <v>27</v>
      </c>
      <c r="B143" s="23">
        <v>3.4467592592592588E-3</v>
      </c>
      <c r="C143" s="5">
        <v>5</v>
      </c>
      <c r="D143" s="5">
        <v>25</v>
      </c>
      <c r="E143" s="5">
        <v>131</v>
      </c>
      <c r="F143" s="5">
        <v>131</v>
      </c>
      <c r="G143" s="5">
        <v>131</v>
      </c>
      <c r="H143" s="5">
        <v>91.7</v>
      </c>
      <c r="I143" s="5">
        <v>91.7</v>
      </c>
      <c r="J143" s="5">
        <v>1800</v>
      </c>
      <c r="K143" s="5">
        <v>55</v>
      </c>
      <c r="L143" s="5">
        <v>55</v>
      </c>
      <c r="M143" s="5">
        <v>0.19</v>
      </c>
      <c r="N143" s="5">
        <v>0.18996399999999999</v>
      </c>
      <c r="O143" s="5">
        <v>1</v>
      </c>
      <c r="P143" s="5">
        <v>1.0688850000000001</v>
      </c>
      <c r="Q143" s="5">
        <v>-1.04</v>
      </c>
      <c r="R143" s="5">
        <v>-1.043701</v>
      </c>
      <c r="S143" s="5">
        <v>115.41</v>
      </c>
      <c r="T143" s="5">
        <v>115.4063</v>
      </c>
      <c r="U143" s="5">
        <v>3.5</v>
      </c>
      <c r="V143" s="5">
        <v>3.5</v>
      </c>
      <c r="W143" s="5">
        <v>300</v>
      </c>
      <c r="X143" s="5">
        <v>300</v>
      </c>
      <c r="Y143" s="5">
        <v>3.5</v>
      </c>
      <c r="Z143" s="5">
        <v>3.5</v>
      </c>
      <c r="AA143" s="5">
        <v>300</v>
      </c>
      <c r="AB143" s="5">
        <v>300</v>
      </c>
      <c r="AC143" s="5">
        <v>0</v>
      </c>
      <c r="AD143" s="5">
        <v>92.452500000000001</v>
      </c>
      <c r="AE143" s="5">
        <v>0</v>
      </c>
      <c r="AF143" s="5">
        <v>101.6833</v>
      </c>
      <c r="AG143" s="5">
        <v>43</v>
      </c>
      <c r="AH143" s="5">
        <v>0.23</v>
      </c>
      <c r="AI143" s="5">
        <v>52.15</v>
      </c>
      <c r="AJ143" s="5">
        <v>71.27</v>
      </c>
      <c r="AK143" s="5">
        <v>77.08</v>
      </c>
      <c r="AL143" s="5">
        <v>77.069999999999993</v>
      </c>
      <c r="AM143" s="5">
        <v>294.14999999999998</v>
      </c>
      <c r="AN143" s="5">
        <v>137.08789999999999</v>
      </c>
      <c r="AO143" s="5">
        <v>35.020000000000003</v>
      </c>
      <c r="AP143" s="5">
        <v>70.8</v>
      </c>
      <c r="AQ143" s="5">
        <v>44.72</v>
      </c>
      <c r="AR143" s="5">
        <v>380.83</v>
      </c>
      <c r="AS143" s="5">
        <v>42.06</v>
      </c>
      <c r="AT143" s="5">
        <v>57.84</v>
      </c>
      <c r="AU143" s="5">
        <v>100.53</v>
      </c>
      <c r="AV143" s="5">
        <v>114.36</v>
      </c>
      <c r="AW143" s="5">
        <v>0.28199999999999997</v>
      </c>
      <c r="AX143" s="5">
        <v>4.03</v>
      </c>
      <c r="AY143" s="5">
        <v>2.3649</v>
      </c>
      <c r="AZ143" s="5">
        <v>124.33</v>
      </c>
      <c r="BA143" s="5">
        <v>20.46</v>
      </c>
      <c r="BB143" s="5">
        <v>4.5999999999999996</v>
      </c>
      <c r="BC143" s="5">
        <v>1.04</v>
      </c>
      <c r="BD143" s="5">
        <v>14.31</v>
      </c>
      <c r="BE143" s="5">
        <v>3.93</v>
      </c>
      <c r="BF143" s="5">
        <v>180.05</v>
      </c>
      <c r="BG143" s="5">
        <v>22.6</v>
      </c>
      <c r="BH143" s="5">
        <v>0.17</v>
      </c>
      <c r="BI143" s="5">
        <v>319.89999999999998</v>
      </c>
      <c r="BJ143" s="5">
        <v>48.2</v>
      </c>
      <c r="BK143" s="5">
        <v>87.3</v>
      </c>
      <c r="BL143" s="5">
        <v>111.18</v>
      </c>
      <c r="BM143" s="5">
        <v>1.49</v>
      </c>
      <c r="BN143" s="5">
        <v>29.91</v>
      </c>
      <c r="BO143" s="5">
        <v>33.119999999999997</v>
      </c>
      <c r="BP143" s="5">
        <v>388.59</v>
      </c>
      <c r="BQ143" s="5">
        <v>58.563130000000001</v>
      </c>
      <c r="BR143" s="5">
        <v>175.92019999999999</v>
      </c>
      <c r="BS143" s="5">
        <v>126.1836</v>
      </c>
      <c r="BT143" s="5">
        <v>123.2676</v>
      </c>
      <c r="BU143" s="5">
        <v>120.85809999999999</v>
      </c>
      <c r="BV143" s="5">
        <v>0</v>
      </c>
      <c r="BW143" s="5">
        <v>0</v>
      </c>
      <c r="BX143" s="5">
        <v>16.851610000000001</v>
      </c>
      <c r="BY143" s="5">
        <v>18.995360000000002</v>
      </c>
      <c r="BZ143" s="5">
        <v>0</v>
      </c>
      <c r="CA143" s="5">
        <v>0.93506100000000003</v>
      </c>
      <c r="CB143" s="5">
        <v>507.76960000000003</v>
      </c>
      <c r="CC143" s="5">
        <v>514.01710000000003</v>
      </c>
      <c r="CD143" s="5">
        <v>23.844639999999998</v>
      </c>
      <c r="CE143" s="5">
        <v>286.52</v>
      </c>
      <c r="CF143" s="5">
        <v>80.63</v>
      </c>
      <c r="CG143" s="5">
        <v>93.03</v>
      </c>
      <c r="CH143" s="5">
        <v>281.51</v>
      </c>
      <c r="CI143" s="5">
        <v>273.05</v>
      </c>
      <c r="CJ143" s="5">
        <v>279.54000000000002</v>
      </c>
      <c r="CK143" s="5">
        <v>292.89999999999998</v>
      </c>
      <c r="CL143" s="5">
        <v>291.23</v>
      </c>
      <c r="CM143" s="5">
        <v>291.32</v>
      </c>
      <c r="CN143" s="5">
        <v>230.49</v>
      </c>
      <c r="CO143" s="5">
        <v>24.34</v>
      </c>
      <c r="CP143" s="5">
        <v>130.6</v>
      </c>
      <c r="CQ143" s="5">
        <v>131.05000000000001</v>
      </c>
      <c r="CR143" s="5">
        <v>2.2999999999999998</v>
      </c>
      <c r="CS143" s="5">
        <v>2.2999999999999998</v>
      </c>
      <c r="CT143" s="5">
        <v>22.15</v>
      </c>
      <c r="CU143" s="5">
        <v>21.06</v>
      </c>
      <c r="CV143" s="5">
        <v>101.79</v>
      </c>
      <c r="CW143" s="5">
        <v>0.85283719499999999</v>
      </c>
      <c r="CX143" s="5">
        <v>3.3516501760000001</v>
      </c>
    </row>
    <row r="144" spans="1:102" x14ac:dyDescent="0.25">
      <c r="A144" s="5">
        <v>43</v>
      </c>
      <c r="B144" s="23">
        <v>1.0356481481481482E-2</v>
      </c>
      <c r="C144" s="5">
        <v>5</v>
      </c>
      <c r="D144" s="5">
        <v>40</v>
      </c>
      <c r="E144" s="5">
        <v>185</v>
      </c>
      <c r="F144" s="5">
        <v>185</v>
      </c>
      <c r="G144" s="5">
        <v>185</v>
      </c>
      <c r="H144" s="5">
        <v>91.7</v>
      </c>
      <c r="I144" s="5">
        <v>91.7</v>
      </c>
      <c r="J144" s="5">
        <v>1800</v>
      </c>
      <c r="K144" s="5">
        <v>40</v>
      </c>
      <c r="L144" s="5">
        <v>40</v>
      </c>
      <c r="M144" s="5">
        <v>0.13</v>
      </c>
      <c r="N144" s="5">
        <v>0.13000300000000001</v>
      </c>
      <c r="O144" s="5">
        <v>1</v>
      </c>
      <c r="P144" s="5">
        <v>1.068927</v>
      </c>
      <c r="Q144" s="5">
        <v>-1.88</v>
      </c>
      <c r="R144" s="5">
        <v>-1.8786620000000001</v>
      </c>
      <c r="S144" s="5">
        <v>116.11</v>
      </c>
      <c r="T144" s="5">
        <v>116.10939999999999</v>
      </c>
      <c r="U144" s="5">
        <v>3.5</v>
      </c>
      <c r="V144" s="5">
        <v>3.5</v>
      </c>
      <c r="W144" s="5">
        <v>300</v>
      </c>
      <c r="X144" s="5">
        <v>300</v>
      </c>
      <c r="Y144" s="5">
        <v>3.5</v>
      </c>
      <c r="Z144" s="5">
        <v>3.5</v>
      </c>
      <c r="AA144" s="5">
        <v>300</v>
      </c>
      <c r="AB144" s="5">
        <v>300</v>
      </c>
      <c r="AC144" s="5">
        <v>0</v>
      </c>
      <c r="AD144" s="5">
        <v>93.13203</v>
      </c>
      <c r="AE144" s="5">
        <v>0</v>
      </c>
      <c r="AF144" s="5">
        <v>102.4311</v>
      </c>
      <c r="AG144" s="5">
        <v>43</v>
      </c>
      <c r="AH144" s="5">
        <v>0.23</v>
      </c>
      <c r="AI144" s="5">
        <v>52.42</v>
      </c>
      <c r="AJ144" s="5">
        <v>72.790000000000006</v>
      </c>
      <c r="AK144" s="5">
        <v>64.900000000000006</v>
      </c>
      <c r="AL144" s="5">
        <v>65.900000000000006</v>
      </c>
      <c r="AM144" s="5">
        <v>331.82</v>
      </c>
      <c r="AN144" s="5">
        <v>135.40649999999999</v>
      </c>
      <c r="AO144" s="5">
        <v>32.92</v>
      </c>
      <c r="AP144" s="5">
        <v>70.94</v>
      </c>
      <c r="AQ144" s="5">
        <v>43.63</v>
      </c>
      <c r="AR144" s="5">
        <v>418.36</v>
      </c>
      <c r="AS144" s="5">
        <v>31.99</v>
      </c>
      <c r="AT144" s="5">
        <v>50.4</v>
      </c>
      <c r="AU144" s="5">
        <v>96.55</v>
      </c>
      <c r="AV144" s="5">
        <v>119.57</v>
      </c>
      <c r="AW144" s="5">
        <v>0.28299999999999997</v>
      </c>
      <c r="AX144" s="5">
        <v>4.0599999999999996</v>
      </c>
      <c r="AY144" s="5">
        <v>2.8056000000000001</v>
      </c>
      <c r="AZ144" s="5">
        <v>127.11</v>
      </c>
      <c r="BA144" s="5">
        <v>13.35</v>
      </c>
      <c r="BB144" s="5">
        <v>5.0199999999999996</v>
      </c>
      <c r="BC144" s="5">
        <v>0.72</v>
      </c>
      <c r="BD144" s="5">
        <v>13.68</v>
      </c>
      <c r="BE144" s="5">
        <v>4.01</v>
      </c>
      <c r="BF144" s="5">
        <v>238.14</v>
      </c>
      <c r="BG144" s="5">
        <v>14.26</v>
      </c>
      <c r="BH144" s="5">
        <v>0.19</v>
      </c>
      <c r="BI144" s="5">
        <v>275.2</v>
      </c>
      <c r="BJ144" s="5">
        <v>43.6</v>
      </c>
      <c r="BK144" s="5">
        <v>86.9</v>
      </c>
      <c r="BL144" s="5">
        <v>69.62</v>
      </c>
      <c r="BM144" s="5">
        <v>1.48</v>
      </c>
      <c r="BN144" s="5">
        <v>29.62</v>
      </c>
      <c r="BO144" s="5">
        <v>33.549999999999997</v>
      </c>
      <c r="BP144" s="5">
        <v>428.02</v>
      </c>
      <c r="BQ144" s="5">
        <v>52.065829999999998</v>
      </c>
      <c r="BR144" s="5">
        <v>165.65649999999999</v>
      </c>
      <c r="BS144" s="5">
        <v>102.3081</v>
      </c>
      <c r="BT144" s="5">
        <v>97.998779999999996</v>
      </c>
      <c r="BU144" s="5">
        <v>96.363720000000001</v>
      </c>
      <c r="BV144" s="5">
        <v>0</v>
      </c>
      <c r="BW144" s="5">
        <v>0</v>
      </c>
      <c r="BX144" s="5">
        <v>23.11469</v>
      </c>
      <c r="BY144" s="5">
        <v>18.995360000000002</v>
      </c>
      <c r="BZ144" s="5">
        <v>0</v>
      </c>
      <c r="CA144" s="5">
        <v>0.93508500000000006</v>
      </c>
      <c r="CB144" s="5">
        <v>511.67619999999999</v>
      </c>
      <c r="CC144" s="5">
        <v>519.58309999999994</v>
      </c>
      <c r="CD144" s="5">
        <v>30.11469</v>
      </c>
      <c r="CE144" s="5">
        <v>321.18</v>
      </c>
      <c r="CF144" s="5">
        <v>74.36</v>
      </c>
      <c r="CG144" s="5">
        <v>88.9</v>
      </c>
      <c r="CH144" s="5">
        <v>305.95</v>
      </c>
      <c r="CI144" s="5">
        <v>304.13</v>
      </c>
      <c r="CJ144" s="5">
        <v>316.38</v>
      </c>
      <c r="CK144" s="5">
        <v>330.41</v>
      </c>
      <c r="CL144" s="5">
        <v>323.07</v>
      </c>
      <c r="CM144" s="5">
        <v>325.66000000000003</v>
      </c>
      <c r="CN144" s="5">
        <v>268.48</v>
      </c>
      <c r="CO144" s="5">
        <v>24.81</v>
      </c>
      <c r="CP144" s="5">
        <v>184.5</v>
      </c>
      <c r="CQ144" s="5">
        <v>185.05</v>
      </c>
      <c r="CR144" s="5">
        <v>3.3</v>
      </c>
      <c r="CS144" s="5">
        <v>3.3</v>
      </c>
      <c r="CT144" s="5">
        <v>22.88</v>
      </c>
      <c r="CU144" s="5">
        <v>20.010000000000002</v>
      </c>
      <c r="CV144" s="5">
        <v>101.7</v>
      </c>
      <c r="CW144" s="5">
        <v>0.851016365</v>
      </c>
      <c r="CX144" s="5">
        <v>3.4125756219999999</v>
      </c>
    </row>
    <row r="145" spans="1:102" x14ac:dyDescent="0.25">
      <c r="A145" s="5">
        <v>45</v>
      </c>
      <c r="B145" s="23">
        <v>2.1202546296296296E-2</v>
      </c>
      <c r="C145" s="5">
        <v>5</v>
      </c>
      <c r="D145" s="5">
        <v>42</v>
      </c>
      <c r="E145" s="5">
        <v>189</v>
      </c>
      <c r="F145" s="5">
        <v>189</v>
      </c>
      <c r="G145" s="5">
        <v>189</v>
      </c>
      <c r="H145" s="5">
        <v>91.7</v>
      </c>
      <c r="I145" s="5">
        <v>91.7</v>
      </c>
      <c r="J145" s="5">
        <v>1800</v>
      </c>
      <c r="K145" s="5">
        <v>1</v>
      </c>
      <c r="L145" s="5">
        <v>1</v>
      </c>
      <c r="M145" s="5">
        <v>0.06</v>
      </c>
      <c r="N145" s="5">
        <v>5.9958999999999998E-2</v>
      </c>
      <c r="O145" s="5">
        <v>1</v>
      </c>
      <c r="P145" s="5">
        <v>1.0689150000000001</v>
      </c>
      <c r="Q145" s="5">
        <v>-1.94</v>
      </c>
      <c r="R145" s="5">
        <v>-1.94458</v>
      </c>
      <c r="S145" s="5">
        <v>116.17</v>
      </c>
      <c r="T145" s="5">
        <v>116.17189999999999</v>
      </c>
      <c r="U145" s="5">
        <v>3.5</v>
      </c>
      <c r="V145" s="5">
        <v>3.5</v>
      </c>
      <c r="W145" s="5">
        <v>300</v>
      </c>
      <c r="X145" s="5">
        <v>300</v>
      </c>
      <c r="Y145" s="5">
        <v>3.5</v>
      </c>
      <c r="Z145" s="5">
        <v>3.5</v>
      </c>
      <c r="AA145" s="5">
        <v>300</v>
      </c>
      <c r="AB145" s="5">
        <v>300</v>
      </c>
      <c r="AC145" s="5">
        <v>0</v>
      </c>
      <c r="AD145" s="5">
        <v>78.197760000000002</v>
      </c>
      <c r="AE145" s="5">
        <v>0</v>
      </c>
      <c r="AF145" s="5">
        <v>86.003389999999996</v>
      </c>
      <c r="AG145" s="5">
        <v>43</v>
      </c>
      <c r="AH145" s="5">
        <v>0.23</v>
      </c>
      <c r="AI145" s="5">
        <v>43.89</v>
      </c>
      <c r="AJ145" s="5">
        <v>55.88</v>
      </c>
      <c r="AK145" s="5">
        <v>33.35</v>
      </c>
      <c r="AL145" s="5">
        <v>34.93</v>
      </c>
      <c r="AM145" s="5">
        <v>372.51</v>
      </c>
      <c r="AN145" s="5">
        <v>111.2944</v>
      </c>
      <c r="AO145" s="5">
        <v>8.65</v>
      </c>
      <c r="AP145" s="5">
        <v>51.43</v>
      </c>
      <c r="AQ145" s="5">
        <v>18.47</v>
      </c>
      <c r="AR145" s="5">
        <v>379.79</v>
      </c>
      <c r="AS145" s="5">
        <v>24.72</v>
      </c>
      <c r="AT145" s="5">
        <v>44.11</v>
      </c>
      <c r="AU145" s="5">
        <v>93.76</v>
      </c>
      <c r="AV145" s="5">
        <v>114.03</v>
      </c>
      <c r="AW145" s="5">
        <v>0.31900000000000001</v>
      </c>
      <c r="AX145" s="5">
        <v>4.63</v>
      </c>
      <c r="AY145" s="5">
        <v>2.4043999999999999</v>
      </c>
      <c r="AZ145" s="5">
        <v>159.66999999999999</v>
      </c>
      <c r="BA145" s="5">
        <v>6.85</v>
      </c>
      <c r="BB145" s="5">
        <v>5.56</v>
      </c>
      <c r="BC145" s="5">
        <v>0.33</v>
      </c>
      <c r="BD145" s="5">
        <v>12.97</v>
      </c>
      <c r="BE145" s="5">
        <v>4.9400000000000004</v>
      </c>
      <c r="BF145" s="5">
        <v>334.51</v>
      </c>
      <c r="BG145" s="5">
        <v>5.95</v>
      </c>
      <c r="BH145" s="5">
        <v>0.17</v>
      </c>
      <c r="BI145" s="5">
        <v>271</v>
      </c>
      <c r="BJ145" s="5">
        <v>39.299999999999997</v>
      </c>
      <c r="BK145" s="5">
        <v>87</v>
      </c>
      <c r="BL145" s="5">
        <v>24.02</v>
      </c>
      <c r="BM145" s="5">
        <v>1.22</v>
      </c>
      <c r="BN145" s="5">
        <v>29.27</v>
      </c>
      <c r="BO145" s="5">
        <v>34.03</v>
      </c>
      <c r="BP145" s="5">
        <v>389.15</v>
      </c>
      <c r="BQ145" s="5">
        <v>46.633589999999998</v>
      </c>
      <c r="BR145" s="5">
        <v>136.73150000000001</v>
      </c>
      <c r="BS145" s="5">
        <v>101.2071</v>
      </c>
      <c r="BT145" s="5">
        <v>80.258930000000007</v>
      </c>
      <c r="BU145" s="5">
        <v>78.892210000000006</v>
      </c>
      <c r="BV145" s="5">
        <v>0</v>
      </c>
      <c r="BW145" s="5">
        <v>0</v>
      </c>
      <c r="BX145" s="5">
        <v>23.747710000000001</v>
      </c>
      <c r="BY145" s="5">
        <v>18.995360000000002</v>
      </c>
      <c r="BZ145" s="5">
        <v>0</v>
      </c>
      <c r="CA145" s="5">
        <v>0.93509100000000001</v>
      </c>
      <c r="CB145" s="5">
        <v>427.66379999999998</v>
      </c>
      <c r="CC145" s="5">
        <v>435.74040000000002</v>
      </c>
      <c r="CD145" s="5">
        <v>30.740100000000002</v>
      </c>
      <c r="CE145" s="5">
        <v>296.76</v>
      </c>
      <c r="CF145" s="5">
        <v>67.72</v>
      </c>
      <c r="CG145" s="5">
        <v>79.680000000000007</v>
      </c>
      <c r="CH145" s="5">
        <v>332.71</v>
      </c>
      <c r="CI145" s="5">
        <v>331.12</v>
      </c>
      <c r="CJ145" s="5">
        <v>346.51</v>
      </c>
      <c r="CK145" s="5">
        <v>372.19</v>
      </c>
      <c r="CL145" s="5">
        <v>354.86</v>
      </c>
      <c r="CM145" s="5">
        <v>353.36</v>
      </c>
      <c r="CN145" s="5">
        <v>327.72</v>
      </c>
      <c r="CO145" s="5">
        <v>24.87</v>
      </c>
      <c r="CP145" s="5">
        <v>188.5</v>
      </c>
      <c r="CQ145" s="5">
        <v>189.05</v>
      </c>
      <c r="CR145" s="5">
        <v>3.4</v>
      </c>
      <c r="CS145" s="5">
        <v>3.4</v>
      </c>
      <c r="CT145" s="5">
        <v>23.02</v>
      </c>
      <c r="CU145" s="5">
        <v>18.84</v>
      </c>
      <c r="CV145" s="5">
        <v>101.68</v>
      </c>
      <c r="CW145" s="5">
        <v>0.84522386199999999</v>
      </c>
      <c r="CX145" s="5">
        <v>4.1754058780000003</v>
      </c>
    </row>
    <row r="146" spans="1:102" x14ac:dyDescent="0.25">
      <c r="A146" s="5">
        <v>10</v>
      </c>
      <c r="B146" s="23">
        <v>1.6140046296296295E-2</v>
      </c>
      <c r="C146" s="5">
        <v>5</v>
      </c>
      <c r="D146" s="5">
        <v>10</v>
      </c>
      <c r="E146" s="5">
        <v>82</v>
      </c>
      <c r="F146" s="5">
        <v>82</v>
      </c>
      <c r="G146" s="5">
        <v>82</v>
      </c>
      <c r="H146" s="5">
        <v>91.7</v>
      </c>
      <c r="I146" s="5">
        <v>91.7</v>
      </c>
      <c r="J146" s="5">
        <v>1800</v>
      </c>
      <c r="K146" s="5">
        <v>8</v>
      </c>
      <c r="L146" s="5">
        <v>8</v>
      </c>
      <c r="M146" s="5">
        <v>0.17</v>
      </c>
      <c r="N146" s="5">
        <v>0.17002</v>
      </c>
      <c r="O146" s="5">
        <v>1</v>
      </c>
      <c r="P146" s="5">
        <v>1.069016</v>
      </c>
      <c r="Q146" s="5">
        <v>-0.36</v>
      </c>
      <c r="R146" s="5">
        <v>-0.36254900000000001</v>
      </c>
      <c r="S146" s="5">
        <v>114.77</v>
      </c>
      <c r="T146" s="5">
        <v>114.76560000000001</v>
      </c>
      <c r="U146" s="5">
        <v>3.5</v>
      </c>
      <c r="V146" s="5">
        <v>3.5</v>
      </c>
      <c r="W146" s="5">
        <v>313.11</v>
      </c>
      <c r="X146" s="5">
        <v>313</v>
      </c>
      <c r="Y146" s="5">
        <v>0</v>
      </c>
      <c r="Z146" s="5">
        <v>0</v>
      </c>
      <c r="AA146" s="5">
        <v>300</v>
      </c>
      <c r="AB146" s="5">
        <v>300</v>
      </c>
      <c r="AC146" s="5">
        <v>0</v>
      </c>
      <c r="AD146" s="5">
        <v>73.708119999999994</v>
      </c>
      <c r="AE146" s="5">
        <v>0</v>
      </c>
      <c r="AF146" s="5">
        <v>81.066090000000003</v>
      </c>
      <c r="AG146" s="5">
        <v>43</v>
      </c>
      <c r="AH146" s="5">
        <v>0.23</v>
      </c>
      <c r="AI146" s="5">
        <v>39.68</v>
      </c>
      <c r="AJ146" s="5">
        <v>43.76</v>
      </c>
      <c r="AK146" s="5">
        <v>21.71</v>
      </c>
      <c r="AL146" s="5">
        <v>22.06</v>
      </c>
      <c r="AM146" s="5">
        <v>252.56</v>
      </c>
      <c r="AN146" s="5">
        <v>103.6082</v>
      </c>
      <c r="AO146" s="5">
        <v>0.92</v>
      </c>
      <c r="AP146" s="5">
        <v>38.83</v>
      </c>
      <c r="AQ146" s="5">
        <v>8.84</v>
      </c>
      <c r="AR146" s="5">
        <v>315.33</v>
      </c>
      <c r="AS146" s="5">
        <v>20.78</v>
      </c>
      <c r="AT146" s="5">
        <v>40.17</v>
      </c>
      <c r="AU146" s="5">
        <v>94.16</v>
      </c>
      <c r="AV146" s="5">
        <v>113.63</v>
      </c>
      <c r="AW146" s="5">
        <v>0.33800000000000002</v>
      </c>
      <c r="AX146" s="5">
        <v>4.92</v>
      </c>
      <c r="AY146" s="5">
        <v>2.1856</v>
      </c>
      <c r="AZ146" s="5">
        <v>260.14</v>
      </c>
      <c r="BA146" s="5">
        <v>74.86</v>
      </c>
      <c r="BB146" s="5">
        <v>3.99</v>
      </c>
      <c r="BC146" s="5">
        <v>0.61</v>
      </c>
      <c r="BD146" s="5">
        <v>15.13</v>
      </c>
      <c r="BE146" s="5">
        <v>5.77</v>
      </c>
      <c r="BF146" s="5">
        <v>197.12</v>
      </c>
      <c r="BG146" s="5">
        <v>15.22</v>
      </c>
      <c r="BH146" s="5">
        <v>0.15</v>
      </c>
      <c r="BI146" s="5">
        <v>370.6</v>
      </c>
      <c r="BJ146" s="5">
        <v>55</v>
      </c>
      <c r="BK146" s="5">
        <v>84.3</v>
      </c>
      <c r="BL146" s="5">
        <v>56.62</v>
      </c>
      <c r="BM146" s="5">
        <v>1.1599999999999999</v>
      </c>
      <c r="BN146" s="5">
        <v>29.52</v>
      </c>
      <c r="BO146" s="5">
        <v>32.61</v>
      </c>
      <c r="BP146" s="5">
        <v>321.06</v>
      </c>
      <c r="BQ146" s="5">
        <v>42.583599999999997</v>
      </c>
      <c r="BR146" s="5">
        <v>122.7728</v>
      </c>
      <c r="BS146" s="5">
        <v>150.2543</v>
      </c>
      <c r="BT146" s="5">
        <v>123.3164</v>
      </c>
      <c r="BU146" s="5">
        <v>121.0102</v>
      </c>
      <c r="BV146" s="5">
        <v>0</v>
      </c>
      <c r="BW146" s="5">
        <v>0</v>
      </c>
      <c r="BX146" s="5">
        <v>15.41417</v>
      </c>
      <c r="BY146" s="5">
        <v>18.995360000000002</v>
      </c>
      <c r="BZ146" s="5">
        <v>0</v>
      </c>
      <c r="CA146" s="5">
        <v>0.93383000000000005</v>
      </c>
      <c r="CB146" s="5">
        <v>402.67520000000002</v>
      </c>
      <c r="CC146" s="5">
        <v>407.61770000000001</v>
      </c>
      <c r="CD146" s="5">
        <v>18.891300000000001</v>
      </c>
      <c r="CE146" s="5">
        <v>230.85</v>
      </c>
      <c r="CF146" s="5">
        <v>68.37</v>
      </c>
      <c r="CG146" s="5">
        <v>82.17</v>
      </c>
      <c r="CH146" s="5">
        <v>231.68</v>
      </c>
      <c r="CI146" s="5">
        <v>233.21</v>
      </c>
      <c r="CJ146" s="5">
        <v>240.05</v>
      </c>
      <c r="CK146" s="5">
        <v>244.43</v>
      </c>
      <c r="CL146" s="5">
        <v>244.73</v>
      </c>
      <c r="CM146" s="5">
        <v>235.84</v>
      </c>
      <c r="CN146" s="5">
        <v>222.69</v>
      </c>
      <c r="CO146" s="5">
        <v>22.25</v>
      </c>
      <c r="CP146" s="5">
        <v>81.7</v>
      </c>
      <c r="CQ146" s="5">
        <v>82.05</v>
      </c>
      <c r="CR146" s="5">
        <v>1.5</v>
      </c>
      <c r="CS146" s="5">
        <v>1.5</v>
      </c>
      <c r="CT146" s="5">
        <v>20.420000000000002</v>
      </c>
      <c r="CU146" s="5">
        <v>24.11</v>
      </c>
      <c r="CV146" s="5">
        <v>101.81</v>
      </c>
      <c r="CW146" s="5">
        <v>0.85694036600000001</v>
      </c>
      <c r="CX146" s="5">
        <v>4.9445459100000004</v>
      </c>
    </row>
    <row r="147" spans="1:102" x14ac:dyDescent="0.25">
      <c r="A147" s="5">
        <v>14</v>
      </c>
      <c r="B147" s="23">
        <v>1.3395833333333334E-2</v>
      </c>
      <c r="C147" s="5">
        <v>5</v>
      </c>
      <c r="D147" s="5">
        <v>13</v>
      </c>
      <c r="E147" s="5">
        <v>91</v>
      </c>
      <c r="F147" s="5">
        <v>91</v>
      </c>
      <c r="G147" s="5">
        <v>91</v>
      </c>
      <c r="H147" s="5">
        <v>91.7</v>
      </c>
      <c r="I147" s="5">
        <v>91.7</v>
      </c>
      <c r="J147" s="5">
        <v>1800</v>
      </c>
      <c r="K147" s="5">
        <v>58</v>
      </c>
      <c r="L147" s="5">
        <v>58</v>
      </c>
      <c r="M147" s="5">
        <v>0.15</v>
      </c>
      <c r="N147" s="5">
        <v>0.14996599999999999</v>
      </c>
      <c r="O147" s="5">
        <v>1</v>
      </c>
      <c r="P147" s="5">
        <v>1.068953</v>
      </c>
      <c r="Q147" s="5">
        <v>-0.47</v>
      </c>
      <c r="R147" s="5">
        <v>-0.472412</v>
      </c>
      <c r="S147" s="5">
        <v>114.91</v>
      </c>
      <c r="T147" s="5">
        <v>114.9063</v>
      </c>
      <c r="U147" s="5">
        <v>3.5</v>
      </c>
      <c r="V147" s="5">
        <v>3.5</v>
      </c>
      <c r="W147" s="5">
        <v>306.56</v>
      </c>
      <c r="X147" s="5">
        <v>307</v>
      </c>
      <c r="Y147" s="5">
        <v>0</v>
      </c>
      <c r="Z147" s="5">
        <v>0</v>
      </c>
      <c r="AA147" s="5">
        <v>300</v>
      </c>
      <c r="AB147" s="5">
        <v>300</v>
      </c>
      <c r="AC147" s="5">
        <v>0</v>
      </c>
      <c r="AD147" s="5">
        <v>94.894679999999994</v>
      </c>
      <c r="AE147" s="5">
        <v>0</v>
      </c>
      <c r="AF147" s="5">
        <v>104.37</v>
      </c>
      <c r="AG147" s="5">
        <v>43</v>
      </c>
      <c r="AH147" s="5">
        <v>0.23</v>
      </c>
      <c r="AI147" s="5">
        <v>51.68</v>
      </c>
      <c r="AJ147" s="5">
        <v>71.7</v>
      </c>
      <c r="AK147" s="5">
        <v>85.34</v>
      </c>
      <c r="AL147" s="5">
        <v>85.53</v>
      </c>
      <c r="AM147" s="5">
        <v>264.07</v>
      </c>
      <c r="AN147" s="5">
        <v>137.48050000000001</v>
      </c>
      <c r="AO147" s="5">
        <v>35.01</v>
      </c>
      <c r="AP147" s="5">
        <v>68.75</v>
      </c>
      <c r="AQ147" s="5">
        <v>44.69</v>
      </c>
      <c r="AR147" s="5">
        <v>397.14</v>
      </c>
      <c r="AS147" s="5">
        <v>50.32</v>
      </c>
      <c r="AT147" s="5">
        <v>49.23</v>
      </c>
      <c r="AU147" s="5">
        <v>97.06</v>
      </c>
      <c r="AV147" s="5">
        <v>113.28</v>
      </c>
      <c r="AW147" s="5">
        <v>0.35699999999999998</v>
      </c>
      <c r="AX147" s="5">
        <v>5.24</v>
      </c>
      <c r="AY147" s="5">
        <v>2.8201000000000001</v>
      </c>
      <c r="AZ147" s="5">
        <v>127.37</v>
      </c>
      <c r="BA147" s="5">
        <v>43.73</v>
      </c>
      <c r="BB147" s="5">
        <v>3.79</v>
      </c>
      <c r="BC147" s="5">
        <v>0.72</v>
      </c>
      <c r="BD147" s="5">
        <v>15.38</v>
      </c>
      <c r="BE147" s="5">
        <v>6.51</v>
      </c>
      <c r="BF147" s="5">
        <v>194.49</v>
      </c>
      <c r="BG147" s="5">
        <v>18.940000000000001</v>
      </c>
      <c r="BH147" s="5">
        <v>0.2</v>
      </c>
      <c r="BI147" s="5">
        <v>390</v>
      </c>
      <c r="BJ147" s="5">
        <v>59.3</v>
      </c>
      <c r="BK147" s="5">
        <v>85.6</v>
      </c>
      <c r="BL147" s="5">
        <v>92.78</v>
      </c>
      <c r="BM147" s="5">
        <v>1.51</v>
      </c>
      <c r="BN147" s="5">
        <v>29.61</v>
      </c>
      <c r="BO147" s="5">
        <v>32.35</v>
      </c>
      <c r="BP147" s="5">
        <v>403.83</v>
      </c>
      <c r="BQ147" s="5">
        <v>50.558590000000002</v>
      </c>
      <c r="BR147" s="5">
        <v>185.73759999999999</v>
      </c>
      <c r="BS147" s="5">
        <v>133.9126</v>
      </c>
      <c r="BT147" s="5">
        <v>135.52420000000001</v>
      </c>
      <c r="BU147" s="5">
        <v>132.82249999999999</v>
      </c>
      <c r="BV147" s="5">
        <v>0</v>
      </c>
      <c r="BW147" s="5">
        <v>0</v>
      </c>
      <c r="BX147" s="5">
        <v>18.81391</v>
      </c>
      <c r="BY147" s="5">
        <v>18.995360000000002</v>
      </c>
      <c r="BZ147" s="5">
        <v>0</v>
      </c>
      <c r="CA147" s="5">
        <v>0.93506100000000003</v>
      </c>
      <c r="CB147" s="5">
        <v>521.80560000000003</v>
      </c>
      <c r="CC147" s="5">
        <v>527.65769999999998</v>
      </c>
      <c r="CD147" s="5">
        <v>22.314900000000002</v>
      </c>
      <c r="CE147" s="5">
        <v>238.74</v>
      </c>
      <c r="CF147" s="5">
        <v>73.61</v>
      </c>
      <c r="CG147" s="5">
        <v>88.06</v>
      </c>
      <c r="CH147" s="5">
        <v>237.09</v>
      </c>
      <c r="CI147" s="5">
        <v>236.41</v>
      </c>
      <c r="CJ147" s="5">
        <v>242.8</v>
      </c>
      <c r="CK147" s="5">
        <v>252.24</v>
      </c>
      <c r="CL147" s="5">
        <v>250.52</v>
      </c>
      <c r="CM147" s="5">
        <v>245.77</v>
      </c>
      <c r="CN147" s="5">
        <v>200.49</v>
      </c>
      <c r="CO147" s="5">
        <v>22.58</v>
      </c>
      <c r="CP147" s="5">
        <v>90.7</v>
      </c>
      <c r="CQ147" s="5">
        <v>91.05</v>
      </c>
      <c r="CR147" s="5">
        <v>1.6</v>
      </c>
      <c r="CS147" s="5">
        <v>1.6</v>
      </c>
      <c r="CT147" s="5">
        <v>20.63</v>
      </c>
      <c r="CU147" s="5">
        <v>24.23</v>
      </c>
      <c r="CV147" s="5">
        <v>101.82</v>
      </c>
      <c r="CW147" s="5">
        <v>0.86064355800000003</v>
      </c>
      <c r="CX147" s="5">
        <v>5.6027895619999999</v>
      </c>
    </row>
    <row r="148" spans="1:102" x14ac:dyDescent="0.25">
      <c r="A148" s="5">
        <v>9</v>
      </c>
      <c r="B148" s="23">
        <v>1.0716435185185185E-2</v>
      </c>
      <c r="C148" s="5">
        <v>5</v>
      </c>
      <c r="D148" s="5">
        <v>9</v>
      </c>
      <c r="E148" s="5">
        <v>77</v>
      </c>
      <c r="F148" s="5">
        <v>77</v>
      </c>
      <c r="G148" s="5">
        <v>77</v>
      </c>
      <c r="H148" s="5">
        <v>91.7</v>
      </c>
      <c r="I148" s="5">
        <v>91.7</v>
      </c>
      <c r="J148" s="5">
        <v>1800</v>
      </c>
      <c r="K148" s="5">
        <v>17</v>
      </c>
      <c r="L148" s="5">
        <v>17</v>
      </c>
      <c r="M148" s="5">
        <v>0.3</v>
      </c>
      <c r="N148" s="5">
        <v>0.29988799999999999</v>
      </c>
      <c r="O148" s="5">
        <v>1</v>
      </c>
      <c r="P148" s="5">
        <v>1.0689109999999999</v>
      </c>
      <c r="Q148" s="5">
        <v>-0.28999999999999998</v>
      </c>
      <c r="R148" s="5">
        <v>-0.28564499999999998</v>
      </c>
      <c r="S148" s="5">
        <v>114.69</v>
      </c>
      <c r="T148" s="5">
        <v>114.6875</v>
      </c>
      <c r="U148" s="5">
        <v>3.5</v>
      </c>
      <c r="V148" s="5">
        <v>3.5</v>
      </c>
      <c r="W148" s="5">
        <v>316.76</v>
      </c>
      <c r="X148" s="5">
        <v>317</v>
      </c>
      <c r="Y148" s="5">
        <v>0</v>
      </c>
      <c r="Z148" s="5">
        <v>0</v>
      </c>
      <c r="AA148" s="5">
        <v>300</v>
      </c>
      <c r="AB148" s="5">
        <v>300</v>
      </c>
      <c r="AC148" s="5">
        <v>0</v>
      </c>
      <c r="AD148" s="5">
        <v>73.562290000000004</v>
      </c>
      <c r="AE148" s="5">
        <v>0</v>
      </c>
      <c r="AF148" s="5">
        <v>80.905360000000002</v>
      </c>
      <c r="AG148" s="5">
        <v>43</v>
      </c>
      <c r="AH148" s="5">
        <v>0.23</v>
      </c>
      <c r="AI148" s="5">
        <v>40.130000000000003</v>
      </c>
      <c r="AJ148" s="5">
        <v>43.11</v>
      </c>
      <c r="AK148" s="5">
        <v>21.33</v>
      </c>
      <c r="AL148" s="5">
        <v>21.01</v>
      </c>
      <c r="AM148" s="5">
        <v>245.52</v>
      </c>
      <c r="AN148" s="5">
        <v>105.00620000000001</v>
      </c>
      <c r="AO148" s="5">
        <v>2.57</v>
      </c>
      <c r="AP148" s="5">
        <v>39.21</v>
      </c>
      <c r="AQ148" s="5">
        <v>9.93</v>
      </c>
      <c r="AR148" s="5">
        <v>291.23</v>
      </c>
      <c r="AS148" s="5">
        <v>18.77</v>
      </c>
      <c r="AT148" s="5">
        <v>45.89</v>
      </c>
      <c r="AU148" s="5">
        <v>96.29</v>
      </c>
      <c r="AV148" s="5">
        <v>114.21</v>
      </c>
      <c r="AW148" s="5">
        <v>0.375</v>
      </c>
      <c r="AX148" s="5">
        <v>5.53</v>
      </c>
      <c r="AY148" s="5">
        <v>3.0371000000000001</v>
      </c>
      <c r="AZ148" s="5">
        <v>274.58</v>
      </c>
      <c r="BA148" s="5">
        <v>75.599999999999994</v>
      </c>
      <c r="BB148" s="5">
        <v>4.13</v>
      </c>
      <c r="BC148" s="5">
        <v>0.92</v>
      </c>
      <c r="BD148" s="5">
        <v>14.95</v>
      </c>
      <c r="BE148" s="5">
        <v>4.8899999999999997</v>
      </c>
      <c r="BF148" s="5">
        <v>170.43</v>
      </c>
      <c r="BG148" s="5">
        <v>22.17</v>
      </c>
      <c r="BH148" s="5">
        <v>0.21</v>
      </c>
      <c r="BI148" s="5">
        <v>380.6</v>
      </c>
      <c r="BJ148" s="5">
        <v>52.7</v>
      </c>
      <c r="BK148" s="5">
        <v>84.2</v>
      </c>
      <c r="BL148" s="5">
        <v>82.98</v>
      </c>
      <c r="BM148" s="5">
        <v>1.17</v>
      </c>
      <c r="BN148" s="5">
        <v>29.81</v>
      </c>
      <c r="BO148" s="5">
        <v>32.770000000000003</v>
      </c>
      <c r="BP148" s="5">
        <v>296.82</v>
      </c>
      <c r="BQ148" s="5">
        <v>47.56917</v>
      </c>
      <c r="BR148" s="5">
        <v>120.02979999999999</v>
      </c>
      <c r="BS148" s="5">
        <v>155.68020000000001</v>
      </c>
      <c r="BT148" s="5">
        <v>131.06829999999999</v>
      </c>
      <c r="BU148" s="5">
        <v>129.2115</v>
      </c>
      <c r="BV148" s="5">
        <v>0</v>
      </c>
      <c r="BW148" s="5">
        <v>0</v>
      </c>
      <c r="BX148" s="5">
        <v>14.14828</v>
      </c>
      <c r="BY148" s="5">
        <v>18.995360000000002</v>
      </c>
      <c r="BZ148" s="5">
        <v>0</v>
      </c>
      <c r="CA148" s="5">
        <v>0.93245500000000003</v>
      </c>
      <c r="CB148" s="5">
        <v>401.2242</v>
      </c>
      <c r="CC148" s="5">
        <v>405.83620000000002</v>
      </c>
      <c r="CD148" s="5">
        <v>17.64828</v>
      </c>
      <c r="CE148" s="5">
        <v>231.15</v>
      </c>
      <c r="CF148" s="5">
        <v>72.63</v>
      </c>
      <c r="CG148" s="5">
        <v>87.4</v>
      </c>
      <c r="CH148" s="5">
        <v>226.83</v>
      </c>
      <c r="CI148" s="5">
        <v>227.64</v>
      </c>
      <c r="CJ148" s="5">
        <v>233.95</v>
      </c>
      <c r="CK148" s="5">
        <v>239.67</v>
      </c>
      <c r="CL148" s="5">
        <v>239.5</v>
      </c>
      <c r="CM148" s="5">
        <v>230.35</v>
      </c>
      <c r="CN148" s="5">
        <v>216.17</v>
      </c>
      <c r="CO148" s="5">
        <v>21.99</v>
      </c>
      <c r="CP148" s="5">
        <v>76.7</v>
      </c>
      <c r="CQ148" s="5">
        <v>77.05</v>
      </c>
      <c r="CR148" s="5">
        <v>1.4</v>
      </c>
      <c r="CS148" s="5">
        <v>1.4</v>
      </c>
      <c r="CT148" s="5">
        <v>20.46</v>
      </c>
      <c r="CU148" s="5">
        <v>24.14</v>
      </c>
      <c r="CV148" s="5">
        <v>101.81</v>
      </c>
      <c r="CW148" s="5">
        <v>0.85552265900000002</v>
      </c>
      <c r="CX148" s="5">
        <v>4.1835058030000001</v>
      </c>
    </row>
    <row r="149" spans="1:102" x14ac:dyDescent="0.25">
      <c r="A149" s="5">
        <v>5</v>
      </c>
      <c r="B149" s="23">
        <v>3.0694444444444444E-2</v>
      </c>
      <c r="C149" s="5">
        <v>5</v>
      </c>
      <c r="D149" s="5">
        <v>5</v>
      </c>
      <c r="E149" s="5">
        <v>63</v>
      </c>
      <c r="F149" s="5">
        <v>63</v>
      </c>
      <c r="G149" s="5">
        <v>63</v>
      </c>
      <c r="H149" s="5">
        <v>91.7</v>
      </c>
      <c r="I149" s="5">
        <v>91.7</v>
      </c>
      <c r="J149" s="5">
        <v>1800</v>
      </c>
      <c r="K149" s="5">
        <v>54</v>
      </c>
      <c r="L149" s="5">
        <v>54</v>
      </c>
      <c r="M149" s="5">
        <v>0.28000000000000003</v>
      </c>
      <c r="N149" s="5">
        <v>0.27991899999999997</v>
      </c>
      <c r="O149" s="5">
        <v>1</v>
      </c>
      <c r="P149" s="5">
        <v>1.0689439999999999</v>
      </c>
      <c r="Q149" s="5">
        <v>-0.12</v>
      </c>
      <c r="R149" s="5">
        <v>-0.12085</v>
      </c>
      <c r="S149" s="5">
        <v>114.46</v>
      </c>
      <c r="T149" s="5">
        <v>114.45310000000001</v>
      </c>
      <c r="U149" s="5">
        <v>3.5</v>
      </c>
      <c r="V149" s="5">
        <v>3.5</v>
      </c>
      <c r="W149" s="5">
        <v>326.95999999999998</v>
      </c>
      <c r="X149" s="5">
        <v>327</v>
      </c>
      <c r="Y149" s="5">
        <v>0</v>
      </c>
      <c r="Z149" s="5">
        <v>0</v>
      </c>
      <c r="AA149" s="5">
        <v>300</v>
      </c>
      <c r="AB149" s="5">
        <v>300</v>
      </c>
      <c r="AC149" s="5">
        <v>0</v>
      </c>
      <c r="AD149" s="5">
        <v>81.664789999999996</v>
      </c>
      <c r="AE149" s="5">
        <v>0</v>
      </c>
      <c r="AF149" s="5">
        <v>89.817089999999993</v>
      </c>
      <c r="AG149" s="5">
        <v>43</v>
      </c>
      <c r="AH149" s="5">
        <v>0.23</v>
      </c>
      <c r="AI149" s="5">
        <v>45.54</v>
      </c>
      <c r="AJ149" s="5">
        <v>55.8</v>
      </c>
      <c r="AK149" s="5">
        <v>48.54</v>
      </c>
      <c r="AL149" s="5">
        <v>47.71</v>
      </c>
      <c r="AM149" s="5">
        <v>241.37</v>
      </c>
      <c r="AN149" s="5">
        <v>119.3862</v>
      </c>
      <c r="AO149" s="5">
        <v>17.64</v>
      </c>
      <c r="AP149" s="5">
        <v>52.07</v>
      </c>
      <c r="AQ149" s="5">
        <v>25.14</v>
      </c>
      <c r="AR149" s="5">
        <v>298.01</v>
      </c>
      <c r="AS149" s="5">
        <v>30.91</v>
      </c>
      <c r="AT149" s="5">
        <v>54.52</v>
      </c>
      <c r="AU149" s="5">
        <v>98.27</v>
      </c>
      <c r="AV149" s="5">
        <v>110.92</v>
      </c>
      <c r="AW149" s="5">
        <v>0.38200000000000001</v>
      </c>
      <c r="AX149" s="5">
        <v>5.64</v>
      </c>
      <c r="AY149" s="5">
        <v>3.9451000000000001</v>
      </c>
      <c r="AZ149" s="5">
        <v>203.44</v>
      </c>
      <c r="BA149" s="5">
        <v>51.04</v>
      </c>
      <c r="BB149" s="5">
        <v>3.93</v>
      </c>
      <c r="BC149" s="5">
        <v>1.06</v>
      </c>
      <c r="BD149" s="5">
        <v>15.25</v>
      </c>
      <c r="BE149" s="5">
        <v>5.74</v>
      </c>
      <c r="BF149" s="5">
        <v>159.18</v>
      </c>
      <c r="BG149" s="5">
        <v>26.87</v>
      </c>
      <c r="BH149" s="5">
        <v>0.27</v>
      </c>
      <c r="BI149" s="5">
        <v>452.6</v>
      </c>
      <c r="BJ149" s="5">
        <v>55.4</v>
      </c>
      <c r="BK149" s="5">
        <v>82</v>
      </c>
      <c r="BL149" s="5">
        <v>109.55</v>
      </c>
      <c r="BM149" s="5">
        <v>1.31</v>
      </c>
      <c r="BN149" s="5">
        <v>29.94</v>
      </c>
      <c r="BO149" s="5">
        <v>32.590000000000003</v>
      </c>
      <c r="BP149" s="5">
        <v>303.48</v>
      </c>
      <c r="BQ149" s="5">
        <v>55.062130000000003</v>
      </c>
      <c r="BR149" s="5">
        <v>145.41149999999999</v>
      </c>
      <c r="BS149" s="5">
        <v>160.4248</v>
      </c>
      <c r="BT149" s="5">
        <v>156.1378</v>
      </c>
      <c r="BU149" s="5">
        <v>152.94800000000001</v>
      </c>
      <c r="BV149" s="5">
        <v>0</v>
      </c>
      <c r="BW149" s="5">
        <v>0</v>
      </c>
      <c r="BX149" s="5">
        <v>13.048389999999999</v>
      </c>
      <c r="BY149" s="5">
        <v>18.995360000000002</v>
      </c>
      <c r="BZ149" s="5">
        <v>0</v>
      </c>
      <c r="CA149" s="5">
        <v>0.93124700000000005</v>
      </c>
      <c r="CB149" s="5">
        <v>445.0831</v>
      </c>
      <c r="CC149" s="5">
        <v>449.38580000000002</v>
      </c>
      <c r="CD149" s="5">
        <v>16.549109999999999</v>
      </c>
      <c r="CE149" s="5">
        <v>224.56</v>
      </c>
      <c r="CF149" s="5">
        <v>78.239999999999995</v>
      </c>
      <c r="CG149" s="5">
        <v>91.32</v>
      </c>
      <c r="CH149" s="5">
        <v>220.77</v>
      </c>
      <c r="CI149" s="5">
        <v>218.75</v>
      </c>
      <c r="CJ149" s="5">
        <v>222.32</v>
      </c>
      <c r="CK149" s="5">
        <v>231.6</v>
      </c>
      <c r="CL149" s="5">
        <v>231.36</v>
      </c>
      <c r="CM149" s="5">
        <v>224.52</v>
      </c>
      <c r="CN149" s="5">
        <v>195.99</v>
      </c>
      <c r="CO149" s="5">
        <v>21.63</v>
      </c>
      <c r="CP149" s="5">
        <v>62.8</v>
      </c>
      <c r="CQ149" s="5">
        <v>63.05</v>
      </c>
      <c r="CR149" s="5">
        <v>1.1000000000000001</v>
      </c>
      <c r="CS149" s="5">
        <v>1.1000000000000001</v>
      </c>
      <c r="CT149" s="5">
        <v>20.059999999999999</v>
      </c>
      <c r="CU149" s="5">
        <v>23.83</v>
      </c>
      <c r="CV149" s="5">
        <v>101.8</v>
      </c>
      <c r="CW149" s="5">
        <v>0.85537406199999999</v>
      </c>
      <c r="CX149" s="5">
        <v>4.9098471149999998</v>
      </c>
    </row>
    <row r="150" spans="1:102" x14ac:dyDescent="0.25">
      <c r="A150" s="5">
        <v>16</v>
      </c>
      <c r="B150" s="23">
        <v>2.4246527777777777E-2</v>
      </c>
      <c r="C150" s="5">
        <v>5</v>
      </c>
      <c r="D150" s="5">
        <v>15</v>
      </c>
      <c r="E150" s="5">
        <v>96</v>
      </c>
      <c r="F150" s="5">
        <v>96</v>
      </c>
      <c r="G150" s="5">
        <v>96</v>
      </c>
      <c r="H150" s="5">
        <v>91.7</v>
      </c>
      <c r="I150" s="5">
        <v>91.7</v>
      </c>
      <c r="J150" s="5">
        <v>1800</v>
      </c>
      <c r="K150" s="5">
        <v>7</v>
      </c>
      <c r="L150" s="5">
        <v>7</v>
      </c>
      <c r="M150" s="5">
        <v>0.18</v>
      </c>
      <c r="N150" s="5">
        <v>0.180008</v>
      </c>
      <c r="O150" s="5">
        <v>1</v>
      </c>
      <c r="P150" s="5">
        <v>1.0688880000000001</v>
      </c>
      <c r="Q150" s="5">
        <v>-0.53</v>
      </c>
      <c r="R150" s="5">
        <v>-0.52734400000000003</v>
      </c>
      <c r="S150" s="5">
        <v>115</v>
      </c>
      <c r="T150" s="5">
        <v>115</v>
      </c>
      <c r="U150" s="5">
        <v>3.5</v>
      </c>
      <c r="V150" s="5">
        <v>3.5</v>
      </c>
      <c r="W150" s="5">
        <v>302.91000000000003</v>
      </c>
      <c r="X150" s="5">
        <v>303</v>
      </c>
      <c r="Y150" s="5">
        <v>0</v>
      </c>
      <c r="Z150" s="5">
        <v>0</v>
      </c>
      <c r="AA150" s="5">
        <v>300</v>
      </c>
      <c r="AB150" s="5">
        <v>300</v>
      </c>
      <c r="AC150" s="5">
        <v>0</v>
      </c>
      <c r="AD150" s="5">
        <v>73.374529999999993</v>
      </c>
      <c r="AE150" s="5">
        <v>0</v>
      </c>
      <c r="AF150" s="5">
        <v>80.698490000000007</v>
      </c>
      <c r="AG150" s="5">
        <v>43</v>
      </c>
      <c r="AH150" s="5">
        <v>0.23</v>
      </c>
      <c r="AI150" s="5">
        <v>39.9</v>
      </c>
      <c r="AJ150" s="5">
        <v>44.5</v>
      </c>
      <c r="AK150" s="5">
        <v>22.24</v>
      </c>
      <c r="AL150" s="5">
        <v>22.58</v>
      </c>
      <c r="AM150" s="5">
        <v>269.27999999999997</v>
      </c>
      <c r="AN150" s="5">
        <v>104.0861</v>
      </c>
      <c r="AO150" s="5">
        <v>1.57</v>
      </c>
      <c r="AP150" s="5">
        <v>40.35</v>
      </c>
      <c r="AQ150" s="5">
        <v>9.57</v>
      </c>
      <c r="AR150" s="5">
        <v>312.10000000000002</v>
      </c>
      <c r="AS150" s="5">
        <v>20.65</v>
      </c>
      <c r="AT150" s="5">
        <v>43.33</v>
      </c>
      <c r="AU150" s="5">
        <v>94.77</v>
      </c>
      <c r="AV150" s="5">
        <v>111.17</v>
      </c>
      <c r="AW150" s="5">
        <v>0.42699999999999999</v>
      </c>
      <c r="AX150" s="5">
        <v>6.4</v>
      </c>
      <c r="AY150" s="5">
        <v>3.0293999999999999</v>
      </c>
      <c r="AZ150" s="5">
        <v>247.54</v>
      </c>
      <c r="BA150" s="5">
        <v>60.37</v>
      </c>
      <c r="BB150" s="5">
        <v>4.3</v>
      </c>
      <c r="BC150" s="5">
        <v>0.68</v>
      </c>
      <c r="BD150" s="5">
        <v>14.68</v>
      </c>
      <c r="BE150" s="5">
        <v>5.01</v>
      </c>
      <c r="BF150" s="5">
        <v>204.03</v>
      </c>
      <c r="BG150" s="5">
        <v>15.83</v>
      </c>
      <c r="BH150" s="5">
        <v>0.21</v>
      </c>
      <c r="BI150" s="5">
        <v>341.8</v>
      </c>
      <c r="BJ150" s="5">
        <v>50.4</v>
      </c>
      <c r="BK150" s="5">
        <v>84.1</v>
      </c>
      <c r="BL150" s="5">
        <v>58.66</v>
      </c>
      <c r="BM150" s="5">
        <v>1.1599999999999999</v>
      </c>
      <c r="BN150" s="5">
        <v>29.6</v>
      </c>
      <c r="BO150" s="5">
        <v>32.94</v>
      </c>
      <c r="BP150" s="5">
        <v>318.16000000000003</v>
      </c>
      <c r="BQ150" s="5">
        <v>45.627290000000002</v>
      </c>
      <c r="BR150" s="5">
        <v>122.7466</v>
      </c>
      <c r="BS150" s="5">
        <v>139.73869999999999</v>
      </c>
      <c r="BT150" s="5">
        <v>109.6867</v>
      </c>
      <c r="BU150" s="5">
        <v>107.71129999999999</v>
      </c>
      <c r="BV150" s="5">
        <v>0</v>
      </c>
      <c r="BW150" s="5">
        <v>0</v>
      </c>
      <c r="BX150" s="5">
        <v>17.6538</v>
      </c>
      <c r="BY150" s="5">
        <v>18.995360000000002</v>
      </c>
      <c r="BZ150" s="5">
        <v>0</v>
      </c>
      <c r="CA150" s="5">
        <v>0.93506</v>
      </c>
      <c r="CB150" s="5">
        <v>401.21480000000003</v>
      </c>
      <c r="CC150" s="5">
        <v>406.72269999999997</v>
      </c>
      <c r="CD150" s="5">
        <v>21.1538</v>
      </c>
      <c r="CE150" s="5">
        <v>250.33</v>
      </c>
      <c r="CF150" s="5">
        <v>71.69</v>
      </c>
      <c r="CG150" s="5">
        <v>84.27</v>
      </c>
      <c r="CH150" s="5">
        <v>245.2</v>
      </c>
      <c r="CI150" s="5">
        <v>248.52</v>
      </c>
      <c r="CJ150" s="5">
        <v>255.79</v>
      </c>
      <c r="CK150" s="5">
        <v>256.20999999999998</v>
      </c>
      <c r="CL150" s="5">
        <v>261.42</v>
      </c>
      <c r="CM150" s="5">
        <v>253.82</v>
      </c>
      <c r="CN150" s="5">
        <v>237.68</v>
      </c>
      <c r="CO150" s="5">
        <v>22.84</v>
      </c>
      <c r="CP150" s="5">
        <v>95.6</v>
      </c>
      <c r="CQ150" s="5">
        <v>96.05</v>
      </c>
      <c r="CR150" s="5">
        <v>1.7</v>
      </c>
      <c r="CS150" s="5">
        <v>1.7</v>
      </c>
      <c r="CT150" s="5">
        <v>21.07</v>
      </c>
      <c r="CU150" s="5">
        <v>24.15</v>
      </c>
      <c r="CV150" s="5">
        <v>101.82</v>
      </c>
      <c r="CW150" s="5">
        <v>0.85658660900000005</v>
      </c>
      <c r="CX150" s="5">
        <v>4.2914989119999998</v>
      </c>
    </row>
    <row r="151" spans="1:102" x14ac:dyDescent="0.25">
      <c r="A151" s="5">
        <v>38</v>
      </c>
      <c r="B151" s="23">
        <v>2.4910879629629634E-2</v>
      </c>
      <c r="C151" s="5">
        <v>5</v>
      </c>
      <c r="D151" s="5">
        <v>35</v>
      </c>
      <c r="E151" s="5">
        <v>166</v>
      </c>
      <c r="F151" s="5">
        <v>166</v>
      </c>
      <c r="G151" s="5">
        <v>166</v>
      </c>
      <c r="H151" s="5">
        <v>91.7</v>
      </c>
      <c r="I151" s="5">
        <v>91.7</v>
      </c>
      <c r="J151" s="5">
        <v>1800</v>
      </c>
      <c r="K151" s="5">
        <v>5</v>
      </c>
      <c r="L151" s="5">
        <v>5</v>
      </c>
      <c r="M151" s="5">
        <v>0.25</v>
      </c>
      <c r="N151" s="5">
        <v>0.24992500000000001</v>
      </c>
      <c r="O151" s="5">
        <v>1</v>
      </c>
      <c r="P151" s="5">
        <v>1.0688869999999999</v>
      </c>
      <c r="Q151" s="5">
        <v>-1.58</v>
      </c>
      <c r="R151" s="5">
        <v>-1.582031</v>
      </c>
      <c r="S151" s="5">
        <v>115.85</v>
      </c>
      <c r="T151" s="5">
        <v>115.8438</v>
      </c>
      <c r="U151" s="5">
        <v>3.5</v>
      </c>
      <c r="V151" s="5">
        <v>3.5</v>
      </c>
      <c r="W151" s="5">
        <v>300</v>
      </c>
      <c r="X151" s="5">
        <v>300</v>
      </c>
      <c r="Y151" s="5">
        <v>3.5</v>
      </c>
      <c r="Z151" s="5">
        <v>3.5</v>
      </c>
      <c r="AA151" s="5">
        <v>300</v>
      </c>
      <c r="AB151" s="5">
        <v>300</v>
      </c>
      <c r="AC151" s="5">
        <v>0</v>
      </c>
      <c r="AD151" s="5">
        <v>75.954530000000005</v>
      </c>
      <c r="AE151" s="5">
        <v>0</v>
      </c>
      <c r="AF151" s="5">
        <v>83.534220000000005</v>
      </c>
      <c r="AG151" s="5">
        <v>43</v>
      </c>
      <c r="AH151" s="5">
        <v>0.23</v>
      </c>
      <c r="AI151" s="5">
        <v>42.19</v>
      </c>
      <c r="AJ151" s="5">
        <v>48.61</v>
      </c>
      <c r="AK151" s="5">
        <v>24.88</v>
      </c>
      <c r="AL151" s="5">
        <v>25.13</v>
      </c>
      <c r="AM151" s="5">
        <v>341.58</v>
      </c>
      <c r="AN151" s="5">
        <v>108.2405</v>
      </c>
      <c r="AO151" s="5">
        <v>5.59</v>
      </c>
      <c r="AP151" s="5">
        <v>46.07</v>
      </c>
      <c r="AQ151" s="5">
        <v>13.78</v>
      </c>
      <c r="AR151" s="5">
        <v>320.02</v>
      </c>
      <c r="AS151" s="5">
        <v>19.28</v>
      </c>
      <c r="AT151" s="5">
        <v>45.15</v>
      </c>
      <c r="AU151" s="5">
        <v>97.92</v>
      </c>
      <c r="AV151" s="5">
        <v>118.47</v>
      </c>
      <c r="AW151" s="5">
        <v>0.42899999999999999</v>
      </c>
      <c r="AX151" s="5">
        <v>6.43</v>
      </c>
      <c r="AY151" s="5">
        <v>3.5398000000000001</v>
      </c>
      <c r="AZ151" s="5">
        <v>231.67</v>
      </c>
      <c r="BA151" s="5">
        <v>37.17</v>
      </c>
      <c r="BB151" s="5">
        <v>5.86</v>
      </c>
      <c r="BC151" s="5">
        <v>1.1399999999999999</v>
      </c>
      <c r="BD151" s="5">
        <v>12.54</v>
      </c>
      <c r="BE151" s="5">
        <v>2.63</v>
      </c>
      <c r="BF151" s="5">
        <v>187.26</v>
      </c>
      <c r="BG151" s="5">
        <v>19.5</v>
      </c>
      <c r="BH151" s="5">
        <v>0.24</v>
      </c>
      <c r="BI151" s="5">
        <v>275.8</v>
      </c>
      <c r="BJ151" s="5">
        <v>37.1</v>
      </c>
      <c r="BK151" s="5">
        <v>86.2</v>
      </c>
      <c r="BL151" s="5">
        <v>77.52</v>
      </c>
      <c r="BM151" s="5">
        <v>1.22</v>
      </c>
      <c r="BN151" s="5">
        <v>30.02</v>
      </c>
      <c r="BO151" s="5">
        <v>34.33</v>
      </c>
      <c r="BP151" s="5">
        <v>328.57</v>
      </c>
      <c r="BQ151" s="5">
        <v>47.064579999999999</v>
      </c>
      <c r="BR151" s="5">
        <v>123.9276</v>
      </c>
      <c r="BS151" s="5">
        <v>111.3903</v>
      </c>
      <c r="BT151" s="5">
        <v>87.356909999999999</v>
      </c>
      <c r="BU151" s="5">
        <v>85.621020000000001</v>
      </c>
      <c r="BV151" s="5">
        <v>0</v>
      </c>
      <c r="BW151" s="5">
        <v>0</v>
      </c>
      <c r="BX151" s="5">
        <v>20.516870000000001</v>
      </c>
      <c r="BY151" s="5">
        <v>18.995360000000002</v>
      </c>
      <c r="BZ151" s="5">
        <v>0</v>
      </c>
      <c r="CA151" s="5">
        <v>0.93506999999999996</v>
      </c>
      <c r="CB151" s="5">
        <v>415.29289999999997</v>
      </c>
      <c r="CC151" s="5">
        <v>422.52440000000001</v>
      </c>
      <c r="CD151" s="5">
        <v>27.51802</v>
      </c>
      <c r="CE151" s="5">
        <v>338.34</v>
      </c>
      <c r="CF151" s="5">
        <v>73.290000000000006</v>
      </c>
      <c r="CG151" s="5">
        <v>87.64</v>
      </c>
      <c r="CH151" s="5">
        <v>308.55</v>
      </c>
      <c r="CI151" s="5">
        <v>308.25</v>
      </c>
      <c r="CJ151" s="5">
        <v>318.66000000000003</v>
      </c>
      <c r="CK151" s="5">
        <v>340.6</v>
      </c>
      <c r="CL151" s="5">
        <v>333.52</v>
      </c>
      <c r="CM151" s="5">
        <v>335.93</v>
      </c>
      <c r="CN151" s="5">
        <v>299.63</v>
      </c>
      <c r="CO151" s="5">
        <v>25.55</v>
      </c>
      <c r="CP151" s="5">
        <v>165.5</v>
      </c>
      <c r="CQ151" s="5">
        <v>166.05</v>
      </c>
      <c r="CR151" s="5">
        <v>3</v>
      </c>
      <c r="CS151" s="5">
        <v>3</v>
      </c>
      <c r="CT151" s="5">
        <v>23.3</v>
      </c>
      <c r="CU151" s="5">
        <v>19.04</v>
      </c>
      <c r="CV151" s="5">
        <v>101.72</v>
      </c>
      <c r="CW151" s="5">
        <v>0.84312715400000005</v>
      </c>
      <c r="CX151" s="5">
        <v>2.2174244160000001</v>
      </c>
    </row>
    <row r="152" spans="1:102" x14ac:dyDescent="0.25">
      <c r="A152" s="5">
        <v>11</v>
      </c>
      <c r="B152" s="23">
        <v>2.1562499999999998E-2</v>
      </c>
      <c r="C152" s="5">
        <v>5</v>
      </c>
      <c r="D152" s="5">
        <v>11</v>
      </c>
      <c r="E152" s="5">
        <v>86</v>
      </c>
      <c r="F152" s="5">
        <v>86</v>
      </c>
      <c r="G152" s="5">
        <v>86</v>
      </c>
      <c r="H152" s="5">
        <v>91.7</v>
      </c>
      <c r="I152" s="5">
        <v>91.7</v>
      </c>
      <c r="J152" s="5">
        <v>1800</v>
      </c>
      <c r="K152" s="5">
        <v>67</v>
      </c>
      <c r="L152" s="5">
        <v>67</v>
      </c>
      <c r="M152" s="5">
        <v>0.17</v>
      </c>
      <c r="N152" s="5">
        <v>0.16997100000000001</v>
      </c>
      <c r="O152" s="5">
        <v>1</v>
      </c>
      <c r="P152" s="5">
        <v>1.0689390000000001</v>
      </c>
      <c r="Q152" s="5">
        <v>-0.41</v>
      </c>
      <c r="R152" s="5">
        <v>-0.40649400000000002</v>
      </c>
      <c r="S152" s="5">
        <v>114.83</v>
      </c>
      <c r="T152" s="5">
        <v>114.82810000000001</v>
      </c>
      <c r="U152" s="5">
        <v>3.5</v>
      </c>
      <c r="V152" s="5">
        <v>3.5</v>
      </c>
      <c r="W152" s="5">
        <v>310.2</v>
      </c>
      <c r="X152" s="5">
        <v>310</v>
      </c>
      <c r="Y152" s="5">
        <v>0</v>
      </c>
      <c r="Z152" s="5">
        <v>0</v>
      </c>
      <c r="AA152" s="5">
        <v>300</v>
      </c>
      <c r="AB152" s="5">
        <v>300</v>
      </c>
      <c r="AC152" s="5">
        <v>0</v>
      </c>
      <c r="AD152" s="5">
        <v>99.219740000000002</v>
      </c>
      <c r="AE152" s="5">
        <v>0</v>
      </c>
      <c r="AF152" s="5">
        <v>109.12690000000001</v>
      </c>
      <c r="AG152" s="5">
        <v>43</v>
      </c>
      <c r="AH152" s="5">
        <v>0.23</v>
      </c>
      <c r="AI152" s="5">
        <v>54.27</v>
      </c>
      <c r="AJ152" s="5">
        <v>75.11</v>
      </c>
      <c r="AK152" s="5">
        <v>111.65</v>
      </c>
      <c r="AL152" s="5">
        <v>111.25</v>
      </c>
      <c r="AM152" s="5">
        <v>272.54000000000002</v>
      </c>
      <c r="AN152" s="5">
        <v>145.73699999999999</v>
      </c>
      <c r="AO152" s="5">
        <v>43.5</v>
      </c>
      <c r="AP152" s="5">
        <v>74.790000000000006</v>
      </c>
      <c r="AQ152" s="5">
        <v>52.83</v>
      </c>
      <c r="AR152" s="5">
        <v>377.79</v>
      </c>
      <c r="AS152" s="5">
        <v>68.16</v>
      </c>
      <c r="AT152" s="5">
        <v>54.1</v>
      </c>
      <c r="AU152" s="5">
        <v>100.98</v>
      </c>
      <c r="AV152" s="5">
        <v>118.5</v>
      </c>
      <c r="AW152" s="5">
        <v>0.45100000000000001</v>
      </c>
      <c r="AX152" s="5">
        <v>6.79</v>
      </c>
      <c r="AY152" s="5">
        <v>3.4885999999999999</v>
      </c>
      <c r="AZ152" s="5">
        <v>123.99</v>
      </c>
      <c r="BA152" s="5">
        <v>45.32</v>
      </c>
      <c r="BB152" s="5">
        <v>4.0199999999999996</v>
      </c>
      <c r="BC152" s="5">
        <v>0.99</v>
      </c>
      <c r="BD152" s="5">
        <v>15.12</v>
      </c>
      <c r="BE152" s="5">
        <v>5.88</v>
      </c>
      <c r="BF152" s="5">
        <v>175.89</v>
      </c>
      <c r="BG152" s="5">
        <v>24.57</v>
      </c>
      <c r="BH152" s="5">
        <v>0.24</v>
      </c>
      <c r="BI152" s="5">
        <v>424.9</v>
      </c>
      <c r="BJ152" s="5">
        <v>54.8</v>
      </c>
      <c r="BK152" s="5">
        <v>82.9</v>
      </c>
      <c r="BL152" s="5">
        <v>123.06</v>
      </c>
      <c r="BM152" s="5">
        <v>1.6</v>
      </c>
      <c r="BN152" s="5">
        <v>29.87</v>
      </c>
      <c r="BO152" s="5">
        <v>32.630000000000003</v>
      </c>
      <c r="BP152" s="5">
        <v>384.66</v>
      </c>
      <c r="BQ152" s="5">
        <v>54.65437</v>
      </c>
      <c r="BR152" s="5">
        <v>210.2466</v>
      </c>
      <c r="BS152" s="5">
        <v>130.55860000000001</v>
      </c>
      <c r="BT152" s="5">
        <v>137.63329999999999</v>
      </c>
      <c r="BU152" s="5">
        <v>134.93270000000001</v>
      </c>
      <c r="BV152" s="5">
        <v>0</v>
      </c>
      <c r="BW152" s="5">
        <v>0</v>
      </c>
      <c r="BX152" s="5">
        <v>19.480730000000001</v>
      </c>
      <c r="BY152" s="5">
        <v>18.995360000000002</v>
      </c>
      <c r="BZ152" s="5">
        <v>0</v>
      </c>
      <c r="CA152" s="5">
        <v>0.93506199999999995</v>
      </c>
      <c r="CB152" s="5">
        <v>546.24149999999997</v>
      </c>
      <c r="CC152" s="5">
        <v>552.2473</v>
      </c>
      <c r="CD152" s="5">
        <v>22.981770000000001</v>
      </c>
      <c r="CE152" s="5">
        <v>253.77</v>
      </c>
      <c r="CF152" s="5">
        <v>78.260000000000005</v>
      </c>
      <c r="CG152" s="5">
        <v>93.23</v>
      </c>
      <c r="CH152" s="5">
        <v>244.44</v>
      </c>
      <c r="CI152" s="5">
        <v>247.41</v>
      </c>
      <c r="CJ152" s="5">
        <v>252.59</v>
      </c>
      <c r="CK152" s="5">
        <v>258.68</v>
      </c>
      <c r="CL152" s="5">
        <v>260.32</v>
      </c>
      <c r="CM152" s="5">
        <v>256.08999999999997</v>
      </c>
      <c r="CN152" s="5">
        <v>199.26</v>
      </c>
      <c r="CO152" s="5">
        <v>22.25</v>
      </c>
      <c r="CP152" s="5">
        <v>85.7</v>
      </c>
      <c r="CQ152" s="5">
        <v>86.05</v>
      </c>
      <c r="CR152" s="5">
        <v>1.5</v>
      </c>
      <c r="CS152" s="5">
        <v>1.5</v>
      </c>
      <c r="CT152" s="5">
        <v>20.25</v>
      </c>
      <c r="CU152" s="5">
        <v>23.97</v>
      </c>
      <c r="CV152" s="5">
        <v>101.81</v>
      </c>
      <c r="CW152" s="5">
        <v>0.85613174999999997</v>
      </c>
      <c r="CX152" s="5">
        <v>5.0340546909999997</v>
      </c>
    </row>
    <row r="153" spans="1:102" x14ac:dyDescent="0.25">
      <c r="A153" s="5">
        <v>17</v>
      </c>
      <c r="B153" s="23">
        <v>2.966898148148148E-2</v>
      </c>
      <c r="C153" s="5">
        <v>5</v>
      </c>
      <c r="D153" s="5">
        <v>16</v>
      </c>
      <c r="E153" s="5">
        <v>100</v>
      </c>
      <c r="F153" s="5">
        <v>100</v>
      </c>
      <c r="G153" s="5">
        <v>100</v>
      </c>
      <c r="H153" s="5">
        <v>91.7</v>
      </c>
      <c r="I153" s="5">
        <v>91.7</v>
      </c>
      <c r="J153" s="5">
        <v>1800</v>
      </c>
      <c r="K153" s="5">
        <v>19</v>
      </c>
      <c r="L153" s="5">
        <v>19</v>
      </c>
      <c r="M153" s="5">
        <v>0.22</v>
      </c>
      <c r="N153" s="5">
        <v>0.220026</v>
      </c>
      <c r="O153" s="5">
        <v>1</v>
      </c>
      <c r="P153" s="5">
        <v>1.068927</v>
      </c>
      <c r="Q153" s="5">
        <v>-0.57999999999999996</v>
      </c>
      <c r="R153" s="5">
        <v>-0.58227499999999999</v>
      </c>
      <c r="S153" s="5">
        <v>115.06</v>
      </c>
      <c r="T153" s="5">
        <v>115.0625</v>
      </c>
      <c r="U153" s="5">
        <v>3.5</v>
      </c>
      <c r="V153" s="5">
        <v>3.5</v>
      </c>
      <c r="W153" s="5">
        <v>300</v>
      </c>
      <c r="X153" s="5">
        <v>300</v>
      </c>
      <c r="Y153" s="5">
        <v>0</v>
      </c>
      <c r="Z153" s="5">
        <v>0</v>
      </c>
      <c r="AA153" s="5">
        <v>300</v>
      </c>
      <c r="AB153" s="5">
        <v>300</v>
      </c>
      <c r="AC153" s="5">
        <v>0</v>
      </c>
      <c r="AD153" s="5">
        <v>76.506979999999999</v>
      </c>
      <c r="AE153" s="5">
        <v>0</v>
      </c>
      <c r="AF153" s="5">
        <v>84.144379999999998</v>
      </c>
      <c r="AG153" s="5">
        <v>43</v>
      </c>
      <c r="AH153" s="5">
        <v>0.23</v>
      </c>
      <c r="AI153" s="5">
        <v>41.49</v>
      </c>
      <c r="AJ153" s="5">
        <v>48.5</v>
      </c>
      <c r="AK153" s="5">
        <v>26.61</v>
      </c>
      <c r="AL153" s="5">
        <v>26.76</v>
      </c>
      <c r="AM153" s="5">
        <v>267.77999999999997</v>
      </c>
      <c r="AN153" s="5">
        <v>108.4332</v>
      </c>
      <c r="AO153" s="5">
        <v>5.79</v>
      </c>
      <c r="AP153" s="5">
        <v>43.6</v>
      </c>
      <c r="AQ153" s="5">
        <v>13.8</v>
      </c>
      <c r="AR153" s="5">
        <v>320.55</v>
      </c>
      <c r="AS153" s="5">
        <v>20.83</v>
      </c>
      <c r="AT153" s="5">
        <v>43.48</v>
      </c>
      <c r="AU153" s="5">
        <v>95.66</v>
      </c>
      <c r="AV153" s="5">
        <v>118.05</v>
      </c>
      <c r="AW153" s="5">
        <v>0.45800000000000002</v>
      </c>
      <c r="AX153" s="5">
        <v>6.93</v>
      </c>
      <c r="AY153" s="5">
        <v>3.4842</v>
      </c>
      <c r="AZ153" s="5">
        <v>240.37</v>
      </c>
      <c r="BA153" s="5">
        <v>60.06</v>
      </c>
      <c r="BB153" s="5">
        <v>4.37</v>
      </c>
      <c r="BC153" s="5">
        <v>0.8</v>
      </c>
      <c r="BD153" s="5">
        <v>14.58</v>
      </c>
      <c r="BE153" s="5">
        <v>4.5999999999999996</v>
      </c>
      <c r="BF153" s="5">
        <v>189.97</v>
      </c>
      <c r="BG153" s="5">
        <v>18.350000000000001</v>
      </c>
      <c r="BH153" s="5">
        <v>0.24</v>
      </c>
      <c r="BI153" s="5">
        <v>336.4</v>
      </c>
      <c r="BJ153" s="5">
        <v>50.5</v>
      </c>
      <c r="BK153" s="5">
        <v>85.4</v>
      </c>
      <c r="BL153" s="5">
        <v>72.03</v>
      </c>
      <c r="BM153" s="5">
        <v>1.21</v>
      </c>
      <c r="BN153" s="5">
        <v>29.7</v>
      </c>
      <c r="BO153" s="5">
        <v>32.93</v>
      </c>
      <c r="BP153" s="5">
        <v>326.89</v>
      </c>
      <c r="BQ153" s="5">
        <v>45.55547</v>
      </c>
      <c r="BR153" s="5">
        <v>126.24550000000001</v>
      </c>
      <c r="BS153" s="5">
        <v>137.06049999999999</v>
      </c>
      <c r="BT153" s="5">
        <v>111.23480000000001</v>
      </c>
      <c r="BU153" s="5">
        <v>109.45569999999999</v>
      </c>
      <c r="BV153" s="5">
        <v>0</v>
      </c>
      <c r="BW153" s="5">
        <v>0</v>
      </c>
      <c r="BX153" s="5">
        <v>18.18573</v>
      </c>
      <c r="BY153" s="5">
        <v>18.995360000000002</v>
      </c>
      <c r="BZ153" s="5">
        <v>0</v>
      </c>
      <c r="CA153" s="5">
        <v>0.93506</v>
      </c>
      <c r="CB153" s="5">
        <v>418.09789999999998</v>
      </c>
      <c r="CC153" s="5">
        <v>423.77620000000002</v>
      </c>
      <c r="CD153" s="5">
        <v>21.68573</v>
      </c>
      <c r="CE153" s="5">
        <v>251.86</v>
      </c>
      <c r="CF153" s="5">
        <v>71.319999999999993</v>
      </c>
      <c r="CG153" s="5">
        <v>85.11</v>
      </c>
      <c r="CH153" s="5">
        <v>243.47</v>
      </c>
      <c r="CI153" s="5">
        <v>245.72</v>
      </c>
      <c r="CJ153" s="5">
        <v>256.18</v>
      </c>
      <c r="CK153" s="5">
        <v>256.94</v>
      </c>
      <c r="CL153" s="5">
        <v>259.56</v>
      </c>
      <c r="CM153" s="5">
        <v>253.28</v>
      </c>
      <c r="CN153" s="5">
        <v>232.14</v>
      </c>
      <c r="CO153" s="5">
        <v>23.01</v>
      </c>
      <c r="CP153" s="5">
        <v>99.6</v>
      </c>
      <c r="CQ153" s="5">
        <v>100.05</v>
      </c>
      <c r="CR153" s="5">
        <v>1.8</v>
      </c>
      <c r="CS153" s="5">
        <v>1.8</v>
      </c>
      <c r="CT153" s="5">
        <v>21.21</v>
      </c>
      <c r="CU153" s="5">
        <v>23.4</v>
      </c>
      <c r="CV153" s="5">
        <v>101.81</v>
      </c>
      <c r="CW153" s="5">
        <v>0.85563188300000004</v>
      </c>
      <c r="CX153" s="5">
        <v>3.9359066619999998</v>
      </c>
    </row>
    <row r="154" spans="1:102" x14ac:dyDescent="0.25">
      <c r="A154" s="5">
        <v>35</v>
      </c>
      <c r="B154" s="23">
        <v>5.1689814814814819E-3</v>
      </c>
      <c r="C154" s="5">
        <v>5</v>
      </c>
      <c r="D154" s="5">
        <v>33</v>
      </c>
      <c r="E154" s="5">
        <v>161</v>
      </c>
      <c r="F154" s="5">
        <v>161</v>
      </c>
      <c r="G154" s="5">
        <v>161</v>
      </c>
      <c r="H154" s="5">
        <v>91.7</v>
      </c>
      <c r="I154" s="5">
        <v>91.7</v>
      </c>
      <c r="J154" s="5">
        <v>1800</v>
      </c>
      <c r="K154" s="5">
        <v>10</v>
      </c>
      <c r="L154" s="5">
        <v>10</v>
      </c>
      <c r="M154" s="5">
        <v>0.28000000000000003</v>
      </c>
      <c r="N154" s="5">
        <v>0.28013700000000002</v>
      </c>
      <c r="O154" s="5">
        <v>1</v>
      </c>
      <c r="P154" s="5">
        <v>1.0689059999999999</v>
      </c>
      <c r="Q154" s="5">
        <v>-1.5</v>
      </c>
      <c r="R154" s="5">
        <v>-1.5051270000000001</v>
      </c>
      <c r="S154" s="5">
        <v>115.78</v>
      </c>
      <c r="T154" s="5">
        <v>115.7813</v>
      </c>
      <c r="U154" s="5">
        <v>3.5</v>
      </c>
      <c r="V154" s="5">
        <v>3.5</v>
      </c>
      <c r="W154" s="5">
        <v>300</v>
      </c>
      <c r="X154" s="5">
        <v>300</v>
      </c>
      <c r="Y154" s="5">
        <v>3.5</v>
      </c>
      <c r="Z154" s="5">
        <v>3.5</v>
      </c>
      <c r="AA154" s="5">
        <v>300</v>
      </c>
      <c r="AB154" s="5">
        <v>300</v>
      </c>
      <c r="AC154" s="5">
        <v>0</v>
      </c>
      <c r="AD154" s="5">
        <v>73.933440000000004</v>
      </c>
      <c r="AE154" s="5">
        <v>0</v>
      </c>
      <c r="AF154" s="5">
        <v>81.313280000000006</v>
      </c>
      <c r="AG154" s="5">
        <v>43</v>
      </c>
      <c r="AH154" s="5">
        <v>0.23</v>
      </c>
      <c r="AI154" s="5">
        <v>42.34</v>
      </c>
      <c r="AJ154" s="5">
        <v>48.66</v>
      </c>
      <c r="AK154" s="5">
        <v>24.95</v>
      </c>
      <c r="AL154" s="5">
        <v>25.06</v>
      </c>
      <c r="AM154" s="5">
        <v>343.01</v>
      </c>
      <c r="AN154" s="5">
        <v>108.3305</v>
      </c>
      <c r="AO154" s="5">
        <v>6.44</v>
      </c>
      <c r="AP154" s="5">
        <v>47.22</v>
      </c>
      <c r="AQ154" s="5">
        <v>14.48</v>
      </c>
      <c r="AR154" s="5">
        <v>306.27999999999997</v>
      </c>
      <c r="AS154" s="5">
        <v>18.53</v>
      </c>
      <c r="AT154" s="5">
        <v>54.46</v>
      </c>
      <c r="AU154" s="5">
        <v>98.53</v>
      </c>
      <c r="AV154" s="5">
        <v>116.99</v>
      </c>
      <c r="AW154" s="5">
        <v>0.46400000000000002</v>
      </c>
      <c r="AX154" s="5">
        <v>7.03</v>
      </c>
      <c r="AY154" s="5">
        <v>3.9</v>
      </c>
      <c r="AZ154" s="5">
        <v>221.32</v>
      </c>
      <c r="BA154" s="5">
        <v>-0.08</v>
      </c>
      <c r="BB154" s="5">
        <v>5.98</v>
      </c>
      <c r="BC154" s="5">
        <v>1.24</v>
      </c>
      <c r="BD154" s="5">
        <v>12.39</v>
      </c>
      <c r="BE154" s="5">
        <v>2.2599999999999998</v>
      </c>
      <c r="BF154" s="5">
        <v>163.55000000000001</v>
      </c>
      <c r="BG154" s="5">
        <v>20.75</v>
      </c>
      <c r="BH154" s="5">
        <v>0.27</v>
      </c>
      <c r="BI154" s="5">
        <v>280.60000000000002</v>
      </c>
      <c r="BJ154" s="5">
        <v>36</v>
      </c>
      <c r="BK154" s="5">
        <v>85.3</v>
      </c>
      <c r="BL154" s="5">
        <v>80.2</v>
      </c>
      <c r="BM154" s="5">
        <v>1.2</v>
      </c>
      <c r="BN154" s="5">
        <v>30.12</v>
      </c>
      <c r="BO154" s="5">
        <v>34.49</v>
      </c>
      <c r="BP154" s="5">
        <v>314.81</v>
      </c>
      <c r="BQ154" s="5">
        <v>56.008130000000001</v>
      </c>
      <c r="BR154" s="5">
        <v>124.0797</v>
      </c>
      <c r="BS154" s="5">
        <v>113.4278</v>
      </c>
      <c r="BT154" s="5">
        <v>86.826679999999996</v>
      </c>
      <c r="BU154" s="5">
        <v>85.24221</v>
      </c>
      <c r="BV154" s="5">
        <v>0</v>
      </c>
      <c r="BW154" s="5">
        <v>0</v>
      </c>
      <c r="BX154" s="5">
        <v>19.947030000000002</v>
      </c>
      <c r="BY154" s="5">
        <v>18.995360000000002</v>
      </c>
      <c r="BZ154" s="5">
        <v>0</v>
      </c>
      <c r="CA154" s="5">
        <v>0.93506900000000004</v>
      </c>
      <c r="CB154" s="5">
        <v>404.35559999999998</v>
      </c>
      <c r="CC154" s="5">
        <v>411.43020000000001</v>
      </c>
      <c r="CD154" s="5">
        <v>26.94312</v>
      </c>
      <c r="CE154" s="5">
        <v>341.74</v>
      </c>
      <c r="CF154" s="5">
        <v>79.400000000000006</v>
      </c>
      <c r="CG154" s="5">
        <v>90.89</v>
      </c>
      <c r="CH154" s="5">
        <v>315.7</v>
      </c>
      <c r="CI154" s="5">
        <v>310.63</v>
      </c>
      <c r="CJ154" s="5">
        <v>319.47000000000003</v>
      </c>
      <c r="CK154" s="5">
        <v>338.83</v>
      </c>
      <c r="CL154" s="5">
        <v>336.36</v>
      </c>
      <c r="CM154" s="5">
        <v>338.69</v>
      </c>
      <c r="CN154" s="5">
        <v>300.37</v>
      </c>
      <c r="CO154" s="5">
        <v>25.67</v>
      </c>
      <c r="CP154" s="5">
        <v>160.6</v>
      </c>
      <c r="CQ154" s="5">
        <v>161.05000000000001</v>
      </c>
      <c r="CR154" s="5">
        <v>2.9</v>
      </c>
      <c r="CS154" s="5">
        <v>2.9</v>
      </c>
      <c r="CT154" s="5">
        <v>23.45</v>
      </c>
      <c r="CU154" s="5">
        <v>20.39</v>
      </c>
      <c r="CV154" s="5">
        <v>101.73</v>
      </c>
      <c r="CW154" s="5">
        <v>0.84502653400000005</v>
      </c>
      <c r="CX154" s="5">
        <v>1.909759966</v>
      </c>
    </row>
    <row r="155" spans="1:102" x14ac:dyDescent="0.25">
      <c r="A155" s="5">
        <v>4</v>
      </c>
      <c r="B155" s="23">
        <v>2.5268518518518513E-2</v>
      </c>
      <c r="C155" s="5">
        <v>5</v>
      </c>
      <c r="D155" s="5">
        <v>4</v>
      </c>
      <c r="E155" s="5">
        <v>58</v>
      </c>
      <c r="F155" s="5">
        <v>58</v>
      </c>
      <c r="G155" s="5">
        <v>58</v>
      </c>
      <c r="H155" s="5">
        <v>91.7</v>
      </c>
      <c r="I155" s="5">
        <v>91.7</v>
      </c>
      <c r="J155" s="5">
        <v>1800</v>
      </c>
      <c r="K155" s="5">
        <v>78</v>
      </c>
      <c r="L155" s="5">
        <v>78</v>
      </c>
      <c r="M155" s="5">
        <v>0.15</v>
      </c>
      <c r="N155" s="5">
        <v>0.15007799999999999</v>
      </c>
      <c r="O155" s="5">
        <v>1</v>
      </c>
      <c r="P155" s="5">
        <v>1.0689580000000001</v>
      </c>
      <c r="Q155" s="5">
        <v>-0.06</v>
      </c>
      <c r="R155" s="5">
        <v>-5.4932000000000002E-2</v>
      </c>
      <c r="S155" s="5">
        <v>114.38</v>
      </c>
      <c r="T155" s="5">
        <v>114.375</v>
      </c>
      <c r="U155" s="5">
        <v>3.5</v>
      </c>
      <c r="V155" s="5">
        <v>3.5</v>
      </c>
      <c r="W155" s="5">
        <v>330.6</v>
      </c>
      <c r="X155" s="5">
        <v>331</v>
      </c>
      <c r="Y155" s="5">
        <v>0</v>
      </c>
      <c r="Z155" s="5">
        <v>0</v>
      </c>
      <c r="AA155" s="5">
        <v>300</v>
      </c>
      <c r="AB155" s="5">
        <v>300</v>
      </c>
      <c r="AC155" s="5">
        <v>0</v>
      </c>
      <c r="AD155" s="5">
        <v>103.62820000000001</v>
      </c>
      <c r="AE155" s="5">
        <v>0</v>
      </c>
      <c r="AF155" s="5">
        <v>113.9765</v>
      </c>
      <c r="AG155" s="5">
        <v>43</v>
      </c>
      <c r="AH155" s="5">
        <v>0.23</v>
      </c>
      <c r="AI155" s="5">
        <v>57.58</v>
      </c>
      <c r="AJ155" s="5">
        <v>78.37</v>
      </c>
      <c r="AK155" s="5">
        <v>170.74</v>
      </c>
      <c r="AL155" s="5">
        <v>170.12</v>
      </c>
      <c r="AM155" s="5">
        <v>289.48</v>
      </c>
      <c r="AN155" s="5">
        <v>154.1266</v>
      </c>
      <c r="AO155" s="5">
        <v>52.36</v>
      </c>
      <c r="AP155" s="5">
        <v>81.08</v>
      </c>
      <c r="AQ155" s="5">
        <v>61.14</v>
      </c>
      <c r="AR155" s="5">
        <v>366.92</v>
      </c>
      <c r="AS155" s="5">
        <v>118.38</v>
      </c>
      <c r="AT155" s="5">
        <v>58.47</v>
      </c>
      <c r="AU155" s="5">
        <v>104.03</v>
      </c>
      <c r="AV155" s="5">
        <v>119.62</v>
      </c>
      <c r="AW155" s="5">
        <v>0.5</v>
      </c>
      <c r="AX155" s="5">
        <v>7.65</v>
      </c>
      <c r="AY155" s="5">
        <v>5.9294000000000002</v>
      </c>
      <c r="AZ155" s="5">
        <v>121.45</v>
      </c>
      <c r="BA155" s="5">
        <v>35.14</v>
      </c>
      <c r="BB155" s="5">
        <v>4.1900000000000004</v>
      </c>
      <c r="BC155" s="5">
        <v>1.2</v>
      </c>
      <c r="BD155" s="5">
        <v>14.91</v>
      </c>
      <c r="BE155" s="5">
        <v>7.74</v>
      </c>
      <c r="BF155" s="5">
        <v>161.29</v>
      </c>
      <c r="BG155" s="5">
        <v>28.6</v>
      </c>
      <c r="BH155" s="5">
        <v>0.39</v>
      </c>
      <c r="BI155" s="5">
        <v>633.6</v>
      </c>
      <c r="BJ155" s="5">
        <v>52.9</v>
      </c>
      <c r="BK155" s="5">
        <v>80.7</v>
      </c>
      <c r="BL155" s="5">
        <v>147</v>
      </c>
      <c r="BM155" s="5">
        <v>1.68</v>
      </c>
      <c r="BN155" s="5">
        <v>30.05</v>
      </c>
      <c r="BO155" s="5">
        <v>32.75</v>
      </c>
      <c r="BP155" s="5">
        <v>373.86</v>
      </c>
      <c r="BQ155" s="5">
        <v>58.142449999999997</v>
      </c>
      <c r="BR155" s="5">
        <v>268.40719999999999</v>
      </c>
      <c r="BS155" s="5">
        <v>132.3981</v>
      </c>
      <c r="BT155" s="5">
        <v>146.43039999999999</v>
      </c>
      <c r="BU155" s="5">
        <v>143.5121</v>
      </c>
      <c r="BV155" s="5">
        <v>0</v>
      </c>
      <c r="BW155" s="5">
        <v>0</v>
      </c>
      <c r="BX155" s="5">
        <v>19.114059999999998</v>
      </c>
      <c r="BY155" s="5">
        <v>18.995360000000002</v>
      </c>
      <c r="BZ155" s="5">
        <v>0</v>
      </c>
      <c r="CA155" s="5">
        <v>0.93506199999999995</v>
      </c>
      <c r="CB155" s="5">
        <v>571.61170000000004</v>
      </c>
      <c r="CC155" s="5">
        <v>577.52329999999995</v>
      </c>
      <c r="CD155" s="5">
        <v>22.616040000000002</v>
      </c>
      <c r="CE155" s="5">
        <v>272.42</v>
      </c>
      <c r="CF155" s="5">
        <v>80.77</v>
      </c>
      <c r="CG155" s="5">
        <v>97</v>
      </c>
      <c r="CH155" s="5">
        <v>267.02999999999997</v>
      </c>
      <c r="CI155" s="5">
        <v>266.77999999999997</v>
      </c>
      <c r="CJ155" s="5">
        <v>276.08</v>
      </c>
      <c r="CK155" s="5">
        <v>278.7</v>
      </c>
      <c r="CL155" s="5">
        <v>279.61</v>
      </c>
      <c r="CM155" s="5">
        <v>275.89</v>
      </c>
      <c r="CN155" s="5">
        <v>206.72</v>
      </c>
      <c r="CO155" s="5">
        <v>21.93</v>
      </c>
      <c r="CP155" s="5">
        <v>57.8</v>
      </c>
      <c r="CQ155" s="5">
        <v>58.05</v>
      </c>
      <c r="CR155" s="5">
        <v>1</v>
      </c>
      <c r="CS155" s="5">
        <v>1</v>
      </c>
      <c r="CT155" s="5">
        <v>19.77</v>
      </c>
      <c r="CU155" s="5">
        <v>24.22</v>
      </c>
      <c r="CV155" s="5">
        <v>101.8</v>
      </c>
      <c r="CW155" s="5">
        <v>0.85367763200000002</v>
      </c>
      <c r="CX155" s="5">
        <v>6.6074648749999998</v>
      </c>
    </row>
    <row r="156" spans="1:102" x14ac:dyDescent="0.25">
      <c r="A156" s="5">
        <v>34</v>
      </c>
      <c r="B156" s="23">
        <v>4.1412037037037039E-2</v>
      </c>
      <c r="C156" s="5">
        <v>5</v>
      </c>
      <c r="D156" s="5">
        <v>32</v>
      </c>
      <c r="E156" s="5">
        <v>157</v>
      </c>
      <c r="F156" s="5">
        <v>157</v>
      </c>
      <c r="G156" s="5">
        <v>157</v>
      </c>
      <c r="H156" s="5">
        <v>91.7</v>
      </c>
      <c r="I156" s="5">
        <v>91.7</v>
      </c>
      <c r="J156" s="5">
        <v>1800</v>
      </c>
      <c r="K156" s="5">
        <v>61</v>
      </c>
      <c r="L156" s="5">
        <v>61</v>
      </c>
      <c r="M156" s="5">
        <v>0.25</v>
      </c>
      <c r="N156" s="5">
        <v>0.24995899999999999</v>
      </c>
      <c r="O156" s="5">
        <v>1</v>
      </c>
      <c r="P156" s="5">
        <v>1.0689409999999999</v>
      </c>
      <c r="Q156" s="5">
        <v>-1.44</v>
      </c>
      <c r="R156" s="5">
        <v>-1.439209</v>
      </c>
      <c r="S156" s="5">
        <v>115.73</v>
      </c>
      <c r="T156" s="5">
        <v>115.73439999999999</v>
      </c>
      <c r="U156" s="5">
        <v>3.5</v>
      </c>
      <c r="V156" s="5">
        <v>3.5</v>
      </c>
      <c r="W156" s="5">
        <v>300</v>
      </c>
      <c r="X156" s="5">
        <v>300</v>
      </c>
      <c r="Y156" s="5">
        <v>3.5</v>
      </c>
      <c r="Z156" s="5">
        <v>3.5</v>
      </c>
      <c r="AA156" s="5">
        <v>300</v>
      </c>
      <c r="AB156" s="5">
        <v>300</v>
      </c>
      <c r="AC156" s="5">
        <v>0</v>
      </c>
      <c r="AD156" s="5">
        <v>92.790890000000005</v>
      </c>
      <c r="AE156" s="5">
        <v>0</v>
      </c>
      <c r="AF156" s="5">
        <v>102.05540000000001</v>
      </c>
      <c r="AG156" s="5">
        <v>43</v>
      </c>
      <c r="AH156" s="5">
        <v>0.23</v>
      </c>
      <c r="AI156" s="5">
        <v>53.38</v>
      </c>
      <c r="AJ156" s="5">
        <v>72.84</v>
      </c>
      <c r="AK156" s="5">
        <v>86.29</v>
      </c>
      <c r="AL156" s="5">
        <v>85.4</v>
      </c>
      <c r="AM156" s="5">
        <v>325.11</v>
      </c>
      <c r="AN156" s="5">
        <v>141.91</v>
      </c>
      <c r="AO156" s="5">
        <v>40.630000000000003</v>
      </c>
      <c r="AP156" s="5">
        <v>76.14</v>
      </c>
      <c r="AQ156" s="5">
        <v>49.73</v>
      </c>
      <c r="AR156" s="5">
        <v>358.63</v>
      </c>
      <c r="AS156" s="5">
        <v>45.67</v>
      </c>
      <c r="AT156" s="5">
        <v>69.94</v>
      </c>
      <c r="AU156" s="5">
        <v>107.16</v>
      </c>
      <c r="AV156" s="5">
        <v>110.36</v>
      </c>
      <c r="AW156" s="5">
        <v>0.55900000000000005</v>
      </c>
      <c r="AX156" s="5">
        <v>8.7200000000000006</v>
      </c>
      <c r="AY156" s="5">
        <v>4.3705999999999996</v>
      </c>
      <c r="AZ156" s="5">
        <v>153.74</v>
      </c>
      <c r="BA156" s="5">
        <v>-7.0000000000000007E-2</v>
      </c>
      <c r="BB156" s="5">
        <v>5.59</v>
      </c>
      <c r="BC156" s="5">
        <v>1.64</v>
      </c>
      <c r="BD156" s="5">
        <v>12.93</v>
      </c>
      <c r="BE156" s="5">
        <v>2.31</v>
      </c>
      <c r="BF156" s="5">
        <v>136.96</v>
      </c>
      <c r="BG156" s="5">
        <v>29.36</v>
      </c>
      <c r="BH156" s="5">
        <v>0.28999999999999998</v>
      </c>
      <c r="BI156" s="5">
        <v>302.5</v>
      </c>
      <c r="BJ156" s="5">
        <v>40.1</v>
      </c>
      <c r="BK156" s="5">
        <v>88.3</v>
      </c>
      <c r="BL156" s="5">
        <v>149.16</v>
      </c>
      <c r="BM156" s="5">
        <v>1.52</v>
      </c>
      <c r="BN156" s="5">
        <v>30.43</v>
      </c>
      <c r="BO156" s="5">
        <v>33.94</v>
      </c>
      <c r="BP156" s="5">
        <v>367.77</v>
      </c>
      <c r="BQ156" s="5">
        <v>69.067030000000003</v>
      </c>
      <c r="BR156" s="5">
        <v>181.75210000000001</v>
      </c>
      <c r="BS156" s="5">
        <v>109.697</v>
      </c>
      <c r="BT156" s="5">
        <v>105.3432</v>
      </c>
      <c r="BU156" s="5">
        <v>103.27930000000001</v>
      </c>
      <c r="BV156" s="5">
        <v>0</v>
      </c>
      <c r="BW156" s="5">
        <v>0</v>
      </c>
      <c r="BX156" s="5">
        <v>20.999639999999999</v>
      </c>
      <c r="BY156" s="5">
        <v>18.995360000000002</v>
      </c>
      <c r="BZ156" s="5">
        <v>0</v>
      </c>
      <c r="CA156" s="5">
        <v>0.93506900000000004</v>
      </c>
      <c r="CB156" s="5">
        <v>509.50479999999999</v>
      </c>
      <c r="CC156" s="5">
        <v>516.83960000000002</v>
      </c>
      <c r="CD156" s="5">
        <v>27.98208</v>
      </c>
      <c r="CE156" s="5">
        <v>321.52</v>
      </c>
      <c r="CF156" s="5">
        <v>89.16</v>
      </c>
      <c r="CG156" s="5">
        <v>101</v>
      </c>
      <c r="CH156" s="5">
        <v>308.11</v>
      </c>
      <c r="CI156" s="5">
        <v>302.58</v>
      </c>
      <c r="CJ156" s="5">
        <v>310.8</v>
      </c>
      <c r="CK156" s="5">
        <v>326.87</v>
      </c>
      <c r="CL156" s="5">
        <v>321.72000000000003</v>
      </c>
      <c r="CM156" s="5">
        <v>320.02</v>
      </c>
      <c r="CN156" s="5">
        <v>254.4</v>
      </c>
      <c r="CO156" s="5">
        <v>25.51</v>
      </c>
      <c r="CP156" s="5">
        <v>156.6</v>
      </c>
      <c r="CQ156" s="5">
        <v>157.05000000000001</v>
      </c>
      <c r="CR156" s="5">
        <v>2.8</v>
      </c>
      <c r="CS156" s="5">
        <v>2.8</v>
      </c>
      <c r="CT156" s="5">
        <v>23.19</v>
      </c>
      <c r="CU156" s="5">
        <v>20.39</v>
      </c>
      <c r="CV156" s="5">
        <v>101.74</v>
      </c>
      <c r="CW156" s="5">
        <v>0.84846728699999996</v>
      </c>
      <c r="CX156" s="5">
        <v>1.9599594339999999</v>
      </c>
    </row>
    <row r="157" spans="1:102" x14ac:dyDescent="0.25">
      <c r="A157" s="5">
        <v>46</v>
      </c>
      <c r="B157" s="23">
        <v>2.6624999999999999E-2</v>
      </c>
      <c r="C157" s="5">
        <v>5</v>
      </c>
      <c r="D157" s="5">
        <v>43</v>
      </c>
      <c r="E157" s="5">
        <v>194</v>
      </c>
      <c r="F157" s="5">
        <v>194</v>
      </c>
      <c r="G157" s="5">
        <v>194.1</v>
      </c>
      <c r="H157" s="5">
        <v>91.7</v>
      </c>
      <c r="I157" s="5">
        <v>91.7</v>
      </c>
      <c r="J157" s="5">
        <v>1800</v>
      </c>
      <c r="K157" s="5">
        <v>31</v>
      </c>
      <c r="L157" s="5">
        <v>31</v>
      </c>
      <c r="M157" s="5">
        <v>0.28999999999999998</v>
      </c>
      <c r="N157" s="5">
        <v>0.289941</v>
      </c>
      <c r="O157" s="5">
        <v>1</v>
      </c>
      <c r="P157" s="5">
        <v>1.0689390000000001</v>
      </c>
      <c r="Q157" s="5">
        <v>-2.02</v>
      </c>
      <c r="R157" s="5">
        <v>-2.0214840000000001</v>
      </c>
      <c r="S157" s="5">
        <v>116.24</v>
      </c>
      <c r="T157" s="5">
        <v>116.23439999999999</v>
      </c>
      <c r="U157" s="5">
        <v>3.5</v>
      </c>
      <c r="V157" s="5">
        <v>3.5</v>
      </c>
      <c r="W157" s="5">
        <v>300</v>
      </c>
      <c r="X157" s="5">
        <v>300</v>
      </c>
      <c r="Y157" s="5">
        <v>3.5</v>
      </c>
      <c r="Z157" s="5">
        <v>3.5</v>
      </c>
      <c r="AA157" s="5">
        <v>300</v>
      </c>
      <c r="AB157" s="5">
        <v>300</v>
      </c>
      <c r="AC157" s="5">
        <v>0</v>
      </c>
      <c r="AD157" s="5">
        <v>86.138959999999997</v>
      </c>
      <c r="AE157" s="5">
        <v>0</v>
      </c>
      <c r="AF157" s="5">
        <v>94.738749999999996</v>
      </c>
      <c r="AG157" s="5">
        <v>43</v>
      </c>
      <c r="AH157" s="5">
        <v>0.23</v>
      </c>
      <c r="AI157" s="5">
        <v>48.53</v>
      </c>
      <c r="AJ157" s="5">
        <v>62.66</v>
      </c>
      <c r="AK157" s="5">
        <v>45.27</v>
      </c>
      <c r="AL157" s="5">
        <v>45.22</v>
      </c>
      <c r="AM157" s="5">
        <v>353.3</v>
      </c>
      <c r="AN157" s="5">
        <v>125.06959999999999</v>
      </c>
      <c r="AO157" s="5">
        <v>22.59</v>
      </c>
      <c r="AP157" s="5">
        <v>60.21</v>
      </c>
      <c r="AQ157" s="5">
        <v>31.55</v>
      </c>
      <c r="AR157" s="5">
        <v>353.17</v>
      </c>
      <c r="AS157" s="5">
        <v>22.66</v>
      </c>
      <c r="AT157" s="5">
        <v>51.1</v>
      </c>
      <c r="AU157" s="5">
        <v>101.76</v>
      </c>
      <c r="AV157" s="5">
        <v>114.88</v>
      </c>
      <c r="AW157" s="59">
        <v>0.59399999999999997</v>
      </c>
      <c r="AX157" s="5">
        <v>9.35</v>
      </c>
      <c r="AY157" s="5">
        <v>4.6468999999999996</v>
      </c>
      <c r="AZ157" s="5">
        <v>213.66</v>
      </c>
      <c r="BA157" s="5">
        <v>1.57</v>
      </c>
      <c r="BB157" s="5">
        <v>6.07</v>
      </c>
      <c r="BC157" s="5">
        <v>1.34</v>
      </c>
      <c r="BD157" s="5">
        <v>12.26</v>
      </c>
      <c r="BE157" s="5">
        <v>2.2599999999999998</v>
      </c>
      <c r="BF157" s="5">
        <v>171.01</v>
      </c>
      <c r="BG157" s="5">
        <v>22.14</v>
      </c>
      <c r="BH157" s="5">
        <v>0.31</v>
      </c>
      <c r="BI157" s="5">
        <v>267.7</v>
      </c>
      <c r="BJ157" s="5">
        <v>36.1</v>
      </c>
      <c r="BK157" s="5">
        <v>86.1</v>
      </c>
      <c r="BL157" s="5">
        <v>100.47</v>
      </c>
      <c r="BM157" s="5">
        <v>1.39</v>
      </c>
      <c r="BN157" s="5">
        <v>30.19</v>
      </c>
      <c r="BO157" s="5">
        <v>34.47</v>
      </c>
      <c r="BP157" s="5">
        <v>363.02</v>
      </c>
      <c r="BQ157" s="5">
        <v>52.334899999999998</v>
      </c>
      <c r="BR157" s="5">
        <v>142.7441</v>
      </c>
      <c r="BS157" s="5">
        <v>100.74420000000001</v>
      </c>
      <c r="BT157" s="5">
        <v>87.952799999999996</v>
      </c>
      <c r="BU157" s="5">
        <v>86.33614</v>
      </c>
      <c r="BV157" s="5">
        <v>0</v>
      </c>
      <c r="BW157" s="5">
        <v>0</v>
      </c>
      <c r="BX157" s="5">
        <v>24.02854</v>
      </c>
      <c r="BY157" s="5">
        <v>18.995360000000002</v>
      </c>
      <c r="BZ157" s="5">
        <v>0</v>
      </c>
      <c r="CA157" s="5">
        <v>0.93509200000000003</v>
      </c>
      <c r="CB157" s="5">
        <v>472.15809999999999</v>
      </c>
      <c r="CC157" s="5">
        <v>480.30189999999999</v>
      </c>
      <c r="CD157" s="5">
        <v>31.012550000000001</v>
      </c>
      <c r="CE157" s="5">
        <v>350.79</v>
      </c>
      <c r="CF157" s="5">
        <v>78.099999999999994</v>
      </c>
      <c r="CG157" s="5">
        <v>93.28</v>
      </c>
      <c r="CH157" s="5">
        <v>320.76</v>
      </c>
      <c r="CI157" s="5">
        <v>317.39</v>
      </c>
      <c r="CJ157" s="5">
        <v>329.18</v>
      </c>
      <c r="CK157" s="5">
        <v>352.18</v>
      </c>
      <c r="CL157" s="5">
        <v>343.41</v>
      </c>
      <c r="CM157" s="5">
        <v>344.59</v>
      </c>
      <c r="CN157" s="5">
        <v>294.86</v>
      </c>
      <c r="CO157" s="5">
        <v>23.95</v>
      </c>
      <c r="CP157" s="5">
        <v>193.4</v>
      </c>
      <c r="CQ157" s="5">
        <v>194.05</v>
      </c>
      <c r="CR157" s="5">
        <v>3.5</v>
      </c>
      <c r="CS157" s="5">
        <v>3.5</v>
      </c>
      <c r="CT157" s="5">
        <v>22.49</v>
      </c>
      <c r="CU157" s="5">
        <v>19.47</v>
      </c>
      <c r="CV157" s="5">
        <v>101.68</v>
      </c>
      <c r="CW157" s="5">
        <v>0.84220663900000003</v>
      </c>
      <c r="CX157" s="5">
        <v>1.903387003</v>
      </c>
    </row>
    <row r="158" spans="1:102" x14ac:dyDescent="0.25">
      <c r="A158" s="5">
        <v>7</v>
      </c>
      <c r="B158" s="23">
        <v>4.1538194444444447E-2</v>
      </c>
      <c r="C158" s="5">
        <v>5</v>
      </c>
      <c r="D158" s="5">
        <v>7</v>
      </c>
      <c r="E158" s="5">
        <v>72</v>
      </c>
      <c r="F158" s="5">
        <v>72</v>
      </c>
      <c r="G158" s="5">
        <v>72</v>
      </c>
      <c r="H158" s="5">
        <v>91.7</v>
      </c>
      <c r="I158" s="5">
        <v>91.7</v>
      </c>
      <c r="J158" s="5">
        <v>1800</v>
      </c>
      <c r="K158" s="5">
        <v>71</v>
      </c>
      <c r="L158" s="5">
        <v>71</v>
      </c>
      <c r="M158" s="5">
        <v>0.24</v>
      </c>
      <c r="N158" s="5">
        <v>0.239901</v>
      </c>
      <c r="O158" s="5">
        <v>1</v>
      </c>
      <c r="P158" s="5">
        <v>1.0689949999999999</v>
      </c>
      <c r="Q158" s="5">
        <v>-0.23</v>
      </c>
      <c r="R158" s="5">
        <v>-0.230713</v>
      </c>
      <c r="S158" s="5">
        <v>114.61</v>
      </c>
      <c r="T158" s="5">
        <v>114.60939999999999</v>
      </c>
      <c r="U158" s="5">
        <v>3.5</v>
      </c>
      <c r="V158" s="5">
        <v>3.5</v>
      </c>
      <c r="W158" s="5">
        <v>320.39999999999998</v>
      </c>
      <c r="X158" s="5">
        <v>320</v>
      </c>
      <c r="Y158" s="5">
        <v>0</v>
      </c>
      <c r="Z158" s="5">
        <v>0</v>
      </c>
      <c r="AA158" s="5">
        <v>300</v>
      </c>
      <c r="AB158" s="5">
        <v>300</v>
      </c>
      <c r="AC158" s="5">
        <v>0</v>
      </c>
      <c r="AD158" s="5">
        <v>91.423180000000002</v>
      </c>
      <c r="AE158" s="5">
        <v>0</v>
      </c>
      <c r="AF158" s="5">
        <v>100.5517</v>
      </c>
      <c r="AG158" s="5">
        <v>43</v>
      </c>
      <c r="AH158" s="5">
        <v>0.23</v>
      </c>
      <c r="AI158" s="5">
        <v>50.62</v>
      </c>
      <c r="AJ158" s="5">
        <v>66.17</v>
      </c>
      <c r="AK158" s="5">
        <v>97.3</v>
      </c>
      <c r="AL158" s="5">
        <v>95.69</v>
      </c>
      <c r="AM158" s="5">
        <v>270.54000000000002</v>
      </c>
      <c r="AN158" s="5">
        <v>135.5342</v>
      </c>
      <c r="AO158" s="5">
        <v>33.85</v>
      </c>
      <c r="AP158" s="5">
        <v>65.19</v>
      </c>
      <c r="AQ158" s="5">
        <v>41.39</v>
      </c>
      <c r="AR158" s="5">
        <v>308.89</v>
      </c>
      <c r="AS158" s="5">
        <v>63.46</v>
      </c>
      <c r="AT158" s="5">
        <v>59.61</v>
      </c>
      <c r="AU158" s="5">
        <v>103.96</v>
      </c>
      <c r="AV158" s="5">
        <v>110.34</v>
      </c>
      <c r="AW158" s="5">
        <v>0.66900000000000004</v>
      </c>
      <c r="AX158" s="5">
        <v>10.78</v>
      </c>
      <c r="AY158" s="5">
        <v>6.2080000000000002</v>
      </c>
      <c r="AZ158" s="5">
        <v>185.88</v>
      </c>
      <c r="BA158" s="5">
        <v>54.21</v>
      </c>
      <c r="BB158" s="5">
        <v>4.5599999999999996</v>
      </c>
      <c r="BC158" s="5">
        <v>1.56</v>
      </c>
      <c r="BD158" s="5">
        <v>14.4</v>
      </c>
      <c r="BE158" s="5">
        <v>4.25</v>
      </c>
      <c r="BF158" s="5">
        <v>131.56</v>
      </c>
      <c r="BG158" s="5">
        <v>34.07</v>
      </c>
      <c r="BH158" s="5">
        <v>0.41</v>
      </c>
      <c r="BI158" s="5">
        <v>464.9</v>
      </c>
      <c r="BJ158" s="5">
        <v>48.9</v>
      </c>
      <c r="BK158" s="5">
        <v>83.1</v>
      </c>
      <c r="BL158" s="5">
        <v>159.69999999999999</v>
      </c>
      <c r="BM158" s="5">
        <v>1.49</v>
      </c>
      <c r="BN158" s="5">
        <v>30.36</v>
      </c>
      <c r="BO158" s="5">
        <v>33.06</v>
      </c>
      <c r="BP158" s="5">
        <v>315.29000000000002</v>
      </c>
      <c r="BQ158" s="5">
        <v>58.695210000000003</v>
      </c>
      <c r="BR158" s="5">
        <v>191.8708</v>
      </c>
      <c r="BS158" s="5">
        <v>141.16579999999999</v>
      </c>
      <c r="BT158" s="5">
        <v>138.8252</v>
      </c>
      <c r="BU158" s="5">
        <v>136.5558</v>
      </c>
      <c r="BV158" s="5">
        <v>0</v>
      </c>
      <c r="BW158" s="5">
        <v>0</v>
      </c>
      <c r="BX158" s="5">
        <v>17.369109999999999</v>
      </c>
      <c r="BY158" s="5">
        <v>18.995360000000002</v>
      </c>
      <c r="BZ158" s="5">
        <v>0</v>
      </c>
      <c r="CA158" s="5">
        <v>0.93506</v>
      </c>
      <c r="CB158" s="5">
        <v>501.90710000000001</v>
      </c>
      <c r="CC158" s="5">
        <v>507.3621</v>
      </c>
      <c r="CD158" s="5">
        <v>20.869109999999999</v>
      </c>
      <c r="CE158" s="5">
        <v>257.14</v>
      </c>
      <c r="CF158" s="5">
        <v>82.94</v>
      </c>
      <c r="CG158" s="5">
        <v>97.54</v>
      </c>
      <c r="CH158" s="5">
        <v>242.39</v>
      </c>
      <c r="CI158" s="5">
        <v>245.89</v>
      </c>
      <c r="CJ158" s="5">
        <v>251.57</v>
      </c>
      <c r="CK158" s="5">
        <v>262.99</v>
      </c>
      <c r="CL158" s="5">
        <v>261</v>
      </c>
      <c r="CM158" s="5">
        <v>255.8</v>
      </c>
      <c r="CN158" s="5">
        <v>204.06</v>
      </c>
      <c r="CO158" s="5">
        <v>21.91</v>
      </c>
      <c r="CP158" s="5">
        <v>71.7</v>
      </c>
      <c r="CQ158" s="5">
        <v>72.05</v>
      </c>
      <c r="CR158" s="5">
        <v>1.3</v>
      </c>
      <c r="CS158" s="5">
        <v>1.3</v>
      </c>
      <c r="CT158" s="5">
        <v>19.989999999999998</v>
      </c>
      <c r="CU158" s="5">
        <v>23.79</v>
      </c>
      <c r="CV158" s="5">
        <v>101.8</v>
      </c>
      <c r="CW158" s="5">
        <v>0.85055862400000004</v>
      </c>
      <c r="CX158" s="5">
        <v>3.6148741539999998</v>
      </c>
    </row>
    <row r="159" spans="1:102" x14ac:dyDescent="0.25">
      <c r="A159" s="5">
        <v>18</v>
      </c>
      <c r="B159" s="23">
        <v>3.5090277777777783E-2</v>
      </c>
      <c r="C159" s="5">
        <v>5</v>
      </c>
      <c r="D159" s="5">
        <v>17</v>
      </c>
      <c r="E159" s="5">
        <v>105</v>
      </c>
      <c r="F159" s="5">
        <v>105</v>
      </c>
      <c r="G159" s="5">
        <v>105</v>
      </c>
      <c r="H159" s="5">
        <v>91.7</v>
      </c>
      <c r="I159" s="5">
        <v>91.7</v>
      </c>
      <c r="J159" s="5">
        <v>1800</v>
      </c>
      <c r="K159" s="5">
        <v>75</v>
      </c>
      <c r="L159" s="5">
        <v>75</v>
      </c>
      <c r="M159" s="5">
        <v>0.3</v>
      </c>
      <c r="N159" s="5">
        <v>0.29991499999999999</v>
      </c>
      <c r="O159" s="5">
        <v>1</v>
      </c>
      <c r="P159" s="5">
        <v>1.068892</v>
      </c>
      <c r="Q159" s="5">
        <v>-0.66</v>
      </c>
      <c r="R159" s="5">
        <v>-0.65917999999999999</v>
      </c>
      <c r="S159" s="5">
        <v>115.12</v>
      </c>
      <c r="T159" s="5">
        <v>115.125</v>
      </c>
      <c r="U159" s="5">
        <v>3.5</v>
      </c>
      <c r="V159" s="5">
        <v>3.5</v>
      </c>
      <c r="W159" s="5">
        <v>300</v>
      </c>
      <c r="X159" s="5">
        <v>300</v>
      </c>
      <c r="Y159" s="5">
        <v>3.5</v>
      </c>
      <c r="Z159" s="5">
        <v>3.5</v>
      </c>
      <c r="AA159" s="5">
        <v>300</v>
      </c>
      <c r="AB159" s="5">
        <v>300</v>
      </c>
      <c r="AC159" s="5">
        <v>0</v>
      </c>
      <c r="AD159" s="5">
        <v>89.082179999999994</v>
      </c>
      <c r="AE159" s="5">
        <v>0</v>
      </c>
      <c r="AF159" s="5">
        <v>97.97636</v>
      </c>
      <c r="AG159" s="5">
        <v>43</v>
      </c>
      <c r="AH159" s="5">
        <v>0.23</v>
      </c>
      <c r="AI159" s="5">
        <v>50.79</v>
      </c>
      <c r="AJ159" s="5">
        <v>64.25</v>
      </c>
      <c r="AK159" s="5">
        <v>99.59</v>
      </c>
      <c r="AL159" s="5">
        <v>96.92</v>
      </c>
      <c r="AM159" s="5">
        <v>311.83999999999997</v>
      </c>
      <c r="AN159" s="5">
        <v>135.15090000000001</v>
      </c>
      <c r="AO159" s="5">
        <v>33.72</v>
      </c>
      <c r="AP159" s="5">
        <v>66.77</v>
      </c>
      <c r="AQ159" s="5">
        <v>40.53</v>
      </c>
      <c r="AR159" s="5">
        <v>258.89</v>
      </c>
      <c r="AS159" s="5">
        <v>65.88</v>
      </c>
      <c r="AT159" s="5">
        <v>68.28</v>
      </c>
      <c r="AU159" s="5">
        <v>112.24</v>
      </c>
      <c r="AV159" s="5">
        <v>110.71</v>
      </c>
      <c r="AW159" s="5">
        <v>0.96799999999999997</v>
      </c>
      <c r="AX159" s="5">
        <v>17.11</v>
      </c>
      <c r="AY159" s="5">
        <v>7.3925000000000001</v>
      </c>
      <c r="AZ159" s="5">
        <v>276.99</v>
      </c>
      <c r="BA159" s="5">
        <v>78.72</v>
      </c>
      <c r="BB159" s="5">
        <v>6.21</v>
      </c>
      <c r="BC159" s="5">
        <v>2.65</v>
      </c>
      <c r="BD159" s="5">
        <v>12.06</v>
      </c>
      <c r="BE159" s="5">
        <v>1.3</v>
      </c>
      <c r="BF159" s="5">
        <v>72.959999999999994</v>
      </c>
      <c r="BG159" s="5">
        <v>42.76</v>
      </c>
      <c r="BH159" s="5">
        <v>0.48</v>
      </c>
      <c r="BI159" s="5">
        <v>380.4</v>
      </c>
      <c r="BJ159" s="5">
        <v>34.4</v>
      </c>
      <c r="BK159" s="5">
        <v>79.599999999999994</v>
      </c>
      <c r="BL159" s="5">
        <v>193.51</v>
      </c>
      <c r="BM159" s="5">
        <v>1.5</v>
      </c>
      <c r="BN159" s="5">
        <v>31.44</v>
      </c>
      <c r="BO159" s="5">
        <v>34.74</v>
      </c>
      <c r="BP159" s="5">
        <v>266.55</v>
      </c>
      <c r="BQ159" s="5">
        <v>66.914010000000005</v>
      </c>
      <c r="BR159" s="5">
        <v>189.74940000000001</v>
      </c>
      <c r="BS159" s="5">
        <v>133.87549999999999</v>
      </c>
      <c r="BT159" s="5">
        <v>126.32080000000001</v>
      </c>
      <c r="BU159" s="5">
        <v>124.2289</v>
      </c>
      <c r="BV159" s="5">
        <v>0</v>
      </c>
      <c r="BW159" s="5">
        <v>0</v>
      </c>
      <c r="BX159" s="5">
        <v>15.323539999999999</v>
      </c>
      <c r="BY159" s="5">
        <v>18.995360000000002</v>
      </c>
      <c r="BZ159" s="5">
        <v>0</v>
      </c>
      <c r="CA159" s="5">
        <v>0.93506</v>
      </c>
      <c r="CB159" s="5">
        <v>488.37580000000003</v>
      </c>
      <c r="CC159" s="5">
        <v>494.21960000000001</v>
      </c>
      <c r="CD159" s="5">
        <v>22.319269999999999</v>
      </c>
      <c r="CE159" s="5">
        <v>306.39999999999998</v>
      </c>
      <c r="CF159" s="5">
        <v>90.74</v>
      </c>
      <c r="CG159" s="5">
        <v>107.49</v>
      </c>
      <c r="CH159" s="5">
        <v>298.42</v>
      </c>
      <c r="CI159" s="5">
        <v>288.12</v>
      </c>
      <c r="CJ159" s="5">
        <v>293.10000000000002</v>
      </c>
      <c r="CK159" s="5">
        <v>301.32</v>
      </c>
      <c r="CL159" s="5">
        <v>306.54000000000002</v>
      </c>
      <c r="CM159" s="5">
        <v>306.45999999999998</v>
      </c>
      <c r="CN159" s="5">
        <v>239.55</v>
      </c>
      <c r="CO159" s="5">
        <v>23.35</v>
      </c>
      <c r="CP159" s="5">
        <v>104.6</v>
      </c>
      <c r="CQ159" s="5">
        <v>105.05</v>
      </c>
      <c r="CR159" s="5">
        <v>1.9</v>
      </c>
      <c r="CS159" s="5">
        <v>1.9</v>
      </c>
      <c r="CT159" s="5">
        <v>21.28</v>
      </c>
      <c r="CU159" s="5">
        <v>22.55</v>
      </c>
      <c r="CV159" s="5">
        <v>101.81</v>
      </c>
      <c r="CW159" s="5">
        <v>0.837949677</v>
      </c>
      <c r="CX159" s="5">
        <v>1.0893345800000001</v>
      </c>
    </row>
    <row r="160" spans="1:102" x14ac:dyDescent="0.25">
      <c r="A160" s="5">
        <v>26</v>
      </c>
      <c r="B160" s="23">
        <v>3.9689814814814817E-2</v>
      </c>
      <c r="C160" s="5">
        <v>5</v>
      </c>
      <c r="D160" s="5">
        <v>24</v>
      </c>
      <c r="E160" s="5">
        <v>129</v>
      </c>
      <c r="F160" s="5">
        <v>129</v>
      </c>
      <c r="G160" s="5">
        <v>129</v>
      </c>
      <c r="H160" s="5">
        <v>91.7</v>
      </c>
      <c r="I160" s="5">
        <v>91.7</v>
      </c>
      <c r="J160" s="5">
        <v>1800</v>
      </c>
      <c r="K160" s="5">
        <v>74</v>
      </c>
      <c r="L160" s="5">
        <v>74</v>
      </c>
      <c r="M160" s="5">
        <v>0.3</v>
      </c>
      <c r="N160" s="5">
        <v>0.30005100000000001</v>
      </c>
      <c r="O160" s="5">
        <v>1</v>
      </c>
      <c r="P160" s="5">
        <v>1.0689059999999999</v>
      </c>
      <c r="Q160" s="5">
        <v>-1.02</v>
      </c>
      <c r="R160" s="5">
        <v>-1.0217290000000001</v>
      </c>
      <c r="S160" s="5">
        <v>115.39</v>
      </c>
      <c r="T160" s="5">
        <v>115.39060000000001</v>
      </c>
      <c r="U160" s="5">
        <v>3.5</v>
      </c>
      <c r="V160" s="5">
        <v>3.5</v>
      </c>
      <c r="W160" s="5">
        <v>300</v>
      </c>
      <c r="X160" s="5">
        <v>300</v>
      </c>
      <c r="Y160" s="5">
        <v>3.5</v>
      </c>
      <c r="Z160" s="5">
        <v>3.5</v>
      </c>
      <c r="AA160" s="5">
        <v>300</v>
      </c>
      <c r="AB160" s="5">
        <v>300</v>
      </c>
      <c r="AC160" s="5">
        <v>0</v>
      </c>
      <c r="AD160" s="5">
        <v>91.607349999999997</v>
      </c>
      <c r="AE160" s="5">
        <v>0</v>
      </c>
      <c r="AF160" s="5">
        <v>100.7547</v>
      </c>
      <c r="AG160" s="5">
        <v>43</v>
      </c>
      <c r="AH160" s="5">
        <v>0.23</v>
      </c>
      <c r="AI160" s="5">
        <v>52.54</v>
      </c>
      <c r="AJ160" s="5">
        <v>68.069999999999993</v>
      </c>
      <c r="AK160" s="5">
        <v>104.63</v>
      </c>
      <c r="AL160" s="5">
        <v>101.99</v>
      </c>
      <c r="AM160" s="5">
        <v>330.85</v>
      </c>
      <c r="AN160" s="5">
        <v>140.23179999999999</v>
      </c>
      <c r="AO160" s="5">
        <v>38.909999999999997</v>
      </c>
      <c r="AP160" s="5">
        <v>72.400000000000006</v>
      </c>
      <c r="AQ160" s="5">
        <v>46.12</v>
      </c>
      <c r="AR160" s="5">
        <v>285.93</v>
      </c>
      <c r="AS160" s="5">
        <v>65.709999999999994</v>
      </c>
      <c r="AT160" s="5">
        <v>71.239999999999995</v>
      </c>
      <c r="AU160" s="5">
        <v>114.52</v>
      </c>
      <c r="AV160" s="5">
        <v>116.38</v>
      </c>
      <c r="AW160" s="5">
        <v>1.1739999999999999</v>
      </c>
      <c r="AX160" s="5">
        <v>22.1</v>
      </c>
      <c r="AY160" s="5">
        <v>8.5329999999999995</v>
      </c>
      <c r="AZ160" s="5">
        <v>276.05</v>
      </c>
      <c r="BA160" s="5">
        <v>27.57</v>
      </c>
      <c r="BB160" s="5">
        <v>6.59</v>
      </c>
      <c r="BC160" s="5">
        <v>2.75</v>
      </c>
      <c r="BD160" s="5">
        <v>11.6</v>
      </c>
      <c r="BE160" s="5">
        <v>1.17</v>
      </c>
      <c r="BF160" s="5">
        <v>73.16</v>
      </c>
      <c r="BG160" s="5">
        <v>41.69</v>
      </c>
      <c r="BH160" s="5">
        <v>0.54</v>
      </c>
      <c r="BI160" s="5">
        <v>344.3</v>
      </c>
      <c r="BJ160" s="5">
        <v>34.1</v>
      </c>
      <c r="BK160" s="5">
        <v>83.9</v>
      </c>
      <c r="BL160" s="5">
        <v>204.47</v>
      </c>
      <c r="BM160" s="5">
        <v>1.54</v>
      </c>
      <c r="BN160" s="5">
        <v>31.39</v>
      </c>
      <c r="BO160" s="5">
        <v>34.78</v>
      </c>
      <c r="BP160" s="5">
        <v>294.33</v>
      </c>
      <c r="BQ160" s="5">
        <v>69.418750000000003</v>
      </c>
      <c r="BR160" s="5">
        <v>194.74440000000001</v>
      </c>
      <c r="BS160" s="5">
        <v>116.3789</v>
      </c>
      <c r="BT160" s="5">
        <v>111.348</v>
      </c>
      <c r="BU160" s="5">
        <v>109.2452</v>
      </c>
      <c r="BV160" s="5">
        <v>0</v>
      </c>
      <c r="BW160" s="5">
        <v>0</v>
      </c>
      <c r="BX160" s="5">
        <v>19.133959999999998</v>
      </c>
      <c r="BY160" s="5">
        <v>18.995360000000002</v>
      </c>
      <c r="BZ160" s="5">
        <v>0</v>
      </c>
      <c r="CA160" s="5">
        <v>0.93506199999999995</v>
      </c>
      <c r="CB160" s="5">
        <v>502.976</v>
      </c>
      <c r="CC160" s="5">
        <v>509.83109999999999</v>
      </c>
      <c r="CD160" s="5">
        <v>26.117709999999999</v>
      </c>
      <c r="CE160" s="5">
        <v>325.02</v>
      </c>
      <c r="CF160" s="5">
        <v>93.55</v>
      </c>
      <c r="CG160" s="5">
        <v>110.15</v>
      </c>
      <c r="CH160" s="5">
        <v>316.77999999999997</v>
      </c>
      <c r="CI160" s="5">
        <v>301.58999999999997</v>
      </c>
      <c r="CJ160" s="5">
        <v>311.63</v>
      </c>
      <c r="CK160" s="5">
        <v>330.52</v>
      </c>
      <c r="CL160" s="5">
        <v>325.11</v>
      </c>
      <c r="CM160" s="5">
        <v>323.47000000000003</v>
      </c>
      <c r="CN160" s="5">
        <v>256.27</v>
      </c>
      <c r="CO160" s="5">
        <v>24.12</v>
      </c>
      <c r="CP160" s="5">
        <v>128.6</v>
      </c>
      <c r="CQ160" s="5">
        <v>129.05000000000001</v>
      </c>
      <c r="CR160" s="5">
        <v>2.2999999999999998</v>
      </c>
      <c r="CS160" s="5">
        <v>2.2999999999999998</v>
      </c>
      <c r="CT160" s="5">
        <v>22.05</v>
      </c>
      <c r="CU160" s="5">
        <v>21.47</v>
      </c>
      <c r="CV160" s="5">
        <v>101.79</v>
      </c>
      <c r="CW160" s="5">
        <v>0.83919089800000002</v>
      </c>
      <c r="CX160" s="5">
        <v>0.98185335100000004</v>
      </c>
    </row>
    <row r="161" spans="1:102" x14ac:dyDescent="0.25">
      <c r="A161" s="5">
        <v>15</v>
      </c>
      <c r="B161" s="23">
        <v>1.8818287037037036E-2</v>
      </c>
      <c r="C161" s="5">
        <v>5</v>
      </c>
      <c r="D161" s="5">
        <v>14</v>
      </c>
      <c r="E161" s="5">
        <v>93</v>
      </c>
      <c r="F161" s="5">
        <v>93</v>
      </c>
      <c r="G161" s="5">
        <v>93</v>
      </c>
      <c r="H161" s="5">
        <v>91.7</v>
      </c>
      <c r="I161" s="5">
        <v>91.7</v>
      </c>
      <c r="J161" s="5">
        <v>1800</v>
      </c>
      <c r="K161" s="5">
        <v>76</v>
      </c>
      <c r="L161" s="5">
        <v>76</v>
      </c>
      <c r="M161" s="5">
        <v>0.26</v>
      </c>
      <c r="N161" s="5">
        <v>0.26001299999999999</v>
      </c>
      <c r="O161" s="5">
        <v>1</v>
      </c>
      <c r="P161" s="5">
        <v>1.068913</v>
      </c>
      <c r="Q161" s="5">
        <v>-0.49</v>
      </c>
      <c r="R161" s="5">
        <v>-0.49438500000000002</v>
      </c>
      <c r="S161" s="5">
        <v>114.95</v>
      </c>
      <c r="T161" s="5">
        <v>114.95310000000001</v>
      </c>
      <c r="U161" s="5">
        <v>3.5</v>
      </c>
      <c r="V161" s="5">
        <v>3.5</v>
      </c>
      <c r="W161" s="5">
        <v>305.10000000000002</v>
      </c>
      <c r="X161" s="5">
        <v>305</v>
      </c>
      <c r="Y161" s="5">
        <v>0</v>
      </c>
      <c r="Z161" s="5">
        <v>0</v>
      </c>
      <c r="AA161" s="5">
        <v>300</v>
      </c>
      <c r="AB161" s="5">
        <v>300</v>
      </c>
      <c r="AC161" s="5">
        <v>0</v>
      </c>
      <c r="AD161" s="5">
        <v>91.28031</v>
      </c>
      <c r="AE161" s="5">
        <v>0</v>
      </c>
      <c r="AF161" s="5">
        <v>100.3947</v>
      </c>
      <c r="AG161" s="5">
        <v>43</v>
      </c>
      <c r="AH161" s="5">
        <v>0.23</v>
      </c>
      <c r="AI161" s="5">
        <v>51.3</v>
      </c>
      <c r="AJ161" s="5">
        <v>67.05</v>
      </c>
      <c r="AK161" s="5">
        <v>112.15</v>
      </c>
      <c r="AL161" s="5">
        <v>109.86</v>
      </c>
      <c r="AM161" s="5">
        <v>305.39</v>
      </c>
      <c r="AN161" s="5">
        <v>138.5838</v>
      </c>
      <c r="AO161" s="5">
        <v>37.28</v>
      </c>
      <c r="AP161" s="5">
        <v>69.42</v>
      </c>
      <c r="AQ161" s="5">
        <v>44.41</v>
      </c>
      <c r="AR161" s="5">
        <v>277.11</v>
      </c>
      <c r="AS161" s="5">
        <v>74.87</v>
      </c>
      <c r="AT161" s="5">
        <v>67.98</v>
      </c>
      <c r="AU161" s="5">
        <v>109.87</v>
      </c>
      <c r="AV161" s="5">
        <v>118.01</v>
      </c>
      <c r="AW161" s="5">
        <v>1.29</v>
      </c>
      <c r="AX161" s="5">
        <v>25.15</v>
      </c>
      <c r="AY161" s="5">
        <v>10.936</v>
      </c>
      <c r="AZ161" s="5">
        <v>233.18</v>
      </c>
      <c r="BA161" s="5">
        <v>49.71</v>
      </c>
      <c r="BB161" s="5">
        <v>5.65</v>
      </c>
      <c r="BC161" s="5">
        <v>2.2400000000000002</v>
      </c>
      <c r="BD161" s="5">
        <v>12.85</v>
      </c>
      <c r="BE161" s="5">
        <v>2.13</v>
      </c>
      <c r="BF161" s="5">
        <v>97.83</v>
      </c>
      <c r="BG161" s="5">
        <v>39.69</v>
      </c>
      <c r="BH161" s="5">
        <v>0.67</v>
      </c>
      <c r="BI161" s="5">
        <v>413</v>
      </c>
      <c r="BJ161" s="5">
        <v>38.200000000000003</v>
      </c>
      <c r="BK161" s="5">
        <v>79.7</v>
      </c>
      <c r="BL161" s="5">
        <v>182.37</v>
      </c>
      <c r="BM161" s="5">
        <v>1.52</v>
      </c>
      <c r="BN161" s="5">
        <v>31.03</v>
      </c>
      <c r="BO161" s="5">
        <v>34.17</v>
      </c>
      <c r="BP161" s="5">
        <v>284.3</v>
      </c>
      <c r="BQ161" s="5">
        <v>66.67604</v>
      </c>
      <c r="BR161" s="5">
        <v>204.02789999999999</v>
      </c>
      <c r="BS161" s="5">
        <v>123.73009999999999</v>
      </c>
      <c r="BT161" s="5">
        <v>119.0224</v>
      </c>
      <c r="BU161" s="5">
        <v>116.863</v>
      </c>
      <c r="BV161" s="5">
        <v>0</v>
      </c>
      <c r="BW161" s="5">
        <v>0</v>
      </c>
      <c r="BX161" s="5">
        <v>20.838329999999999</v>
      </c>
      <c r="BY161" s="5">
        <v>18.995360000000002</v>
      </c>
      <c r="BZ161" s="5">
        <v>0</v>
      </c>
      <c r="CA161" s="5">
        <v>0.93506100000000003</v>
      </c>
      <c r="CB161" s="5">
        <v>501.1071</v>
      </c>
      <c r="CC161" s="5">
        <v>507.48579999999998</v>
      </c>
      <c r="CD161" s="5">
        <v>24.338329999999999</v>
      </c>
      <c r="CE161" s="5">
        <v>291.51</v>
      </c>
      <c r="CF161" s="5">
        <v>89.48</v>
      </c>
      <c r="CG161" s="5">
        <v>104.65</v>
      </c>
      <c r="CH161" s="5">
        <v>270.44</v>
      </c>
      <c r="CI161" s="5">
        <v>276.5</v>
      </c>
      <c r="CJ161" s="5">
        <v>281.39</v>
      </c>
      <c r="CK161" s="5">
        <v>293.83</v>
      </c>
      <c r="CL161" s="5">
        <v>292.66000000000003</v>
      </c>
      <c r="CM161" s="5">
        <v>288.22000000000003</v>
      </c>
      <c r="CN161" s="5">
        <v>232.58</v>
      </c>
      <c r="CO161" s="5">
        <v>22.92</v>
      </c>
      <c r="CP161" s="5">
        <v>92.7</v>
      </c>
      <c r="CQ161" s="5">
        <v>93.05</v>
      </c>
      <c r="CR161" s="5">
        <v>1.7</v>
      </c>
      <c r="CS161" s="5">
        <v>1.7</v>
      </c>
      <c r="CT161" s="5">
        <v>20.89</v>
      </c>
      <c r="CU161" s="5">
        <v>23.95</v>
      </c>
      <c r="CV161" s="5">
        <v>101.82</v>
      </c>
      <c r="CW161" s="5">
        <v>0.84411024800000001</v>
      </c>
      <c r="CX161" s="5">
        <v>1.7979548279999999</v>
      </c>
    </row>
    <row r="162" spans="1:102" x14ac:dyDescent="0.25">
      <c r="A162" s="5">
        <v>33</v>
      </c>
      <c r="B162" s="23">
        <v>3.5987268518518516E-2</v>
      </c>
      <c r="C162" s="5">
        <v>5</v>
      </c>
      <c r="D162" s="5">
        <v>31</v>
      </c>
      <c r="E162" s="5">
        <v>152</v>
      </c>
      <c r="F162" s="5">
        <v>152</v>
      </c>
      <c r="G162" s="5">
        <v>152</v>
      </c>
      <c r="H162" s="5">
        <v>91.7</v>
      </c>
      <c r="I162" s="5">
        <v>91.7</v>
      </c>
      <c r="J162" s="5">
        <v>1800</v>
      </c>
      <c r="K162" s="5">
        <v>68</v>
      </c>
      <c r="L162" s="5">
        <v>68</v>
      </c>
      <c r="M162" s="5">
        <v>0.2</v>
      </c>
      <c r="N162" s="5">
        <v>0.200042</v>
      </c>
      <c r="O162" s="5">
        <v>1</v>
      </c>
      <c r="P162" s="5">
        <v>1.068873</v>
      </c>
      <c r="Q162" s="5">
        <v>-1.36</v>
      </c>
      <c r="R162" s="5">
        <v>-1.3623050000000001</v>
      </c>
      <c r="S162" s="5">
        <v>115.66</v>
      </c>
      <c r="T162" s="5">
        <v>115.6563</v>
      </c>
      <c r="U162" s="5">
        <v>3.5</v>
      </c>
      <c r="V162" s="5">
        <v>3.5</v>
      </c>
      <c r="W162" s="5">
        <v>300</v>
      </c>
      <c r="X162" s="5">
        <v>300</v>
      </c>
      <c r="Y162" s="5">
        <v>3.5</v>
      </c>
      <c r="Z162" s="5">
        <v>3.5</v>
      </c>
      <c r="AA162" s="5">
        <v>300</v>
      </c>
      <c r="AB162" s="5">
        <v>300</v>
      </c>
      <c r="AC162" s="5">
        <v>0</v>
      </c>
      <c r="AD162" s="5">
        <v>103.2458</v>
      </c>
      <c r="AE162" s="5">
        <v>0</v>
      </c>
      <c r="AF162" s="5">
        <v>113.5552</v>
      </c>
      <c r="AG162" s="5">
        <v>43</v>
      </c>
      <c r="AH162" s="5">
        <v>0.23</v>
      </c>
      <c r="AI162" s="5">
        <v>58.87</v>
      </c>
      <c r="AJ162" s="5">
        <v>80.75</v>
      </c>
      <c r="AK162" s="5">
        <v>126.71</v>
      </c>
      <c r="AL162" s="5">
        <v>125.82</v>
      </c>
      <c r="AM162" s="5">
        <v>328.7</v>
      </c>
      <c r="AN162" s="5">
        <v>156.65039999999999</v>
      </c>
      <c r="AO162" s="5">
        <v>54.89</v>
      </c>
      <c r="AP162" s="5">
        <v>87.34</v>
      </c>
      <c r="AQ162" s="5">
        <v>64.59</v>
      </c>
      <c r="AR162" s="5">
        <v>386.52</v>
      </c>
      <c r="AS162" s="5">
        <v>71.819999999999993</v>
      </c>
      <c r="AT162" s="5">
        <v>65.739999999999995</v>
      </c>
      <c r="AU162" s="5">
        <v>108.86</v>
      </c>
      <c r="AV162" s="5">
        <v>114.55</v>
      </c>
      <c r="AW162" s="5">
        <v>0.5</v>
      </c>
      <c r="AX162" s="5">
        <v>7.65</v>
      </c>
      <c r="AY162" s="5">
        <v>3.6434000000000002</v>
      </c>
      <c r="AZ162" s="5">
        <v>135.13</v>
      </c>
      <c r="BA162" s="5">
        <v>-0.08</v>
      </c>
      <c r="BB162" s="5">
        <v>5.33</v>
      </c>
      <c r="BC162" s="5">
        <v>1.54</v>
      </c>
      <c r="BD162" s="5">
        <v>13.29</v>
      </c>
      <c r="BE162" s="5">
        <v>2.64</v>
      </c>
      <c r="BF162" s="5">
        <v>140.11000000000001</v>
      </c>
      <c r="BG162" s="5">
        <v>28.92</v>
      </c>
      <c r="BH162" s="5">
        <v>0.25</v>
      </c>
      <c r="BI162" s="5">
        <v>324.39999999999998</v>
      </c>
      <c r="BJ162" s="5">
        <v>41.6</v>
      </c>
      <c r="BK162" s="5">
        <v>85.1</v>
      </c>
      <c r="BL162" s="5">
        <v>157.24</v>
      </c>
      <c r="BM162" s="5">
        <v>1.69</v>
      </c>
      <c r="BN162" s="5">
        <v>30.36</v>
      </c>
      <c r="BO162" s="5">
        <v>33.76</v>
      </c>
      <c r="BP162" s="5">
        <v>395.78</v>
      </c>
      <c r="BQ162" s="5">
        <v>64.885469999999998</v>
      </c>
      <c r="BR162" s="5">
        <v>222.4736</v>
      </c>
      <c r="BS162" s="5">
        <v>105.92610000000001</v>
      </c>
      <c r="BT162" s="5">
        <v>113.19840000000001</v>
      </c>
      <c r="BU162" s="5">
        <v>111.2325</v>
      </c>
      <c r="BV162" s="5">
        <v>0</v>
      </c>
      <c r="BW162" s="5">
        <v>0</v>
      </c>
      <c r="BX162" s="5">
        <v>22.045310000000001</v>
      </c>
      <c r="BY162" s="5">
        <v>18.995360000000002</v>
      </c>
      <c r="BZ162" s="5">
        <v>0</v>
      </c>
      <c r="CA162" s="5">
        <v>0.93506500000000004</v>
      </c>
      <c r="CB162" s="5">
        <v>569.47130000000004</v>
      </c>
      <c r="CC162" s="5">
        <v>577.09209999999996</v>
      </c>
      <c r="CD162" s="5">
        <v>29.038119999999999</v>
      </c>
      <c r="CE162" s="5">
        <v>315.70999999999998</v>
      </c>
      <c r="CF162" s="5">
        <v>86.82</v>
      </c>
      <c r="CG162" s="5">
        <v>102.35</v>
      </c>
      <c r="CH162" s="5">
        <v>311.64999999999998</v>
      </c>
      <c r="CI162" s="5">
        <v>299.05</v>
      </c>
      <c r="CJ162" s="5">
        <v>307.89999999999998</v>
      </c>
      <c r="CK162" s="5">
        <v>325.14999999999998</v>
      </c>
      <c r="CL162" s="5">
        <v>318.52999999999997</v>
      </c>
      <c r="CM162" s="5">
        <v>317.8</v>
      </c>
      <c r="CN162" s="5">
        <v>243.85</v>
      </c>
      <c r="CO162" s="5">
        <v>25.13</v>
      </c>
      <c r="CP162" s="5">
        <v>151.6</v>
      </c>
      <c r="CQ162" s="5">
        <v>152.05000000000001</v>
      </c>
      <c r="CR162" s="5">
        <v>2.7</v>
      </c>
      <c r="CS162" s="5">
        <v>2.7</v>
      </c>
      <c r="CT162" s="5">
        <v>22.66</v>
      </c>
      <c r="CU162" s="5">
        <v>20.18</v>
      </c>
      <c r="CV162" s="5">
        <v>101.76</v>
      </c>
      <c r="CW162" s="5">
        <v>0.84770492600000003</v>
      </c>
      <c r="CX162" s="5">
        <v>2.2379410040000001</v>
      </c>
    </row>
    <row r="163" spans="1:102" x14ac:dyDescent="0.25">
      <c r="A163" s="5">
        <v>47</v>
      </c>
      <c r="B163" s="23">
        <v>3.2045138888888887E-2</v>
      </c>
      <c r="C163" s="5">
        <v>5</v>
      </c>
      <c r="D163" s="5">
        <v>44</v>
      </c>
      <c r="E163" s="5">
        <v>199</v>
      </c>
      <c r="F163" s="5">
        <v>199</v>
      </c>
      <c r="G163" s="5">
        <v>199</v>
      </c>
      <c r="H163" s="5">
        <v>91.7</v>
      </c>
      <c r="I163" s="5">
        <v>91.7</v>
      </c>
      <c r="J163" s="5">
        <v>1800</v>
      </c>
      <c r="K163" s="5">
        <v>72</v>
      </c>
      <c r="L163" s="5">
        <v>72</v>
      </c>
      <c r="M163" s="5">
        <v>0.22</v>
      </c>
      <c r="N163" s="5">
        <v>0.22</v>
      </c>
      <c r="O163" s="5">
        <v>1</v>
      </c>
      <c r="P163" s="5">
        <v>1.068946</v>
      </c>
      <c r="Q163" s="5">
        <v>-2.09</v>
      </c>
      <c r="R163" s="5">
        <v>-2.087402</v>
      </c>
      <c r="S163" s="5">
        <v>116.31</v>
      </c>
      <c r="T163" s="5">
        <v>116.3125</v>
      </c>
      <c r="U163" s="5">
        <v>3.5</v>
      </c>
      <c r="V163" s="5">
        <v>3.5</v>
      </c>
      <c r="W163" s="5">
        <v>300</v>
      </c>
      <c r="X163" s="5">
        <v>300</v>
      </c>
      <c r="Y163" s="5">
        <v>3.5</v>
      </c>
      <c r="Z163" s="5">
        <v>3.5</v>
      </c>
      <c r="AA163" s="5">
        <v>300</v>
      </c>
      <c r="AB163" s="5">
        <v>300</v>
      </c>
      <c r="AC163" s="5">
        <v>0</v>
      </c>
      <c r="AD163" s="5">
        <v>108.79130000000001</v>
      </c>
      <c r="AE163" s="5">
        <v>0</v>
      </c>
      <c r="AF163" s="5">
        <v>114.3582</v>
      </c>
      <c r="AG163" s="5">
        <v>43</v>
      </c>
      <c r="AH163" s="5">
        <v>0.23</v>
      </c>
      <c r="AI163" s="5">
        <v>63.2</v>
      </c>
      <c r="AJ163" s="5">
        <v>86.3</v>
      </c>
      <c r="AK163" s="5">
        <v>155.66</v>
      </c>
      <c r="AL163" s="5">
        <v>153.91</v>
      </c>
      <c r="AM163" s="5">
        <v>381.56</v>
      </c>
      <c r="AN163" s="5">
        <v>169.61269999999999</v>
      </c>
      <c r="AO163" s="5">
        <v>68.53</v>
      </c>
      <c r="AP163" s="5">
        <v>99.04</v>
      </c>
      <c r="AQ163" s="5">
        <v>78.25</v>
      </c>
      <c r="AR163" s="5">
        <v>385.71</v>
      </c>
      <c r="AS163" s="5">
        <v>87.12</v>
      </c>
      <c r="AT163" s="5">
        <v>75.61</v>
      </c>
      <c r="AU163" s="5">
        <v>119.98</v>
      </c>
      <c r="AV163" s="5">
        <v>112.1</v>
      </c>
      <c r="AW163" s="5">
        <v>1.0369999999999999</v>
      </c>
      <c r="AX163" s="5">
        <v>18.73</v>
      </c>
      <c r="AY163" s="5">
        <v>9.8216000000000001</v>
      </c>
      <c r="AZ163" s="5">
        <v>198.35</v>
      </c>
      <c r="BA163" s="5">
        <v>-7.0000000000000007E-2</v>
      </c>
      <c r="BB163" s="5">
        <v>6.57</v>
      </c>
      <c r="BC163" s="5">
        <v>2.17</v>
      </c>
      <c r="BD163" s="5">
        <v>11.56</v>
      </c>
      <c r="BE163" s="5">
        <v>1.56</v>
      </c>
      <c r="BF163" s="5">
        <v>111.63</v>
      </c>
      <c r="BG163" s="5">
        <v>33.04</v>
      </c>
      <c r="BH163" s="5">
        <v>0.61</v>
      </c>
      <c r="BI163" s="5">
        <v>304.3</v>
      </c>
      <c r="BJ163" s="5">
        <v>33.799999999999997</v>
      </c>
      <c r="BK163" s="5">
        <v>83.8</v>
      </c>
      <c r="BL163" s="5">
        <v>190.33</v>
      </c>
      <c r="BM163" s="5">
        <v>1.81</v>
      </c>
      <c r="BN163" s="5">
        <v>30.91</v>
      </c>
      <c r="BO163" s="5">
        <v>34.840000000000003</v>
      </c>
      <c r="BP163" s="5">
        <v>397.12</v>
      </c>
      <c r="BQ163" s="5">
        <v>73.454790000000003</v>
      </c>
      <c r="BR163" s="5">
        <v>247.92420000000001</v>
      </c>
      <c r="BS163" s="5">
        <v>89.281769999999995</v>
      </c>
      <c r="BT163" s="5">
        <v>90.693340000000006</v>
      </c>
      <c r="BU163" s="5">
        <v>89.039320000000004</v>
      </c>
      <c r="BV163" s="5">
        <v>1.0758999999999999E-2</v>
      </c>
      <c r="BW163" s="5">
        <v>1.0179000000000001E-2</v>
      </c>
      <c r="BX163" s="5">
        <v>30.700569999999999</v>
      </c>
      <c r="BY163" s="5">
        <v>18.995360000000002</v>
      </c>
      <c r="BZ163" s="5">
        <v>0</v>
      </c>
      <c r="CA163" s="5">
        <v>0.93509900000000001</v>
      </c>
      <c r="CB163" s="5">
        <v>601.2885</v>
      </c>
      <c r="CC163" s="5">
        <v>611.20730000000003</v>
      </c>
      <c r="CD163" s="5">
        <v>37.700569999999999</v>
      </c>
      <c r="CE163" s="5">
        <v>364.26</v>
      </c>
      <c r="CF163" s="5">
        <v>96.98</v>
      </c>
      <c r="CG163" s="5">
        <v>114.36</v>
      </c>
      <c r="CH163" s="5">
        <v>357.47</v>
      </c>
      <c r="CI163" s="5">
        <v>346.98</v>
      </c>
      <c r="CJ163" s="5">
        <v>355.48</v>
      </c>
      <c r="CK163" s="5">
        <v>378.13</v>
      </c>
      <c r="CL163" s="5">
        <v>363.06</v>
      </c>
      <c r="CM163" s="5">
        <v>360.99</v>
      </c>
      <c r="CN163" s="5">
        <v>281.92</v>
      </c>
      <c r="CO163" s="5">
        <v>25.27</v>
      </c>
      <c r="CP163" s="5">
        <v>198.5</v>
      </c>
      <c r="CQ163" s="5">
        <v>199.05</v>
      </c>
      <c r="CR163" s="5">
        <v>3.6</v>
      </c>
      <c r="CS163" s="5">
        <v>3.6</v>
      </c>
      <c r="CT163" s="5">
        <v>22.23</v>
      </c>
      <c r="CU163" s="5">
        <v>19.34</v>
      </c>
      <c r="CV163" s="5">
        <v>101.69</v>
      </c>
      <c r="CW163" s="5">
        <v>0.83878172500000003</v>
      </c>
      <c r="CX163" s="5">
        <v>1.3084994910000001</v>
      </c>
    </row>
    <row r="164" spans="1:102" x14ac:dyDescent="0.25">
      <c r="A164" s="5">
        <v>37</v>
      </c>
      <c r="B164" s="23">
        <v>4.0435185185185185E-2</v>
      </c>
      <c r="C164" s="5">
        <v>6</v>
      </c>
      <c r="D164" s="5">
        <v>31</v>
      </c>
      <c r="E164" s="5">
        <v>302</v>
      </c>
      <c r="F164" s="5">
        <v>302</v>
      </c>
      <c r="G164" s="5">
        <v>302.10000000000002</v>
      </c>
      <c r="H164" s="5">
        <v>91.7</v>
      </c>
      <c r="I164" s="5">
        <v>91.7</v>
      </c>
      <c r="J164" s="5">
        <v>1800</v>
      </c>
      <c r="K164" s="5">
        <v>69</v>
      </c>
      <c r="L164" s="5">
        <v>69</v>
      </c>
      <c r="M164" s="5">
        <v>0.14000000000000001</v>
      </c>
      <c r="N164" s="5">
        <v>0.14000000000000001</v>
      </c>
      <c r="O164" s="5">
        <v>1</v>
      </c>
      <c r="P164" s="5">
        <v>1.0695190000000001</v>
      </c>
      <c r="Q164" s="5">
        <v>-4.3600000000000003</v>
      </c>
      <c r="R164" s="5">
        <v>-4.3615719999999998</v>
      </c>
      <c r="S164" s="5">
        <v>129.6</v>
      </c>
      <c r="T164" s="5">
        <v>129.59379999999999</v>
      </c>
      <c r="U164" s="5">
        <v>3.5</v>
      </c>
      <c r="V164" s="5">
        <v>3.5</v>
      </c>
      <c r="W164" s="5">
        <v>300</v>
      </c>
      <c r="X164" s="5">
        <v>300</v>
      </c>
      <c r="Y164" s="5">
        <v>3.62</v>
      </c>
      <c r="Z164" s="5">
        <v>3.625</v>
      </c>
      <c r="AA164" s="5">
        <v>300</v>
      </c>
      <c r="AB164" s="5">
        <v>300</v>
      </c>
      <c r="AC164" s="5">
        <v>0</v>
      </c>
      <c r="AD164" s="5">
        <v>143.90289999999999</v>
      </c>
      <c r="AE164" s="5">
        <v>0</v>
      </c>
      <c r="AF164" s="5">
        <v>142.58430000000001</v>
      </c>
      <c r="AG164" s="5">
        <v>39</v>
      </c>
      <c r="AH164" s="5">
        <v>0.17</v>
      </c>
      <c r="AI164" s="5">
        <v>82.67</v>
      </c>
      <c r="AJ164" s="5">
        <v>111.64</v>
      </c>
      <c r="AK164" s="5">
        <v>257.81</v>
      </c>
      <c r="AL164" s="5">
        <v>257.60000000000002</v>
      </c>
      <c r="AM164" s="5">
        <v>424.34</v>
      </c>
      <c r="AN164" s="5">
        <v>223.95820000000001</v>
      </c>
      <c r="AO164" s="5">
        <v>122.86</v>
      </c>
      <c r="AP164" s="5">
        <v>135.32</v>
      </c>
      <c r="AQ164" s="5">
        <v>139.32</v>
      </c>
      <c r="AR164" s="5">
        <v>572.12</v>
      </c>
      <c r="AS164" s="5">
        <v>134.96</v>
      </c>
      <c r="AT164" s="5">
        <v>72.64</v>
      </c>
      <c r="AU164" s="5">
        <v>120.35</v>
      </c>
      <c r="AV164" s="5">
        <v>112.76</v>
      </c>
      <c r="AW164" s="5">
        <v>0.17799999999999999</v>
      </c>
      <c r="AX164" s="5">
        <v>2.4700000000000002</v>
      </c>
      <c r="AY164" s="5">
        <v>10000000000</v>
      </c>
      <c r="AZ164" s="5">
        <v>121.78</v>
      </c>
      <c r="BA164" s="5">
        <v>57.86</v>
      </c>
      <c r="BB164" s="5">
        <v>6.04</v>
      </c>
      <c r="BC164" s="5">
        <v>1.37</v>
      </c>
      <c r="BD164" s="5">
        <v>4.74</v>
      </c>
      <c r="BE164" s="5">
        <v>2.64</v>
      </c>
      <c r="BF164" s="5">
        <v>192.27</v>
      </c>
      <c r="BG164" s="5">
        <v>22.69</v>
      </c>
      <c r="BH164" s="5">
        <v>10000000000</v>
      </c>
      <c r="BI164" s="5">
        <v>285.3</v>
      </c>
      <c r="BJ164" s="5">
        <v>35.200000000000003</v>
      </c>
      <c r="BK164" s="5">
        <v>82.9</v>
      </c>
      <c r="BL164" s="5">
        <v>168.06</v>
      </c>
      <c r="BM164" s="5">
        <v>2.36</v>
      </c>
      <c r="BN164" s="5">
        <v>30.25</v>
      </c>
      <c r="BO164" s="5">
        <v>34.6</v>
      </c>
      <c r="BP164" s="5">
        <v>588.77</v>
      </c>
      <c r="BQ164" s="5">
        <v>71.760260000000002</v>
      </c>
      <c r="BR164" s="5">
        <v>354.70429999999999</v>
      </c>
      <c r="BS164" s="5">
        <v>59.025910000000003</v>
      </c>
      <c r="BT164" s="5">
        <v>76.116129999999998</v>
      </c>
      <c r="BU164" s="5">
        <v>73.659970000000001</v>
      </c>
      <c r="BV164" s="5">
        <v>8.0085000000000003E-2</v>
      </c>
      <c r="BW164" s="5">
        <v>6.3821000000000003E-2</v>
      </c>
      <c r="BX164" s="5">
        <v>47.678330000000003</v>
      </c>
      <c r="BY164" s="5">
        <v>18.995360000000002</v>
      </c>
      <c r="BZ164" s="5">
        <v>0</v>
      </c>
      <c r="CA164" s="5">
        <v>0.93188400000000005</v>
      </c>
      <c r="CB164" s="5">
        <v>795.14430000000004</v>
      </c>
      <c r="CC164" s="5">
        <v>809.62270000000001</v>
      </c>
      <c r="CD164" s="5">
        <v>54.803330000000003</v>
      </c>
      <c r="CE164" s="5">
        <v>401.82</v>
      </c>
      <c r="CF164" s="5">
        <v>96.79</v>
      </c>
      <c r="CG164" s="5">
        <v>113.7</v>
      </c>
      <c r="CH164" s="5">
        <v>395.79</v>
      </c>
      <c r="CI164" s="5">
        <v>383.12</v>
      </c>
      <c r="CJ164" s="5">
        <v>392</v>
      </c>
      <c r="CK164" s="5">
        <v>416.97</v>
      </c>
      <c r="CL164" s="5">
        <v>405.85</v>
      </c>
      <c r="CM164" s="5">
        <v>405.68</v>
      </c>
      <c r="CN164" s="5">
        <v>287.45999999999998</v>
      </c>
      <c r="CO164" s="5">
        <v>28.38</v>
      </c>
      <c r="CP164" s="5">
        <v>300.2</v>
      </c>
      <c r="CQ164" s="5">
        <v>302.05</v>
      </c>
      <c r="CR164" s="5">
        <v>5.4</v>
      </c>
      <c r="CS164" s="5">
        <v>5.4</v>
      </c>
      <c r="CT164" s="5">
        <v>26.24</v>
      </c>
      <c r="CU164" s="5">
        <v>24.99</v>
      </c>
      <c r="CV164" s="5">
        <v>101.38</v>
      </c>
      <c r="CW164" s="5">
        <v>0.86664709900000003</v>
      </c>
      <c r="CX164" s="5">
        <v>2.2879483413600004</v>
      </c>
    </row>
    <row r="165" spans="1:102" x14ac:dyDescent="0.25">
      <c r="A165" s="5">
        <v>2</v>
      </c>
      <c r="B165" s="23">
        <v>2.1854166666666664E-2</v>
      </c>
      <c r="C165" s="5">
        <v>6</v>
      </c>
      <c r="D165" s="5">
        <v>2</v>
      </c>
      <c r="E165" s="5">
        <v>204</v>
      </c>
      <c r="F165" s="5">
        <v>204</v>
      </c>
      <c r="G165" s="5">
        <v>204</v>
      </c>
      <c r="H165" s="5">
        <v>91.7</v>
      </c>
      <c r="I165" s="5">
        <v>91.7</v>
      </c>
      <c r="J165" s="5">
        <v>1800</v>
      </c>
      <c r="K165" s="5">
        <v>26</v>
      </c>
      <c r="L165" s="5">
        <v>26</v>
      </c>
      <c r="M165" s="5">
        <v>0.13</v>
      </c>
      <c r="N165" s="5">
        <v>0.13002</v>
      </c>
      <c r="O165" s="5">
        <v>1</v>
      </c>
      <c r="P165" s="5">
        <v>1.0695749999999999</v>
      </c>
      <c r="Q165" s="5">
        <v>-2.2000000000000002</v>
      </c>
      <c r="R165" s="5">
        <v>-2.1972659999999999</v>
      </c>
      <c r="S165" s="5">
        <v>116.84</v>
      </c>
      <c r="T165" s="5">
        <v>116.8438</v>
      </c>
      <c r="U165" s="5">
        <v>3.5</v>
      </c>
      <c r="V165" s="5">
        <v>3.5</v>
      </c>
      <c r="W165" s="5">
        <v>300</v>
      </c>
      <c r="X165" s="5">
        <v>300</v>
      </c>
      <c r="Y165" s="5">
        <v>3.5</v>
      </c>
      <c r="Z165" s="5">
        <v>3.5</v>
      </c>
      <c r="AA165" s="5">
        <v>300</v>
      </c>
      <c r="AB165" s="5">
        <v>300</v>
      </c>
      <c r="AC165" s="5">
        <v>0</v>
      </c>
      <c r="AD165" s="5">
        <v>84.588800000000006</v>
      </c>
      <c r="AE165" s="5">
        <v>0</v>
      </c>
      <c r="AF165" s="5">
        <v>93.034009999999995</v>
      </c>
      <c r="AG165" s="5">
        <v>39</v>
      </c>
      <c r="AH165" s="5">
        <v>0.17</v>
      </c>
      <c r="AI165" s="5">
        <v>48.22</v>
      </c>
      <c r="AJ165" s="5">
        <v>65.28</v>
      </c>
      <c r="AK165" s="5">
        <v>46.21</v>
      </c>
      <c r="AL165" s="5">
        <v>46.44</v>
      </c>
      <c r="AM165" s="5">
        <v>367.98</v>
      </c>
      <c r="AN165" s="5">
        <v>124.07259999999999</v>
      </c>
      <c r="AO165" s="5">
        <v>21.57</v>
      </c>
      <c r="AP165" s="5">
        <v>58.86</v>
      </c>
      <c r="AQ165" s="5">
        <v>32.6</v>
      </c>
      <c r="AR165" s="5">
        <v>384.54</v>
      </c>
      <c r="AS165" s="5">
        <v>24.63</v>
      </c>
      <c r="AT165" s="5">
        <v>54.23</v>
      </c>
      <c r="AU165" s="5">
        <v>95.23</v>
      </c>
      <c r="AV165" s="5">
        <v>112.03</v>
      </c>
      <c r="AW165" s="5">
        <v>0.36299999999999999</v>
      </c>
      <c r="AX165" s="5">
        <v>5.34</v>
      </c>
      <c r="AY165" s="5">
        <v>6.3372999999999999</v>
      </c>
      <c r="AZ165" s="5">
        <v>155.69</v>
      </c>
      <c r="BA165" s="5">
        <v>80.92</v>
      </c>
      <c r="BB165" s="5">
        <v>5.84</v>
      </c>
      <c r="BC165" s="5">
        <v>0.74</v>
      </c>
      <c r="BD165" s="5">
        <v>12.73</v>
      </c>
      <c r="BE165" s="5">
        <v>3.9</v>
      </c>
      <c r="BF165" s="5">
        <v>283.26</v>
      </c>
      <c r="BG165" s="5">
        <v>12.65</v>
      </c>
      <c r="BH165" s="5">
        <v>0.41</v>
      </c>
      <c r="BI165" s="5">
        <v>266.10000000000002</v>
      </c>
      <c r="BJ165" s="5">
        <v>37.6</v>
      </c>
      <c r="BK165" s="5">
        <v>86.5</v>
      </c>
      <c r="BL165" s="5">
        <v>55.7</v>
      </c>
      <c r="BM165" s="5">
        <v>1.34</v>
      </c>
      <c r="BN165" s="5">
        <v>29.64</v>
      </c>
      <c r="BO165" s="5">
        <v>34.26</v>
      </c>
      <c r="BP165" s="5">
        <v>394.81</v>
      </c>
      <c r="BQ165" s="5">
        <v>55.8889</v>
      </c>
      <c r="BR165" s="5">
        <v>148.00110000000001</v>
      </c>
      <c r="BS165" s="5">
        <v>97.700429999999997</v>
      </c>
      <c r="BT165" s="5">
        <v>81.632900000000006</v>
      </c>
      <c r="BU165" s="5">
        <v>80.121459999999999</v>
      </c>
      <c r="BV165" s="5">
        <v>0</v>
      </c>
      <c r="BW165" s="5">
        <v>0</v>
      </c>
      <c r="BX165" s="5">
        <v>25.79401</v>
      </c>
      <c r="BY165" s="5">
        <v>18.995360000000002</v>
      </c>
      <c r="BZ165" s="5">
        <v>0</v>
      </c>
      <c r="CA165" s="5">
        <v>0.93509299999999995</v>
      </c>
      <c r="CB165" s="5">
        <v>463.29149999999998</v>
      </c>
      <c r="CC165" s="5">
        <v>471.90730000000002</v>
      </c>
      <c r="CD165" s="5">
        <v>32.79401</v>
      </c>
      <c r="CE165" s="5">
        <v>343.09</v>
      </c>
      <c r="CF165" s="5">
        <v>72.81</v>
      </c>
      <c r="CG165" s="5">
        <v>86.34</v>
      </c>
      <c r="CH165" s="5">
        <v>341.6</v>
      </c>
      <c r="CI165" s="5">
        <v>330.58</v>
      </c>
      <c r="CJ165" s="5">
        <v>340.73</v>
      </c>
      <c r="CK165" s="5">
        <v>366.27</v>
      </c>
      <c r="CL165" s="5">
        <v>353.86</v>
      </c>
      <c r="CM165" s="5">
        <v>352.62</v>
      </c>
      <c r="CN165" s="5">
        <v>309.12</v>
      </c>
      <c r="CO165" s="5">
        <v>22.29</v>
      </c>
      <c r="CP165" s="5">
        <v>203</v>
      </c>
      <c r="CQ165" s="5">
        <v>204.05</v>
      </c>
      <c r="CR165" s="5">
        <v>3.6</v>
      </c>
      <c r="CS165" s="5">
        <v>3.7</v>
      </c>
      <c r="CT165" s="5">
        <v>19.22</v>
      </c>
      <c r="CU165" s="5">
        <v>22.48</v>
      </c>
      <c r="CV165" s="5">
        <v>101.79</v>
      </c>
      <c r="CW165" s="5">
        <v>0.83449839100000001</v>
      </c>
      <c r="CX165" s="5">
        <v>3.2545437249</v>
      </c>
    </row>
    <row r="166" spans="1:102" x14ac:dyDescent="0.25">
      <c r="A166" s="5">
        <v>46</v>
      </c>
      <c r="B166" s="23">
        <v>1.7122685185185185E-2</v>
      </c>
      <c r="C166" s="5">
        <v>6</v>
      </c>
      <c r="D166" s="5">
        <v>39</v>
      </c>
      <c r="E166" s="5">
        <v>330</v>
      </c>
      <c r="F166" s="5">
        <v>330</v>
      </c>
      <c r="G166" s="5">
        <v>330.1</v>
      </c>
      <c r="H166" s="5">
        <v>91.7</v>
      </c>
      <c r="I166" s="5">
        <v>91.7</v>
      </c>
      <c r="J166" s="5">
        <v>1800</v>
      </c>
      <c r="K166" s="5">
        <v>22</v>
      </c>
      <c r="L166" s="5">
        <v>22</v>
      </c>
      <c r="M166" s="5">
        <v>0.11</v>
      </c>
      <c r="N166" s="5">
        <v>0.11002099999999999</v>
      </c>
      <c r="O166" s="5">
        <v>1</v>
      </c>
      <c r="P166" s="5">
        <v>1.069477</v>
      </c>
      <c r="Q166" s="5">
        <v>-4.32</v>
      </c>
      <c r="R166" s="5">
        <v>-4.3176269999999999</v>
      </c>
      <c r="S166" s="5">
        <v>134.72</v>
      </c>
      <c r="T166" s="5">
        <v>134.71879999999999</v>
      </c>
      <c r="U166" s="5">
        <v>3.5</v>
      </c>
      <c r="V166" s="5">
        <v>3.5</v>
      </c>
      <c r="W166" s="5">
        <v>300</v>
      </c>
      <c r="X166" s="5">
        <v>300</v>
      </c>
      <c r="Y166" s="5">
        <v>3.5</v>
      </c>
      <c r="Z166" s="5">
        <v>3.5</v>
      </c>
      <c r="AA166" s="5">
        <v>300</v>
      </c>
      <c r="AB166" s="5">
        <v>300</v>
      </c>
      <c r="AC166" s="5">
        <v>0</v>
      </c>
      <c r="AD166" s="5">
        <v>99.003280000000004</v>
      </c>
      <c r="AE166" s="5">
        <v>0</v>
      </c>
      <c r="AF166" s="5">
        <v>99.003280000000004</v>
      </c>
      <c r="AG166" s="5">
        <v>39</v>
      </c>
      <c r="AH166" s="5">
        <v>0.17</v>
      </c>
      <c r="AI166" s="5">
        <v>56.27</v>
      </c>
      <c r="AJ166" s="5">
        <v>79.959999999999994</v>
      </c>
      <c r="AK166" s="5">
        <v>66.87</v>
      </c>
      <c r="AL166" s="5">
        <v>68.95</v>
      </c>
      <c r="AM166" s="5">
        <v>465.91</v>
      </c>
      <c r="AN166" s="5">
        <v>144.58099999999999</v>
      </c>
      <c r="AO166" s="5">
        <v>42.15</v>
      </c>
      <c r="AP166" s="5">
        <v>75.97</v>
      </c>
      <c r="AQ166" s="5">
        <v>55.97</v>
      </c>
      <c r="AR166" s="5">
        <v>462.48</v>
      </c>
      <c r="AS166" s="5">
        <v>24.7</v>
      </c>
      <c r="AT166" s="5">
        <v>50.99</v>
      </c>
      <c r="AU166" s="5">
        <v>96.46</v>
      </c>
      <c r="AV166" s="5">
        <v>115.4</v>
      </c>
      <c r="AW166" s="5">
        <v>10000000000</v>
      </c>
      <c r="AX166" s="5">
        <v>10000000000</v>
      </c>
      <c r="AY166" s="5">
        <v>10000000000</v>
      </c>
      <c r="AZ166" s="5">
        <v>170.82</v>
      </c>
      <c r="BA166" s="5">
        <v>64.38</v>
      </c>
      <c r="BB166" s="5">
        <v>6.95</v>
      </c>
      <c r="BC166" s="5">
        <v>0.66</v>
      </c>
      <c r="BD166" s="5">
        <v>10.93</v>
      </c>
      <c r="BE166" s="5">
        <v>3.42</v>
      </c>
      <c r="BF166" s="5">
        <v>342.93</v>
      </c>
      <c r="BG166" s="5">
        <v>9.48</v>
      </c>
      <c r="BH166" s="5">
        <v>10000000000</v>
      </c>
      <c r="BI166" s="5">
        <v>243.7</v>
      </c>
      <c r="BJ166" s="5">
        <v>30.5</v>
      </c>
      <c r="BK166" s="5">
        <v>85.6</v>
      </c>
      <c r="BL166" s="5">
        <v>48.43</v>
      </c>
      <c r="BM166" s="5">
        <v>1.58</v>
      </c>
      <c r="BN166" s="5">
        <v>29.58</v>
      </c>
      <c r="BO166" s="5">
        <v>35.450000000000003</v>
      </c>
      <c r="BP166" s="5">
        <v>477.67</v>
      </c>
      <c r="BQ166" s="5">
        <v>52.810310000000001</v>
      </c>
      <c r="BR166" s="5">
        <v>169.35470000000001</v>
      </c>
      <c r="BS166" s="5">
        <v>60.436329999999998</v>
      </c>
      <c r="BT166" s="5">
        <v>54.203609999999998</v>
      </c>
      <c r="BU166" s="5">
        <v>53.69641</v>
      </c>
      <c r="BV166" s="5">
        <v>6.9020999999999999E-2</v>
      </c>
      <c r="BW166" s="5">
        <v>7.0407999999999998E-2</v>
      </c>
      <c r="BX166" s="5">
        <v>45.136879999999998</v>
      </c>
      <c r="BY166" s="5">
        <v>18.995360000000002</v>
      </c>
      <c r="BZ166" s="5">
        <v>0</v>
      </c>
      <c r="CA166" s="5">
        <v>0.93246899999999999</v>
      </c>
      <c r="CB166" s="5">
        <v>543.47379999999998</v>
      </c>
      <c r="CC166" s="5">
        <v>557.22249999999997</v>
      </c>
      <c r="CD166" s="5">
        <v>52.136879999999998</v>
      </c>
      <c r="CE166" s="5">
        <v>413.55</v>
      </c>
      <c r="CF166" s="5">
        <v>75.37</v>
      </c>
      <c r="CG166" s="5">
        <v>88.82</v>
      </c>
      <c r="CH166" s="5">
        <v>389.7</v>
      </c>
      <c r="CI166" s="5">
        <v>399.09</v>
      </c>
      <c r="CJ166" s="5">
        <v>410.94</v>
      </c>
      <c r="CK166" s="5">
        <v>450.6</v>
      </c>
      <c r="CL166" s="5">
        <v>435.86</v>
      </c>
      <c r="CM166" s="5">
        <v>439.01</v>
      </c>
      <c r="CN166" s="5">
        <v>383.83</v>
      </c>
      <c r="CO166" s="5">
        <v>26.29</v>
      </c>
      <c r="CP166" s="5">
        <v>328</v>
      </c>
      <c r="CQ166" s="5">
        <v>330.05</v>
      </c>
      <c r="CR166" s="5">
        <v>5.9</v>
      </c>
      <c r="CS166" s="5">
        <v>5.9</v>
      </c>
      <c r="CT166" s="5">
        <v>25.92</v>
      </c>
      <c r="CU166" s="5">
        <v>26.55</v>
      </c>
      <c r="CV166" s="5">
        <v>101.35</v>
      </c>
      <c r="CW166" s="5">
        <v>0.86536479099999997</v>
      </c>
      <c r="CX166" s="5">
        <v>2.9595475852199997</v>
      </c>
    </row>
    <row r="167" spans="1:102" x14ac:dyDescent="0.25">
      <c r="A167" s="5">
        <v>15</v>
      </c>
      <c r="B167" s="23">
        <v>2.5225694444444446E-2</v>
      </c>
      <c r="C167" s="5">
        <v>6</v>
      </c>
      <c r="D167" s="5">
        <v>8</v>
      </c>
      <c r="E167" s="5">
        <v>225</v>
      </c>
      <c r="F167" s="5">
        <v>225</v>
      </c>
      <c r="G167" s="5">
        <v>225</v>
      </c>
      <c r="H167" s="5">
        <v>91.7</v>
      </c>
      <c r="I167" s="5">
        <v>91.7</v>
      </c>
      <c r="J167" s="5">
        <v>1800</v>
      </c>
      <c r="K167" s="5">
        <v>40</v>
      </c>
      <c r="L167" s="5">
        <v>40</v>
      </c>
      <c r="M167" s="5">
        <v>0.06</v>
      </c>
      <c r="N167" s="5">
        <v>5.9989000000000001E-2</v>
      </c>
      <c r="O167" s="5">
        <v>1</v>
      </c>
      <c r="P167" s="5">
        <v>1.069496</v>
      </c>
      <c r="Q167" s="5">
        <v>-2.67</v>
      </c>
      <c r="R167" s="5">
        <v>-2.6696780000000002</v>
      </c>
      <c r="S167" s="5">
        <v>119.54</v>
      </c>
      <c r="T167" s="5">
        <v>119.54689999999999</v>
      </c>
      <c r="U167" s="5">
        <v>3.5</v>
      </c>
      <c r="V167" s="5">
        <v>3.5</v>
      </c>
      <c r="W167" s="5">
        <v>300</v>
      </c>
      <c r="X167" s="5">
        <v>300</v>
      </c>
      <c r="Y167" s="5">
        <v>3.5</v>
      </c>
      <c r="Z167" s="5">
        <v>3.5</v>
      </c>
      <c r="AA167" s="5">
        <v>300</v>
      </c>
      <c r="AB167" s="5">
        <v>300</v>
      </c>
      <c r="AC167" s="5">
        <v>0</v>
      </c>
      <c r="AD167" s="5">
        <v>98.792659999999998</v>
      </c>
      <c r="AE167" s="5">
        <v>0</v>
      </c>
      <c r="AF167" s="5">
        <v>105.0179</v>
      </c>
      <c r="AG167" s="5">
        <v>39</v>
      </c>
      <c r="AH167" s="5">
        <v>0.17</v>
      </c>
      <c r="AI167" s="5">
        <v>57.09</v>
      </c>
      <c r="AJ167" s="5">
        <v>83.75</v>
      </c>
      <c r="AK167" s="5">
        <v>86.15</v>
      </c>
      <c r="AL167" s="5">
        <v>87.99</v>
      </c>
      <c r="AM167" s="5">
        <v>369.15</v>
      </c>
      <c r="AN167" s="5">
        <v>146.94380000000001</v>
      </c>
      <c r="AO167" s="5">
        <v>44.78</v>
      </c>
      <c r="AP167" s="5">
        <v>86.25</v>
      </c>
      <c r="AQ167" s="5">
        <v>59.28</v>
      </c>
      <c r="AR167" s="5">
        <v>486.74</v>
      </c>
      <c r="AS167" s="5">
        <v>41.39</v>
      </c>
      <c r="AT167" s="5">
        <v>57.5</v>
      </c>
      <c r="AU167" s="5">
        <v>94.35</v>
      </c>
      <c r="AV167" s="5">
        <v>114.55</v>
      </c>
      <c r="AW167" s="5">
        <v>0.20100000000000001</v>
      </c>
      <c r="AX167" s="5">
        <v>2.8</v>
      </c>
      <c r="AY167" s="5">
        <v>10000000000</v>
      </c>
      <c r="AZ167" s="5">
        <v>108.27</v>
      </c>
      <c r="BA167" s="5">
        <v>67.8</v>
      </c>
      <c r="BB167" s="5">
        <v>5.21</v>
      </c>
      <c r="BC167" s="5">
        <v>0.34</v>
      </c>
      <c r="BD167" s="5">
        <v>13.54</v>
      </c>
      <c r="BE167" s="5">
        <v>5.75</v>
      </c>
      <c r="BF167" s="5">
        <v>357.64</v>
      </c>
      <c r="BG167" s="5">
        <v>6.49</v>
      </c>
      <c r="BH167" s="5">
        <v>10000000000</v>
      </c>
      <c r="BI167" s="5">
        <v>267.2</v>
      </c>
      <c r="BJ167" s="5">
        <v>43</v>
      </c>
      <c r="BK167" s="5">
        <v>88.2</v>
      </c>
      <c r="BL167" s="5">
        <v>33.799999999999997</v>
      </c>
      <c r="BM167" s="5">
        <v>1.56</v>
      </c>
      <c r="BN167" s="5">
        <v>29.27</v>
      </c>
      <c r="BO167" s="5">
        <v>33.61</v>
      </c>
      <c r="BP167" s="5">
        <v>498.24</v>
      </c>
      <c r="BQ167" s="5">
        <v>58.798439999999999</v>
      </c>
      <c r="BR167" s="5">
        <v>190.11969999999999</v>
      </c>
      <c r="BS167" s="5">
        <v>89.845500000000001</v>
      </c>
      <c r="BT167" s="5">
        <v>82.822779999999995</v>
      </c>
      <c r="BU167" s="5">
        <v>81.404610000000005</v>
      </c>
      <c r="BV167" s="5">
        <v>9.4409999999999997E-3</v>
      </c>
      <c r="BW167" s="5">
        <v>9.5689999999999994E-3</v>
      </c>
      <c r="BX167" s="5">
        <v>30.371359999999999</v>
      </c>
      <c r="BY167" s="5">
        <v>18.995360000000002</v>
      </c>
      <c r="BZ167" s="5">
        <v>0</v>
      </c>
      <c r="CA167" s="5">
        <v>0.93509900000000001</v>
      </c>
      <c r="CB167" s="5">
        <v>543.92629999999997</v>
      </c>
      <c r="CC167" s="5">
        <v>553.76250000000005</v>
      </c>
      <c r="CD167" s="5">
        <v>37.37135</v>
      </c>
      <c r="CE167" s="5">
        <v>310.68</v>
      </c>
      <c r="CF167" s="5">
        <v>73.95</v>
      </c>
      <c r="CG167" s="5">
        <v>84.24</v>
      </c>
      <c r="CH167" s="5">
        <v>344.55</v>
      </c>
      <c r="CI167" s="5">
        <v>339.01</v>
      </c>
      <c r="CJ167" s="5">
        <v>346.76</v>
      </c>
      <c r="CK167" s="5">
        <v>370.01</v>
      </c>
      <c r="CL167" s="5">
        <v>353.52</v>
      </c>
      <c r="CM167" s="5">
        <v>352.64</v>
      </c>
      <c r="CN167" s="5">
        <v>292.39</v>
      </c>
      <c r="CO167" s="5">
        <v>26.25</v>
      </c>
      <c r="CP167" s="5">
        <v>224.4</v>
      </c>
      <c r="CQ167" s="5">
        <v>225.05</v>
      </c>
      <c r="CR167" s="5">
        <v>4</v>
      </c>
      <c r="CS167" s="5">
        <v>4</v>
      </c>
      <c r="CT167" s="5">
        <v>23.08</v>
      </c>
      <c r="CU167" s="5">
        <v>15.53</v>
      </c>
      <c r="CV167" s="5">
        <v>101.6</v>
      </c>
      <c r="CW167" s="5">
        <v>0.836667406</v>
      </c>
      <c r="CX167" s="5">
        <v>4.8108375844999998</v>
      </c>
    </row>
    <row r="168" spans="1:102" x14ac:dyDescent="0.25">
      <c r="A168" s="5">
        <v>10</v>
      </c>
      <c r="B168" s="23">
        <v>3.9714120370370372E-2</v>
      </c>
      <c r="C168" s="5">
        <v>6</v>
      </c>
      <c r="D168" s="5">
        <v>3</v>
      </c>
      <c r="E168" s="5">
        <v>206</v>
      </c>
      <c r="F168" s="5">
        <v>206</v>
      </c>
      <c r="G168" s="5">
        <v>206</v>
      </c>
      <c r="H168" s="5">
        <v>91.7</v>
      </c>
      <c r="I168" s="5">
        <v>91.7</v>
      </c>
      <c r="J168" s="5">
        <v>1800</v>
      </c>
      <c r="K168" s="5">
        <v>5</v>
      </c>
      <c r="L168" s="5">
        <v>5</v>
      </c>
      <c r="M168" s="5">
        <v>0.28999999999999998</v>
      </c>
      <c r="N168" s="5">
        <v>0.28992699999999999</v>
      </c>
      <c r="O168" s="5">
        <v>1</v>
      </c>
      <c r="P168" s="5">
        <v>1.0695570000000001</v>
      </c>
      <c r="Q168" s="5">
        <v>-2.2400000000000002</v>
      </c>
      <c r="R168" s="5">
        <v>-2.2412109999999998</v>
      </c>
      <c r="S168" s="5">
        <v>117.09</v>
      </c>
      <c r="T168" s="5">
        <v>117.0938</v>
      </c>
      <c r="U168" s="5">
        <v>3.5</v>
      </c>
      <c r="V168" s="5">
        <v>3.5</v>
      </c>
      <c r="W168" s="5">
        <v>300</v>
      </c>
      <c r="X168" s="5">
        <v>300</v>
      </c>
      <c r="Y168" s="5">
        <v>3.5</v>
      </c>
      <c r="Z168" s="5">
        <v>3.5</v>
      </c>
      <c r="AA168" s="5">
        <v>300</v>
      </c>
      <c r="AB168" s="5">
        <v>300</v>
      </c>
      <c r="AC168" s="5">
        <v>0</v>
      </c>
      <c r="AD168" s="5">
        <v>77.281670000000005</v>
      </c>
      <c r="AE168" s="5">
        <v>0</v>
      </c>
      <c r="AF168" s="5">
        <v>84.995159999999998</v>
      </c>
      <c r="AG168" s="5">
        <v>39</v>
      </c>
      <c r="AH168" s="5">
        <v>0.17</v>
      </c>
      <c r="AI168" s="5">
        <v>42.88</v>
      </c>
      <c r="AJ168" s="5">
        <v>51.58</v>
      </c>
      <c r="AK168" s="5">
        <v>26.97</v>
      </c>
      <c r="AL168" s="5">
        <v>26.88</v>
      </c>
      <c r="AM168" s="5">
        <v>393.07</v>
      </c>
      <c r="AN168" s="5">
        <v>110.6203</v>
      </c>
      <c r="AO168" s="5">
        <v>7.82</v>
      </c>
      <c r="AP168" s="5">
        <v>47.66</v>
      </c>
      <c r="AQ168" s="5">
        <v>16.989999999999998</v>
      </c>
      <c r="AR168" s="5">
        <v>320.33999999999997</v>
      </c>
      <c r="AS168" s="5">
        <v>19.149999999999999</v>
      </c>
      <c r="AT168" s="5">
        <v>46.85</v>
      </c>
      <c r="AU168" s="5">
        <v>99.78</v>
      </c>
      <c r="AV168" s="5">
        <v>118.74</v>
      </c>
      <c r="AW168" s="5">
        <v>0.72199999999999998</v>
      </c>
      <c r="AX168" s="5">
        <v>11.83</v>
      </c>
      <c r="AY168" s="5">
        <v>10000000000</v>
      </c>
      <c r="AZ168" s="5">
        <v>295.92</v>
      </c>
      <c r="BA168" s="5">
        <v>115.19</v>
      </c>
      <c r="BB168" s="5">
        <v>7.03</v>
      </c>
      <c r="BC168" s="5">
        <v>1.45</v>
      </c>
      <c r="BD168" s="5">
        <v>11.09</v>
      </c>
      <c r="BE168" s="5">
        <v>2.02</v>
      </c>
      <c r="BF168" s="5">
        <v>181.64</v>
      </c>
      <c r="BG168" s="5">
        <v>20.59</v>
      </c>
      <c r="BH168" s="5">
        <v>10000000000</v>
      </c>
      <c r="BI168" s="5">
        <v>263.3</v>
      </c>
      <c r="BJ168" s="5">
        <v>31.3</v>
      </c>
      <c r="BK168" s="5">
        <v>85.5</v>
      </c>
      <c r="BL168" s="5">
        <v>83.06</v>
      </c>
      <c r="BM168" s="5">
        <v>1.25</v>
      </c>
      <c r="BN168" s="5">
        <v>30.27</v>
      </c>
      <c r="BO168" s="5">
        <v>35.28</v>
      </c>
      <c r="BP168" s="5">
        <v>330.56</v>
      </c>
      <c r="BQ168" s="5">
        <v>48.590310000000002</v>
      </c>
      <c r="BR168" s="5">
        <v>125.3805</v>
      </c>
      <c r="BS168" s="5">
        <v>96.571749999999994</v>
      </c>
      <c r="BT168" s="5">
        <v>72.849699999999999</v>
      </c>
      <c r="BU168" s="5">
        <v>72.405779999999993</v>
      </c>
      <c r="BV168" s="5">
        <v>0</v>
      </c>
      <c r="BW168" s="5">
        <v>0</v>
      </c>
      <c r="BX168" s="5">
        <v>26.437760000000001</v>
      </c>
      <c r="BY168" s="5">
        <v>18.995360000000002</v>
      </c>
      <c r="BZ168" s="5">
        <v>0</v>
      </c>
      <c r="CA168" s="5">
        <v>0.93509600000000004</v>
      </c>
      <c r="CB168" s="5">
        <v>422.52249999999998</v>
      </c>
      <c r="CC168" s="5">
        <v>431.3252</v>
      </c>
      <c r="CD168" s="5">
        <v>33.449120000000001</v>
      </c>
      <c r="CE168" s="5">
        <v>379.29</v>
      </c>
      <c r="CF168" s="5">
        <v>74.77</v>
      </c>
      <c r="CG168" s="5">
        <v>90.31</v>
      </c>
      <c r="CH168" s="5">
        <v>352.49</v>
      </c>
      <c r="CI168" s="5">
        <v>344.14</v>
      </c>
      <c r="CJ168" s="5">
        <v>355.73</v>
      </c>
      <c r="CK168" s="5">
        <v>387.68</v>
      </c>
      <c r="CL168" s="5">
        <v>375.97</v>
      </c>
      <c r="CM168" s="5">
        <v>374.01</v>
      </c>
      <c r="CN168" s="5">
        <v>339.13</v>
      </c>
      <c r="CO168" s="5">
        <v>24.96</v>
      </c>
      <c r="CP168" s="5">
        <v>205.3</v>
      </c>
      <c r="CQ168" s="5">
        <v>206.05</v>
      </c>
      <c r="CR168" s="5">
        <v>3.7</v>
      </c>
      <c r="CS168" s="5">
        <v>3.7</v>
      </c>
      <c r="CT168" s="5">
        <v>22.36</v>
      </c>
      <c r="CU168" s="5">
        <v>18.440000000000001</v>
      </c>
      <c r="CV168" s="5">
        <v>101.65</v>
      </c>
      <c r="CW168" s="5">
        <v>0.82504724900000004</v>
      </c>
      <c r="CX168" s="5">
        <v>1.6665954429800001</v>
      </c>
    </row>
    <row r="169" spans="1:102" x14ac:dyDescent="0.25">
      <c r="A169" s="5">
        <v>21</v>
      </c>
      <c r="B169" s="23">
        <v>2.3508101851851853E-2</v>
      </c>
      <c r="C169" s="5">
        <v>6</v>
      </c>
      <c r="D169" s="5">
        <v>13</v>
      </c>
      <c r="E169" s="5">
        <v>241</v>
      </c>
      <c r="F169" s="5">
        <v>241</v>
      </c>
      <c r="G169" s="5">
        <v>241</v>
      </c>
      <c r="H169" s="5">
        <v>91.7</v>
      </c>
      <c r="I169" s="5">
        <v>91.7</v>
      </c>
      <c r="J169" s="5">
        <v>1800</v>
      </c>
      <c r="K169" s="5">
        <v>56</v>
      </c>
      <c r="L169" s="5">
        <v>56</v>
      </c>
      <c r="M169" s="5">
        <v>0.08</v>
      </c>
      <c r="N169" s="5">
        <v>8.0085000000000003E-2</v>
      </c>
      <c r="O169" s="5">
        <v>1</v>
      </c>
      <c r="P169" s="5">
        <v>1.069453</v>
      </c>
      <c r="Q169" s="5">
        <v>-3.03</v>
      </c>
      <c r="R169" s="5">
        <v>-3.0322269999999998</v>
      </c>
      <c r="S169" s="5">
        <v>121.6</v>
      </c>
      <c r="T169" s="5">
        <v>121.5938</v>
      </c>
      <c r="U169" s="5">
        <v>3.5</v>
      </c>
      <c r="V169" s="5">
        <v>3.5</v>
      </c>
      <c r="W169" s="5">
        <v>300</v>
      </c>
      <c r="X169" s="5">
        <v>300</v>
      </c>
      <c r="Y169" s="5">
        <v>3.5</v>
      </c>
      <c r="Z169" s="5">
        <v>3.5</v>
      </c>
      <c r="AA169" s="5">
        <v>300</v>
      </c>
      <c r="AB169" s="5">
        <v>300</v>
      </c>
      <c r="AC169" s="5">
        <v>0</v>
      </c>
      <c r="AD169" s="5">
        <v>119.511</v>
      </c>
      <c r="AE169" s="5">
        <v>0</v>
      </c>
      <c r="AF169" s="5">
        <v>119.5108</v>
      </c>
      <c r="AG169" s="5">
        <v>39</v>
      </c>
      <c r="AH169" s="5">
        <v>0.17</v>
      </c>
      <c r="AI169" s="5">
        <v>67.92</v>
      </c>
      <c r="AJ169" s="5">
        <v>99.31</v>
      </c>
      <c r="AK169" s="5">
        <v>153.65</v>
      </c>
      <c r="AL169" s="5">
        <v>155.27000000000001</v>
      </c>
      <c r="AM169" s="5">
        <v>365.51</v>
      </c>
      <c r="AN169" s="5">
        <v>179.8492</v>
      </c>
      <c r="AO169" s="5">
        <v>77.44</v>
      </c>
      <c r="AP169" s="5">
        <v>112.23</v>
      </c>
      <c r="AQ169" s="5">
        <v>94.12</v>
      </c>
      <c r="AR169" s="5">
        <v>560.86</v>
      </c>
      <c r="AS169" s="5">
        <v>76.19</v>
      </c>
      <c r="AT169" s="5">
        <v>59.42</v>
      </c>
      <c r="AU169" s="5">
        <v>96.62</v>
      </c>
      <c r="AV169" s="5">
        <v>118.36</v>
      </c>
      <c r="AW169" s="5">
        <v>0.13500000000000001</v>
      </c>
      <c r="AX169" s="5">
        <v>1.85</v>
      </c>
      <c r="AY169" s="5">
        <v>10000000000</v>
      </c>
      <c r="AZ169" s="5">
        <v>89.3</v>
      </c>
      <c r="BA169" s="5">
        <v>59.72</v>
      </c>
      <c r="BB169" s="5">
        <v>4.9000000000000004</v>
      </c>
      <c r="BC169" s="5">
        <v>0.54</v>
      </c>
      <c r="BD169" s="5">
        <v>13.89</v>
      </c>
      <c r="BE169" s="5">
        <v>5.0999999999999996</v>
      </c>
      <c r="BF169" s="5">
        <v>293.83</v>
      </c>
      <c r="BG169" s="5">
        <v>11.06</v>
      </c>
      <c r="BH169" s="5">
        <v>10000000000</v>
      </c>
      <c r="BI169" s="5">
        <v>276.60000000000002</v>
      </c>
      <c r="BJ169" s="5">
        <v>44.6</v>
      </c>
      <c r="BK169" s="5">
        <v>87.3</v>
      </c>
      <c r="BL169" s="5">
        <v>69.7</v>
      </c>
      <c r="BM169" s="5">
        <v>1.91</v>
      </c>
      <c r="BN169" s="5">
        <v>29.46</v>
      </c>
      <c r="BO169" s="5">
        <v>33.44</v>
      </c>
      <c r="BP169" s="5">
        <v>573.33000000000004</v>
      </c>
      <c r="BQ169" s="5">
        <v>60.315570000000001</v>
      </c>
      <c r="BR169" s="5">
        <v>256.87369999999999</v>
      </c>
      <c r="BS169" s="5">
        <v>82.338040000000007</v>
      </c>
      <c r="BT169" s="5">
        <v>89.350380000000001</v>
      </c>
      <c r="BU169" s="5">
        <v>87.857219999999998</v>
      </c>
      <c r="BV169" s="5">
        <v>2.5003999999999998E-2</v>
      </c>
      <c r="BW169" s="5">
        <v>2.3011E-2</v>
      </c>
      <c r="BX169" s="5">
        <v>34.255209999999998</v>
      </c>
      <c r="BY169" s="5">
        <v>18.995360000000002</v>
      </c>
      <c r="BZ169" s="5">
        <v>0</v>
      </c>
      <c r="CA169" s="5">
        <v>0.93483799999999995</v>
      </c>
      <c r="CB169" s="5">
        <v>662.6309</v>
      </c>
      <c r="CC169" s="5">
        <v>673.5</v>
      </c>
      <c r="CD169" s="5">
        <v>41.259839999999997</v>
      </c>
      <c r="CE169" s="5">
        <v>341.49</v>
      </c>
      <c r="CF169" s="5">
        <v>76.430000000000007</v>
      </c>
      <c r="CG169" s="5">
        <v>87.26</v>
      </c>
      <c r="CH169" s="5">
        <v>347.97</v>
      </c>
      <c r="CI169" s="5">
        <v>338.96</v>
      </c>
      <c r="CJ169" s="5">
        <v>345.68</v>
      </c>
      <c r="CK169" s="5">
        <v>362.07</v>
      </c>
      <c r="CL169" s="5">
        <v>352.74</v>
      </c>
      <c r="CM169" s="5">
        <v>356.23</v>
      </c>
      <c r="CN169" s="5">
        <v>262.67</v>
      </c>
      <c r="CO169" s="5">
        <v>27.08</v>
      </c>
      <c r="CP169" s="5">
        <v>240.4</v>
      </c>
      <c r="CQ169" s="5">
        <v>241.05</v>
      </c>
      <c r="CR169" s="5">
        <v>4.3</v>
      </c>
      <c r="CS169" s="5">
        <v>4.3</v>
      </c>
      <c r="CT169" s="5">
        <v>23.71</v>
      </c>
      <c r="CU169" s="5">
        <v>15.16</v>
      </c>
      <c r="CV169" s="5">
        <v>101.55</v>
      </c>
      <c r="CW169" s="5">
        <v>0.839495345</v>
      </c>
      <c r="CX169" s="5">
        <v>4.2814262594999999</v>
      </c>
    </row>
    <row r="170" spans="1:102" x14ac:dyDescent="0.25">
      <c r="A170" s="5">
        <v>39</v>
      </c>
      <c r="B170" s="23">
        <v>9.6099537037037039E-3</v>
      </c>
      <c r="C170" s="5">
        <v>6</v>
      </c>
      <c r="D170" s="5">
        <v>33</v>
      </c>
      <c r="E170" s="5">
        <v>311</v>
      </c>
      <c r="F170" s="5">
        <v>311</v>
      </c>
      <c r="G170" s="5">
        <v>311</v>
      </c>
      <c r="H170" s="5">
        <v>91.7</v>
      </c>
      <c r="I170" s="5">
        <v>91.7</v>
      </c>
      <c r="J170" s="5">
        <v>1800</v>
      </c>
      <c r="K170" s="5">
        <v>11</v>
      </c>
      <c r="L170" s="5">
        <v>11</v>
      </c>
      <c r="M170" s="5">
        <v>0.27</v>
      </c>
      <c r="N170" s="5">
        <v>0.27007199999999998</v>
      </c>
      <c r="O170" s="5">
        <v>1</v>
      </c>
      <c r="P170" s="5">
        <v>1.069428</v>
      </c>
      <c r="Q170" s="5">
        <v>-4.3499999999999996</v>
      </c>
      <c r="R170" s="5">
        <v>-4.3505859999999998</v>
      </c>
      <c r="S170" s="5">
        <v>131.24</v>
      </c>
      <c r="T170" s="5">
        <v>131.23439999999999</v>
      </c>
      <c r="U170" s="5">
        <v>3.5</v>
      </c>
      <c r="V170" s="5">
        <v>3.5</v>
      </c>
      <c r="W170" s="5">
        <v>300</v>
      </c>
      <c r="X170" s="5">
        <v>300</v>
      </c>
      <c r="Y170" s="5">
        <v>3.5</v>
      </c>
      <c r="Z170" s="5">
        <v>3.5</v>
      </c>
      <c r="AA170" s="5">
        <v>300</v>
      </c>
      <c r="AB170" s="5">
        <v>300</v>
      </c>
      <c r="AC170" s="5">
        <v>0</v>
      </c>
      <c r="AD170" s="5">
        <v>86.229010000000002</v>
      </c>
      <c r="AE170" s="5">
        <v>0</v>
      </c>
      <c r="AF170" s="5">
        <v>86.229010000000002</v>
      </c>
      <c r="AG170" s="5">
        <v>39</v>
      </c>
      <c r="AH170" s="5">
        <v>0.17</v>
      </c>
      <c r="AI170" s="5">
        <v>48.77</v>
      </c>
      <c r="AJ170" s="5">
        <v>65.680000000000007</v>
      </c>
      <c r="AK170" s="5">
        <v>41.78</v>
      </c>
      <c r="AL170" s="5">
        <v>42.61</v>
      </c>
      <c r="AM170" s="5">
        <v>506.29</v>
      </c>
      <c r="AN170" s="5">
        <v>125.88890000000001</v>
      </c>
      <c r="AO170" s="5">
        <v>23.71</v>
      </c>
      <c r="AP170" s="5">
        <v>61.5</v>
      </c>
      <c r="AQ170" s="5">
        <v>34.53</v>
      </c>
      <c r="AR170" s="5">
        <v>373.11</v>
      </c>
      <c r="AS170" s="5">
        <v>18.07</v>
      </c>
      <c r="AT170" s="5">
        <v>52.57</v>
      </c>
      <c r="AU170" s="5">
        <v>101.91</v>
      </c>
      <c r="AV170" s="5">
        <v>110.37</v>
      </c>
      <c r="AW170" s="5">
        <v>0.78800000000000003</v>
      </c>
      <c r="AX170" s="5">
        <v>13.17</v>
      </c>
      <c r="AY170" s="5">
        <v>10000000000</v>
      </c>
      <c r="AZ170" s="5">
        <v>279.26</v>
      </c>
      <c r="BA170" s="5">
        <v>78.12</v>
      </c>
      <c r="BB170" s="5">
        <v>8.43</v>
      </c>
      <c r="BC170" s="5">
        <v>1.45</v>
      </c>
      <c r="BD170" s="5">
        <v>-1.3</v>
      </c>
      <c r="BE170" s="5">
        <v>1.68</v>
      </c>
      <c r="BF170" s="5">
        <v>202.73</v>
      </c>
      <c r="BG170" s="5">
        <v>17.18</v>
      </c>
      <c r="BH170" s="5">
        <v>10000000000</v>
      </c>
      <c r="BI170" s="5">
        <v>249.8</v>
      </c>
      <c r="BJ170" s="5">
        <v>25.5</v>
      </c>
      <c r="BK170" s="5">
        <v>85</v>
      </c>
      <c r="BL170" s="5">
        <v>77.38</v>
      </c>
      <c r="BM170" s="5">
        <v>1.4</v>
      </c>
      <c r="BN170" s="5">
        <v>30.29</v>
      </c>
      <c r="BO170" s="5">
        <v>36.68</v>
      </c>
      <c r="BP170" s="5">
        <v>387.78</v>
      </c>
      <c r="BQ170" s="5">
        <v>54.195839999999997</v>
      </c>
      <c r="BR170" s="5">
        <v>140.5017</v>
      </c>
      <c r="BS170" s="5">
        <v>61.901380000000003</v>
      </c>
      <c r="BT170" s="5">
        <v>49.517359999999996</v>
      </c>
      <c r="BU170" s="5">
        <v>49.26914</v>
      </c>
      <c r="BV170" s="5">
        <v>5.9774000000000001E-2</v>
      </c>
      <c r="BW170" s="5">
        <v>6.4706E-2</v>
      </c>
      <c r="BX170" s="5">
        <v>42.907240000000002</v>
      </c>
      <c r="BY170" s="5">
        <v>18.995360000000002</v>
      </c>
      <c r="BZ170" s="5">
        <v>0</v>
      </c>
      <c r="CA170" s="5">
        <v>0.93295799999999995</v>
      </c>
      <c r="CB170" s="5">
        <v>471.44690000000003</v>
      </c>
      <c r="CC170" s="5">
        <v>484.6046</v>
      </c>
      <c r="CD170" s="5">
        <v>49.907760000000003</v>
      </c>
      <c r="CE170" s="5">
        <v>475.57</v>
      </c>
      <c r="CF170" s="5">
        <v>81.239999999999995</v>
      </c>
      <c r="CG170" s="5">
        <v>94.38</v>
      </c>
      <c r="CH170" s="5">
        <v>417.39</v>
      </c>
      <c r="CI170" s="5">
        <v>426.41</v>
      </c>
      <c r="CJ170" s="5">
        <v>437.25</v>
      </c>
      <c r="CK170" s="5">
        <v>483.55</v>
      </c>
      <c r="CL170" s="5">
        <v>469.33</v>
      </c>
      <c r="CM170" s="5">
        <v>471.84</v>
      </c>
      <c r="CN170" s="5">
        <v>430.09</v>
      </c>
      <c r="CO170" s="5">
        <v>27.85</v>
      </c>
      <c r="CP170" s="5">
        <v>309.60000000000002</v>
      </c>
      <c r="CQ170" s="5">
        <v>311.05</v>
      </c>
      <c r="CR170" s="5">
        <v>5.5</v>
      </c>
      <c r="CS170" s="5">
        <v>5.6</v>
      </c>
      <c r="CT170" s="5">
        <v>27.1</v>
      </c>
      <c r="CU170" s="5">
        <v>22.44</v>
      </c>
      <c r="CV170" s="5">
        <v>101.37</v>
      </c>
      <c r="CW170" s="5">
        <v>0.84775181099999997</v>
      </c>
      <c r="CX170" s="5">
        <v>1.42422304248</v>
      </c>
    </row>
    <row r="171" spans="1:102" x14ac:dyDescent="0.25">
      <c r="A171" s="5">
        <v>11</v>
      </c>
      <c r="B171" s="23">
        <v>3.4861111111111104E-3</v>
      </c>
      <c r="C171" s="5">
        <v>6</v>
      </c>
      <c r="D171" s="5">
        <v>4</v>
      </c>
      <c r="E171" s="5">
        <v>208</v>
      </c>
      <c r="F171" s="5">
        <v>208</v>
      </c>
      <c r="G171" s="5">
        <v>208</v>
      </c>
      <c r="H171" s="5">
        <v>91.7</v>
      </c>
      <c r="I171" s="5">
        <v>91.7</v>
      </c>
      <c r="J171" s="5">
        <v>1800</v>
      </c>
      <c r="K171" s="5">
        <v>74</v>
      </c>
      <c r="L171" s="5">
        <v>74</v>
      </c>
      <c r="M171" s="5">
        <v>0.1</v>
      </c>
      <c r="N171" s="5">
        <v>9.9969000000000002E-2</v>
      </c>
      <c r="O171" s="5">
        <v>1</v>
      </c>
      <c r="P171" s="5">
        <v>1.069601</v>
      </c>
      <c r="Q171" s="5">
        <v>-2.29</v>
      </c>
      <c r="R171" s="5">
        <v>-2.2851560000000002</v>
      </c>
      <c r="S171" s="5">
        <v>117.35</v>
      </c>
      <c r="T171" s="5">
        <v>117.3438</v>
      </c>
      <c r="U171" s="5">
        <v>3.5</v>
      </c>
      <c r="V171" s="5">
        <v>3.5</v>
      </c>
      <c r="W171" s="5">
        <v>300</v>
      </c>
      <c r="X171" s="5">
        <v>300</v>
      </c>
      <c r="Y171" s="5">
        <v>3.5</v>
      </c>
      <c r="Z171" s="5">
        <v>3.5</v>
      </c>
      <c r="AA171" s="5">
        <v>300</v>
      </c>
      <c r="AB171" s="5">
        <v>300</v>
      </c>
      <c r="AC171" s="5">
        <v>0</v>
      </c>
      <c r="AD171" s="5">
        <v>140.16650000000001</v>
      </c>
      <c r="AE171" s="5">
        <v>0</v>
      </c>
      <c r="AF171" s="5">
        <v>140.16650000000001</v>
      </c>
      <c r="AG171" s="5">
        <v>39</v>
      </c>
      <c r="AH171" s="5">
        <v>0.17</v>
      </c>
      <c r="AI171" s="5">
        <v>79.239999999999995</v>
      </c>
      <c r="AJ171" s="5">
        <v>110.61</v>
      </c>
      <c r="AK171" s="5">
        <v>295.67</v>
      </c>
      <c r="AL171" s="5">
        <v>296.26</v>
      </c>
      <c r="AM171" s="5">
        <v>388.86</v>
      </c>
      <c r="AN171" s="5">
        <v>215.6686</v>
      </c>
      <c r="AO171" s="5">
        <v>114.05</v>
      </c>
      <c r="AP171" s="5">
        <v>135.68</v>
      </c>
      <c r="AQ171" s="5">
        <v>130.66</v>
      </c>
      <c r="AR171" s="5">
        <v>581.46</v>
      </c>
      <c r="AS171" s="5">
        <v>181.6</v>
      </c>
      <c r="AT171" s="5">
        <v>67.2</v>
      </c>
      <c r="AU171" s="5">
        <v>109</v>
      </c>
      <c r="AV171" s="5">
        <v>118.45</v>
      </c>
      <c r="AW171" s="5">
        <v>0.182</v>
      </c>
      <c r="AX171" s="5">
        <v>2.52</v>
      </c>
      <c r="AY171" s="5">
        <v>10000000000</v>
      </c>
      <c r="AZ171" s="5">
        <v>76.48</v>
      </c>
      <c r="BA171" s="5">
        <v>46.31</v>
      </c>
      <c r="BB171" s="5">
        <v>5.0999999999999996</v>
      </c>
      <c r="BC171" s="5">
        <v>0.99</v>
      </c>
      <c r="BD171" s="5">
        <v>13.72</v>
      </c>
      <c r="BE171" s="5">
        <v>4.66</v>
      </c>
      <c r="BF171" s="5">
        <v>224.31</v>
      </c>
      <c r="BG171" s="5">
        <v>19.36</v>
      </c>
      <c r="BH171" s="5">
        <v>10000000000</v>
      </c>
      <c r="BI171" s="5">
        <v>344.3</v>
      </c>
      <c r="BJ171" s="5">
        <v>43.1</v>
      </c>
      <c r="BK171" s="5">
        <v>83.6</v>
      </c>
      <c r="BL171" s="5">
        <v>139.58000000000001</v>
      </c>
      <c r="BM171" s="5">
        <v>2.2799999999999998</v>
      </c>
      <c r="BN171" s="5">
        <v>29.87</v>
      </c>
      <c r="BO171" s="5">
        <v>33.6</v>
      </c>
      <c r="BP171" s="5">
        <v>594.94000000000005</v>
      </c>
      <c r="BQ171" s="5">
        <v>67.284949999999995</v>
      </c>
      <c r="BR171" s="5">
        <v>396.66660000000002</v>
      </c>
      <c r="BS171" s="5">
        <v>75.904560000000004</v>
      </c>
      <c r="BT171" s="5">
        <v>97.793710000000004</v>
      </c>
      <c r="BU171" s="5">
        <v>95.303910000000002</v>
      </c>
      <c r="BV171" s="5">
        <v>3.5889999999999998E-2</v>
      </c>
      <c r="BW171" s="5">
        <v>2.8896999999999999E-2</v>
      </c>
      <c r="BX171" s="5">
        <v>36.967190000000002</v>
      </c>
      <c r="BY171" s="5">
        <v>18.995360000000002</v>
      </c>
      <c r="BZ171" s="5">
        <v>0</v>
      </c>
      <c r="CA171" s="5">
        <v>0.93425000000000002</v>
      </c>
      <c r="CB171" s="5">
        <v>777.745</v>
      </c>
      <c r="CC171" s="5">
        <v>789.32209999999998</v>
      </c>
      <c r="CD171" s="5">
        <v>43.967190000000002</v>
      </c>
      <c r="CE171" s="5">
        <v>375.43</v>
      </c>
      <c r="CF171" s="5">
        <v>88.2</v>
      </c>
      <c r="CG171" s="5">
        <v>101.94</v>
      </c>
      <c r="CH171" s="5">
        <v>363.15</v>
      </c>
      <c r="CI171" s="5">
        <v>359.28</v>
      </c>
      <c r="CJ171" s="5">
        <v>369.12</v>
      </c>
      <c r="CK171" s="5">
        <v>380.71</v>
      </c>
      <c r="CL171" s="5">
        <v>380.14</v>
      </c>
      <c r="CM171" s="5">
        <v>381.56</v>
      </c>
      <c r="CN171" s="5">
        <v>258.14</v>
      </c>
      <c r="CO171" s="5">
        <v>25.45</v>
      </c>
      <c r="CP171" s="5">
        <v>207.3</v>
      </c>
      <c r="CQ171" s="5">
        <v>208.05</v>
      </c>
      <c r="CR171" s="5">
        <v>3.7</v>
      </c>
      <c r="CS171" s="5">
        <v>3.7</v>
      </c>
      <c r="CT171" s="5">
        <v>22.37</v>
      </c>
      <c r="CU171" s="5">
        <v>17.41</v>
      </c>
      <c r="CV171" s="5">
        <v>101.64</v>
      </c>
      <c r="CW171" s="5">
        <v>0.83885050000000005</v>
      </c>
      <c r="CX171" s="5">
        <v>3.9090433300000003</v>
      </c>
    </row>
    <row r="172" spans="1:102" x14ac:dyDescent="0.25">
      <c r="A172" s="5">
        <v>13</v>
      </c>
      <c r="B172" s="23">
        <v>1.435300925925926E-2</v>
      </c>
      <c r="C172" s="5">
        <v>6</v>
      </c>
      <c r="D172" s="5">
        <v>6</v>
      </c>
      <c r="E172" s="5">
        <v>218</v>
      </c>
      <c r="F172" s="5">
        <v>218</v>
      </c>
      <c r="G172" s="5">
        <v>218</v>
      </c>
      <c r="H172" s="5">
        <v>91.7</v>
      </c>
      <c r="I172" s="5">
        <v>91.7</v>
      </c>
      <c r="J172" s="5">
        <v>1800</v>
      </c>
      <c r="K172" s="5">
        <v>4</v>
      </c>
      <c r="L172" s="5">
        <v>4</v>
      </c>
      <c r="M172" s="5">
        <v>0.23</v>
      </c>
      <c r="N172" s="5">
        <v>0.22999700000000001</v>
      </c>
      <c r="O172" s="5">
        <v>1</v>
      </c>
      <c r="P172" s="5">
        <v>1.0694319999999999</v>
      </c>
      <c r="Q172" s="5">
        <v>-2.5099999999999998</v>
      </c>
      <c r="R172" s="5">
        <v>-2.504883</v>
      </c>
      <c r="S172" s="5">
        <v>118.64</v>
      </c>
      <c r="T172" s="5">
        <v>118.64060000000001</v>
      </c>
      <c r="U172" s="5">
        <v>3.5</v>
      </c>
      <c r="V172" s="5">
        <v>3.5</v>
      </c>
      <c r="W172" s="5">
        <v>300</v>
      </c>
      <c r="X172" s="5">
        <v>300</v>
      </c>
      <c r="Y172" s="5">
        <v>3.5</v>
      </c>
      <c r="Z172" s="5">
        <v>3.5</v>
      </c>
      <c r="AA172" s="5">
        <v>300</v>
      </c>
      <c r="AB172" s="5">
        <v>300</v>
      </c>
      <c r="AC172" s="5">
        <v>0</v>
      </c>
      <c r="AD172" s="5">
        <v>75.039479999999998</v>
      </c>
      <c r="AE172" s="5">
        <v>0</v>
      </c>
      <c r="AF172" s="5">
        <v>82.529060000000001</v>
      </c>
      <c r="AG172" s="5">
        <v>39</v>
      </c>
      <c r="AH172" s="5">
        <v>0.17</v>
      </c>
      <c r="AI172" s="5">
        <v>43.45</v>
      </c>
      <c r="AJ172" s="5">
        <v>53.62</v>
      </c>
      <c r="AK172" s="5">
        <v>28.71</v>
      </c>
      <c r="AL172" s="5">
        <v>29.05</v>
      </c>
      <c r="AM172" s="5">
        <v>423.43</v>
      </c>
      <c r="AN172" s="5">
        <v>111.1855</v>
      </c>
      <c r="AO172" s="5">
        <v>9.35</v>
      </c>
      <c r="AP172" s="5">
        <v>51.48</v>
      </c>
      <c r="AQ172" s="5">
        <v>18.920000000000002</v>
      </c>
      <c r="AR172" s="5">
        <v>322.52</v>
      </c>
      <c r="AS172" s="5">
        <v>19.37</v>
      </c>
      <c r="AT172" s="5">
        <v>58.51</v>
      </c>
      <c r="AU172" s="5">
        <v>98.23</v>
      </c>
      <c r="AV172" s="5">
        <v>111.58</v>
      </c>
      <c r="AW172" s="5">
        <v>0.746</v>
      </c>
      <c r="AX172" s="5">
        <v>12.3</v>
      </c>
      <c r="AY172" s="5">
        <v>10000000000</v>
      </c>
      <c r="AZ172" s="5">
        <v>253.49</v>
      </c>
      <c r="BA172" s="5">
        <v>93.75</v>
      </c>
      <c r="BB172" s="5">
        <v>7.29</v>
      </c>
      <c r="BC172" s="5">
        <v>1.29</v>
      </c>
      <c r="BD172" s="5">
        <v>10.67</v>
      </c>
      <c r="BE172" s="5">
        <v>2.31</v>
      </c>
      <c r="BF172" s="5">
        <v>220.93</v>
      </c>
      <c r="BG172" s="5">
        <v>17.68</v>
      </c>
      <c r="BH172" s="5">
        <v>10000000000</v>
      </c>
      <c r="BI172" s="5">
        <v>263.60000000000002</v>
      </c>
      <c r="BJ172" s="5">
        <v>29.8</v>
      </c>
      <c r="BK172" s="5">
        <v>85.3</v>
      </c>
      <c r="BL172" s="5">
        <v>69.27</v>
      </c>
      <c r="BM172" s="5">
        <v>1.21</v>
      </c>
      <c r="BN172" s="5">
        <v>30.14</v>
      </c>
      <c r="BO172" s="5">
        <v>35.6</v>
      </c>
      <c r="BP172" s="5">
        <v>333.32</v>
      </c>
      <c r="BQ172" s="5">
        <v>59.75797</v>
      </c>
      <c r="BR172" s="5">
        <v>127.9953</v>
      </c>
      <c r="BS172" s="5">
        <v>92.672290000000004</v>
      </c>
      <c r="BT172" s="5">
        <v>66.308019999999999</v>
      </c>
      <c r="BU172" s="5">
        <v>69.484449999999995</v>
      </c>
      <c r="BV172" s="5">
        <v>2.836E-3</v>
      </c>
      <c r="BW172" s="5">
        <v>0</v>
      </c>
      <c r="BX172" s="5">
        <v>28.72052</v>
      </c>
      <c r="BY172" s="5">
        <v>18.995360000000002</v>
      </c>
      <c r="BZ172" s="5">
        <v>0</v>
      </c>
      <c r="CA172" s="5">
        <v>0.93509900000000001</v>
      </c>
      <c r="CB172" s="5">
        <v>410.38310000000001</v>
      </c>
      <c r="CC172" s="5">
        <v>419.77600000000001</v>
      </c>
      <c r="CD172" s="5">
        <v>35.72052</v>
      </c>
      <c r="CE172" s="5">
        <v>402.06</v>
      </c>
      <c r="CF172" s="5">
        <v>79.5</v>
      </c>
      <c r="CG172" s="5">
        <v>90.01</v>
      </c>
      <c r="CH172" s="5">
        <v>374.05</v>
      </c>
      <c r="CI172" s="5">
        <v>368.57</v>
      </c>
      <c r="CJ172" s="5">
        <v>379.37</v>
      </c>
      <c r="CK172" s="5">
        <v>418.64</v>
      </c>
      <c r="CL172" s="5">
        <v>397.99</v>
      </c>
      <c r="CM172" s="5">
        <v>395.17</v>
      </c>
      <c r="CN172" s="5">
        <v>368.28</v>
      </c>
      <c r="CO172" s="5">
        <v>26.22</v>
      </c>
      <c r="CP172" s="5">
        <v>217.4</v>
      </c>
      <c r="CQ172" s="5">
        <v>218.05</v>
      </c>
      <c r="CR172" s="5">
        <v>3.9</v>
      </c>
      <c r="CS172" s="5">
        <v>3.9</v>
      </c>
      <c r="CT172" s="5">
        <v>23.1</v>
      </c>
      <c r="CU172" s="5">
        <v>16.77</v>
      </c>
      <c r="CV172" s="5">
        <v>101.62</v>
      </c>
      <c r="CW172" s="5">
        <v>0.82107952900000003</v>
      </c>
      <c r="CX172" s="5">
        <v>1.89669371199</v>
      </c>
    </row>
    <row r="173" spans="1:102" x14ac:dyDescent="0.25">
      <c r="A173" s="5">
        <v>16</v>
      </c>
      <c r="B173" s="23">
        <v>3.066203703703704E-2</v>
      </c>
      <c r="C173" s="5">
        <v>6</v>
      </c>
      <c r="D173" s="5">
        <v>9</v>
      </c>
      <c r="E173" s="5">
        <v>227</v>
      </c>
      <c r="F173" s="5">
        <v>227</v>
      </c>
      <c r="G173" s="5">
        <v>227</v>
      </c>
      <c r="H173" s="5">
        <v>91.7</v>
      </c>
      <c r="I173" s="5">
        <v>91.7</v>
      </c>
      <c r="J173" s="5">
        <v>1800</v>
      </c>
      <c r="K173" s="5">
        <v>16</v>
      </c>
      <c r="L173" s="5">
        <v>16</v>
      </c>
      <c r="M173" s="5">
        <v>0.3</v>
      </c>
      <c r="N173" s="5">
        <v>0.30003400000000002</v>
      </c>
      <c r="O173" s="5">
        <v>1</v>
      </c>
      <c r="P173" s="5">
        <v>1.0694509999999999</v>
      </c>
      <c r="Q173" s="5">
        <v>-2.71</v>
      </c>
      <c r="R173" s="5">
        <v>-2.7136230000000001</v>
      </c>
      <c r="S173" s="5">
        <v>119.8</v>
      </c>
      <c r="T173" s="5">
        <v>119.79689999999999</v>
      </c>
      <c r="U173" s="5">
        <v>3.5</v>
      </c>
      <c r="V173" s="5">
        <v>3.5</v>
      </c>
      <c r="W173" s="5">
        <v>300</v>
      </c>
      <c r="X173" s="5">
        <v>300</v>
      </c>
      <c r="Y173" s="5">
        <v>3.5</v>
      </c>
      <c r="Z173" s="5">
        <v>3.5</v>
      </c>
      <c r="AA173" s="5">
        <v>300</v>
      </c>
      <c r="AB173" s="5">
        <v>300</v>
      </c>
      <c r="AC173" s="5">
        <v>0</v>
      </c>
      <c r="AD173" s="5">
        <v>79.025099999999995</v>
      </c>
      <c r="AE173" s="5">
        <v>0</v>
      </c>
      <c r="AF173" s="5">
        <v>86.914429999999996</v>
      </c>
      <c r="AG173" s="5">
        <v>39</v>
      </c>
      <c r="AH173" s="5">
        <v>0.17</v>
      </c>
      <c r="AI173" s="5">
        <v>45.46</v>
      </c>
      <c r="AJ173" s="5">
        <v>57.47</v>
      </c>
      <c r="AK173" s="5">
        <v>33.799999999999997</v>
      </c>
      <c r="AL173" s="5">
        <v>33.909999999999997</v>
      </c>
      <c r="AM173" s="5">
        <v>421.88</v>
      </c>
      <c r="AN173" s="5">
        <v>116.9449</v>
      </c>
      <c r="AO173" s="5">
        <v>14.93</v>
      </c>
      <c r="AP173" s="5">
        <v>56.63</v>
      </c>
      <c r="AQ173" s="5">
        <v>24.54</v>
      </c>
      <c r="AR173" s="5">
        <v>327.20999999999998</v>
      </c>
      <c r="AS173" s="5">
        <v>18.87</v>
      </c>
      <c r="AT173" s="5">
        <v>58.15</v>
      </c>
      <c r="AU173" s="5">
        <v>101.07</v>
      </c>
      <c r="AV173" s="5">
        <v>110.16</v>
      </c>
      <c r="AW173" s="5">
        <v>0.82499999999999996</v>
      </c>
      <c r="AX173" s="5">
        <v>13.94</v>
      </c>
      <c r="AY173" s="5">
        <v>10000000000</v>
      </c>
      <c r="AZ173" s="5">
        <v>273.77999999999997</v>
      </c>
      <c r="BA173" s="5">
        <v>103.4</v>
      </c>
      <c r="BB173" s="5">
        <v>7.42</v>
      </c>
      <c r="BC173" s="5">
        <v>1.52</v>
      </c>
      <c r="BD173" s="5">
        <v>10.53</v>
      </c>
      <c r="BE173" s="5">
        <v>1.92</v>
      </c>
      <c r="BF173" s="5">
        <v>188.69</v>
      </c>
      <c r="BG173" s="5">
        <v>20.440000000000001</v>
      </c>
      <c r="BH173" s="5">
        <v>10000000000</v>
      </c>
      <c r="BI173" s="5">
        <v>261</v>
      </c>
      <c r="BJ173" s="5">
        <v>29.3</v>
      </c>
      <c r="BK173" s="5">
        <v>84.6</v>
      </c>
      <c r="BL173" s="5">
        <v>84.03</v>
      </c>
      <c r="BM173" s="5">
        <v>1.28</v>
      </c>
      <c r="BN173" s="5">
        <v>30.35</v>
      </c>
      <c r="BO173" s="5">
        <v>35.71</v>
      </c>
      <c r="BP173" s="5">
        <v>338.29</v>
      </c>
      <c r="BQ173" s="5">
        <v>59.275419999999997</v>
      </c>
      <c r="BR173" s="5">
        <v>132.1027</v>
      </c>
      <c r="BS173" s="5">
        <v>90.601119999999995</v>
      </c>
      <c r="BT173" s="5">
        <v>67.42689</v>
      </c>
      <c r="BU173" s="5">
        <v>67.925359999999998</v>
      </c>
      <c r="BV173" s="5">
        <v>7.705E-3</v>
      </c>
      <c r="BW173" s="5">
        <v>1.4790000000000001E-3</v>
      </c>
      <c r="BX173" s="5">
        <v>29.9374</v>
      </c>
      <c r="BY173" s="5">
        <v>18.995360000000002</v>
      </c>
      <c r="BZ173" s="5">
        <v>0</v>
      </c>
      <c r="CA173" s="5">
        <v>0.93509799999999998</v>
      </c>
      <c r="CB173" s="5">
        <v>432.23169999999999</v>
      </c>
      <c r="CC173" s="5">
        <v>441.9452</v>
      </c>
      <c r="CD173" s="5">
        <v>36.938279999999999</v>
      </c>
      <c r="CE173" s="5">
        <v>405.02</v>
      </c>
      <c r="CF173" s="5">
        <v>80.95</v>
      </c>
      <c r="CG173" s="5">
        <v>93.37</v>
      </c>
      <c r="CH173" s="5">
        <v>370.7</v>
      </c>
      <c r="CI173" s="5">
        <v>367.4</v>
      </c>
      <c r="CJ173" s="5">
        <v>378.94</v>
      </c>
      <c r="CK173" s="5">
        <v>415.57</v>
      </c>
      <c r="CL173" s="5">
        <v>397.77</v>
      </c>
      <c r="CM173" s="5">
        <v>396.04</v>
      </c>
      <c r="CN173" s="5">
        <v>362.33</v>
      </c>
      <c r="CO173" s="5">
        <v>26.5</v>
      </c>
      <c r="CP173" s="5">
        <v>226.4</v>
      </c>
      <c r="CQ173" s="5">
        <v>227.05</v>
      </c>
      <c r="CR173" s="5">
        <v>4.0999999999999996</v>
      </c>
      <c r="CS173" s="5">
        <v>4.0999999999999996</v>
      </c>
      <c r="CT173" s="5">
        <v>23.51</v>
      </c>
      <c r="CU173" s="5">
        <v>15.78</v>
      </c>
      <c r="CV173" s="5">
        <v>101.59</v>
      </c>
      <c r="CW173" s="5">
        <v>0.81961895900000004</v>
      </c>
      <c r="CX173" s="5">
        <v>1.57366840128</v>
      </c>
    </row>
    <row r="174" spans="1:102" x14ac:dyDescent="0.25">
      <c r="A174" s="5">
        <v>38</v>
      </c>
      <c r="B174" s="23">
        <v>4.1886574074074074E-3</v>
      </c>
      <c r="C174" s="5">
        <v>6</v>
      </c>
      <c r="D174" s="5">
        <v>32</v>
      </c>
      <c r="E174" s="5">
        <v>307</v>
      </c>
      <c r="F174" s="5">
        <v>307</v>
      </c>
      <c r="G174" s="5">
        <v>307</v>
      </c>
      <c r="H174" s="5">
        <v>91.7</v>
      </c>
      <c r="I174" s="5">
        <v>91.7</v>
      </c>
      <c r="J174" s="5">
        <v>1800</v>
      </c>
      <c r="K174" s="5">
        <v>62</v>
      </c>
      <c r="L174" s="5">
        <v>62</v>
      </c>
      <c r="M174" s="5">
        <v>0.22</v>
      </c>
      <c r="N174" s="5">
        <v>0.22001000000000001</v>
      </c>
      <c r="O174" s="5">
        <v>1</v>
      </c>
      <c r="P174" s="5">
        <v>1.069472</v>
      </c>
      <c r="Q174" s="5">
        <v>-4.3499999999999996</v>
      </c>
      <c r="R174" s="5">
        <v>-4.3505859999999998</v>
      </c>
      <c r="S174" s="5">
        <v>130.51</v>
      </c>
      <c r="T174" s="5">
        <v>130.51560000000001</v>
      </c>
      <c r="U174" s="5">
        <v>3.5</v>
      </c>
      <c r="V174" s="5">
        <v>3.5</v>
      </c>
      <c r="W174" s="5">
        <v>300</v>
      </c>
      <c r="X174" s="5">
        <v>300</v>
      </c>
      <c r="Y174" s="5">
        <v>3.5</v>
      </c>
      <c r="Z174" s="5">
        <v>3.5</v>
      </c>
      <c r="AA174" s="5">
        <v>300</v>
      </c>
      <c r="AB174" s="5">
        <v>300</v>
      </c>
      <c r="AC174" s="5">
        <v>0</v>
      </c>
      <c r="AD174" s="5">
        <v>119.3955</v>
      </c>
      <c r="AE174" s="5">
        <v>0</v>
      </c>
      <c r="AF174" s="5">
        <v>119.3916</v>
      </c>
      <c r="AG174" s="5">
        <v>39</v>
      </c>
      <c r="AH174" s="5">
        <v>0.17</v>
      </c>
      <c r="AI174" s="5">
        <v>69.73</v>
      </c>
      <c r="AJ174" s="5">
        <v>96.02</v>
      </c>
      <c r="AK174" s="5">
        <v>152.41</v>
      </c>
      <c r="AL174" s="5">
        <v>151.46</v>
      </c>
      <c r="AM174" s="5">
        <v>423.04</v>
      </c>
      <c r="AN174" s="5">
        <v>186.68989999999999</v>
      </c>
      <c r="AO174" s="5">
        <v>85.75</v>
      </c>
      <c r="AP174" s="5">
        <v>109.24</v>
      </c>
      <c r="AQ174" s="5">
        <v>99.02</v>
      </c>
      <c r="AR174" s="5">
        <v>462.2</v>
      </c>
      <c r="AS174" s="5">
        <v>66.67</v>
      </c>
      <c r="AT174" s="5">
        <v>74.849999999999994</v>
      </c>
      <c r="AU174" s="5">
        <v>123.95</v>
      </c>
      <c r="AV174" s="5">
        <v>112.8</v>
      </c>
      <c r="AW174" s="5">
        <v>0.56000000000000005</v>
      </c>
      <c r="AX174" s="5">
        <v>8.73</v>
      </c>
      <c r="AY174" s="5">
        <v>10000000000</v>
      </c>
      <c r="AZ174" s="5">
        <v>217.38</v>
      </c>
      <c r="BA174" s="5">
        <v>82.73</v>
      </c>
      <c r="BB174" s="5">
        <v>7.02</v>
      </c>
      <c r="BC174" s="5">
        <v>1.99</v>
      </c>
      <c r="BD174" s="5">
        <v>-0.28999999999999998</v>
      </c>
      <c r="BE174" s="5">
        <v>1.44</v>
      </c>
      <c r="BF174" s="5">
        <v>134.97999999999999</v>
      </c>
      <c r="BG174" s="5">
        <v>28.3</v>
      </c>
      <c r="BH174" s="5">
        <v>10000000000</v>
      </c>
      <c r="BI174" s="5">
        <v>263.10000000000002</v>
      </c>
      <c r="BJ174" s="5">
        <v>30.4</v>
      </c>
      <c r="BK174" s="5">
        <v>85.4</v>
      </c>
      <c r="BL174" s="5">
        <v>182.44</v>
      </c>
      <c r="BM174" s="5">
        <v>1.99</v>
      </c>
      <c r="BN174" s="5">
        <v>30.81</v>
      </c>
      <c r="BO174" s="5">
        <v>35.479999999999997</v>
      </c>
      <c r="BP174" s="5">
        <v>477.4</v>
      </c>
      <c r="BQ174" s="5">
        <v>73.332179999999994</v>
      </c>
      <c r="BR174" s="5">
        <v>245.84460000000001</v>
      </c>
      <c r="BS174" s="5">
        <v>60.635910000000003</v>
      </c>
      <c r="BT174" s="5">
        <v>67.245450000000005</v>
      </c>
      <c r="BU174" s="5">
        <v>65.841719999999995</v>
      </c>
      <c r="BV174" s="5">
        <v>6.7469000000000001E-2</v>
      </c>
      <c r="BW174" s="5">
        <v>6.0921000000000003E-2</v>
      </c>
      <c r="BX174" s="5">
        <v>44.76099</v>
      </c>
      <c r="BY174" s="5">
        <v>18.995360000000002</v>
      </c>
      <c r="BZ174" s="5">
        <v>0</v>
      </c>
      <c r="CA174" s="5">
        <v>0.93255399999999999</v>
      </c>
      <c r="CB174" s="5">
        <v>660.25480000000005</v>
      </c>
      <c r="CC174" s="5">
        <v>673.91079999999999</v>
      </c>
      <c r="CD174" s="5">
        <v>51.76099</v>
      </c>
      <c r="CE174" s="5">
        <v>433.89</v>
      </c>
      <c r="CF174" s="5">
        <v>100.61</v>
      </c>
      <c r="CG174" s="5">
        <v>116.92</v>
      </c>
      <c r="CH174" s="5">
        <v>388.98</v>
      </c>
      <c r="CI174" s="5">
        <v>391.89</v>
      </c>
      <c r="CJ174" s="5">
        <v>398.61</v>
      </c>
      <c r="CK174" s="5">
        <v>423.17</v>
      </c>
      <c r="CL174" s="5">
        <v>422.36</v>
      </c>
      <c r="CM174" s="5">
        <v>424.6</v>
      </c>
      <c r="CN174" s="5">
        <v>311.73</v>
      </c>
      <c r="CO174" s="5">
        <v>27.13</v>
      </c>
      <c r="CP174" s="5">
        <v>305.3</v>
      </c>
      <c r="CQ174" s="5">
        <v>307.05</v>
      </c>
      <c r="CR174" s="5">
        <v>5.5</v>
      </c>
      <c r="CS174" s="5">
        <v>5.5</v>
      </c>
      <c r="CT174" s="5">
        <v>26.59</v>
      </c>
      <c r="CU174" s="5">
        <v>23.85</v>
      </c>
      <c r="CV174" s="5">
        <v>101.37</v>
      </c>
      <c r="CW174" s="5">
        <v>0.85840706899999997</v>
      </c>
      <c r="CX174" s="5">
        <v>1.2361061793599999</v>
      </c>
    </row>
    <row r="175" spans="1:102" x14ac:dyDescent="0.25">
      <c r="A175" s="5">
        <v>8</v>
      </c>
      <c r="B175" s="23">
        <v>41401.449926898145</v>
      </c>
      <c r="C175" s="5">
        <v>6</v>
      </c>
      <c r="D175" s="5">
        <v>24</v>
      </c>
      <c r="E175" s="5">
        <v>279</v>
      </c>
      <c r="F175" s="5">
        <v>279</v>
      </c>
      <c r="G175" s="5">
        <v>279</v>
      </c>
      <c r="H175" s="5">
        <v>91.7</v>
      </c>
      <c r="I175" s="5">
        <v>91.7</v>
      </c>
      <c r="J175" s="5">
        <v>1800</v>
      </c>
      <c r="K175" s="5">
        <v>70</v>
      </c>
      <c r="L175" s="5">
        <v>70</v>
      </c>
      <c r="M175" s="5">
        <v>0.27</v>
      </c>
      <c r="N175" s="5">
        <v>0.26995000000000002</v>
      </c>
      <c r="O175" s="5">
        <v>1</v>
      </c>
      <c r="P175" s="5">
        <v>1.0688569999999999</v>
      </c>
      <c r="Q175" s="5">
        <v>-3.89</v>
      </c>
      <c r="R175" s="5">
        <v>-3.88916</v>
      </c>
      <c r="S175" s="5">
        <v>126.51</v>
      </c>
      <c r="T175" s="5">
        <v>126.51560000000001</v>
      </c>
      <c r="U175" s="5">
        <v>3.5</v>
      </c>
      <c r="V175" s="5">
        <v>3.5</v>
      </c>
      <c r="W175" s="5">
        <v>300</v>
      </c>
      <c r="X175" s="5">
        <v>300</v>
      </c>
      <c r="Y175" s="5">
        <v>3.5</v>
      </c>
      <c r="Z175" s="5">
        <v>3.5</v>
      </c>
      <c r="AA175" s="5">
        <v>300</v>
      </c>
      <c r="AB175" s="5">
        <v>300</v>
      </c>
      <c r="AC175" s="5">
        <v>0</v>
      </c>
      <c r="AD175" s="5">
        <v>113.3878</v>
      </c>
      <c r="AE175" s="5">
        <v>0</v>
      </c>
      <c r="AF175" s="5">
        <v>113.3878</v>
      </c>
      <c r="AG175" s="5">
        <v>39</v>
      </c>
      <c r="AH175" s="5">
        <v>0.17</v>
      </c>
      <c r="AI175" s="5">
        <v>66.63</v>
      </c>
      <c r="AJ175" s="5">
        <v>91.52</v>
      </c>
      <c r="AK175" s="5">
        <v>159.88999999999999</v>
      </c>
      <c r="AL175" s="5">
        <v>156.93</v>
      </c>
      <c r="AM175" s="5">
        <v>431.79</v>
      </c>
      <c r="AN175" s="5">
        <v>180.64</v>
      </c>
      <c r="AO175" s="5">
        <v>81.260000000000005</v>
      </c>
      <c r="AP175" s="5">
        <v>106.22</v>
      </c>
      <c r="AQ175" s="5">
        <v>91.69</v>
      </c>
      <c r="AR175" s="5">
        <v>394.38</v>
      </c>
      <c r="AS175" s="5">
        <v>78.61</v>
      </c>
      <c r="AT175" s="5">
        <v>83.96</v>
      </c>
      <c r="AU175" s="5">
        <v>131.78</v>
      </c>
      <c r="AV175" s="5">
        <v>110.44</v>
      </c>
      <c r="AW175" s="5">
        <v>1.746</v>
      </c>
      <c r="AX175" s="5">
        <v>39.15</v>
      </c>
      <c r="AY175" s="5">
        <v>10000000000</v>
      </c>
      <c r="AZ175" s="5">
        <v>380.4</v>
      </c>
      <c r="BA175" s="5">
        <v>117.91</v>
      </c>
      <c r="BB175" s="5">
        <v>8.0399999999999991</v>
      </c>
      <c r="BC175" s="5">
        <v>2.92</v>
      </c>
      <c r="BD175" s="5">
        <v>9.41</v>
      </c>
      <c r="BE175" s="5">
        <v>0.7</v>
      </c>
      <c r="BF175" s="5">
        <v>70.569999999999993</v>
      </c>
      <c r="BG175" s="5">
        <v>36.340000000000003</v>
      </c>
      <c r="BH175" s="5">
        <v>10000000000</v>
      </c>
      <c r="BI175" s="5">
        <v>276.39999999999998</v>
      </c>
      <c r="BJ175" s="5">
        <v>27.1</v>
      </c>
      <c r="BK175" s="5">
        <v>84.3</v>
      </c>
      <c r="BL175" s="5">
        <v>224.97</v>
      </c>
      <c r="BM175" s="5">
        <v>1.94</v>
      </c>
      <c r="BN175" s="5">
        <v>31.61</v>
      </c>
      <c r="BO175" s="5">
        <v>36.229999999999997</v>
      </c>
      <c r="BP175" s="5">
        <v>408.66</v>
      </c>
      <c r="BQ175" s="5">
        <v>80.613079999999997</v>
      </c>
      <c r="BR175" s="5">
        <v>247.29839999999999</v>
      </c>
      <c r="BS175" s="5">
        <v>65.553799999999995</v>
      </c>
      <c r="BT175" s="5">
        <v>69.353899999999996</v>
      </c>
      <c r="BU175" s="5">
        <v>68.163330000000002</v>
      </c>
      <c r="BV175" s="5">
        <v>5.3428000000000003E-2</v>
      </c>
      <c r="BW175" s="5">
        <v>4.9796E-2</v>
      </c>
      <c r="BX175" s="5">
        <v>41.318019999999997</v>
      </c>
      <c r="BY175" s="5">
        <v>18.995360000000002</v>
      </c>
      <c r="BZ175" s="5">
        <v>0</v>
      </c>
      <c r="CA175" s="5">
        <v>0.93329700000000004</v>
      </c>
      <c r="CB175" s="5">
        <v>626.30229999999995</v>
      </c>
      <c r="CC175" s="5">
        <v>639.04790000000003</v>
      </c>
      <c r="CD175" s="5">
        <v>48.318750000000001</v>
      </c>
      <c r="CE175" s="5">
        <v>438.54</v>
      </c>
      <c r="CF175" s="5">
        <v>109.15</v>
      </c>
      <c r="CG175" s="5">
        <v>127.3</v>
      </c>
      <c r="CH175" s="5">
        <v>403.54</v>
      </c>
      <c r="CI175" s="5">
        <v>398.75</v>
      </c>
      <c r="CJ175" s="5">
        <v>410.85</v>
      </c>
      <c r="CK175" s="5">
        <v>423.65</v>
      </c>
      <c r="CL175" s="5">
        <v>426.65</v>
      </c>
      <c r="CM175" s="5">
        <v>431.79</v>
      </c>
      <c r="CN175" s="5">
        <v>321.48</v>
      </c>
      <c r="CO175" s="5">
        <v>27.5</v>
      </c>
      <c r="CP175" s="5">
        <v>278.2</v>
      </c>
      <c r="CQ175" s="5">
        <v>279.05</v>
      </c>
      <c r="CR175" s="5">
        <v>5</v>
      </c>
      <c r="CS175" s="5">
        <v>5</v>
      </c>
      <c r="CT175" s="5">
        <v>25.47</v>
      </c>
      <c r="CU175" s="5">
        <v>39.020000000000003</v>
      </c>
      <c r="CV175" s="5">
        <v>100.86</v>
      </c>
      <c r="CW175" s="5">
        <v>0.87803092427903651</v>
      </c>
      <c r="CX175" s="5">
        <v>0.61462164699532551</v>
      </c>
    </row>
    <row r="176" spans="1:102" x14ac:dyDescent="0.25">
      <c r="A176" s="5">
        <v>14</v>
      </c>
      <c r="B176" s="23">
        <v>1.9784722222222221E-2</v>
      </c>
      <c r="C176" s="5">
        <v>6</v>
      </c>
      <c r="D176" s="5">
        <v>7</v>
      </c>
      <c r="E176" s="5">
        <v>222</v>
      </c>
      <c r="F176" s="5">
        <v>222</v>
      </c>
      <c r="G176" s="5">
        <v>222</v>
      </c>
      <c r="H176" s="5">
        <v>91.7</v>
      </c>
      <c r="I176" s="5">
        <v>91.7</v>
      </c>
      <c r="J176" s="5">
        <v>1800</v>
      </c>
      <c r="K176" s="5">
        <v>67</v>
      </c>
      <c r="L176" s="5">
        <v>67</v>
      </c>
      <c r="M176" s="5">
        <v>0.19</v>
      </c>
      <c r="N176" s="5">
        <v>0.190021</v>
      </c>
      <c r="O176" s="5">
        <v>1</v>
      </c>
      <c r="P176" s="5">
        <v>1.069428</v>
      </c>
      <c r="Q176" s="5">
        <v>-2.6</v>
      </c>
      <c r="R176" s="5">
        <v>-2.6037599999999999</v>
      </c>
      <c r="S176" s="5">
        <v>119.15</v>
      </c>
      <c r="T176" s="5">
        <v>119.1563</v>
      </c>
      <c r="U176" s="5">
        <v>3.5</v>
      </c>
      <c r="V176" s="5">
        <v>3.5</v>
      </c>
      <c r="W176" s="5">
        <v>300</v>
      </c>
      <c r="X176" s="5">
        <v>300</v>
      </c>
      <c r="Y176" s="5">
        <v>3.5</v>
      </c>
      <c r="Z176" s="5">
        <v>3.5</v>
      </c>
      <c r="AA176" s="5">
        <v>300</v>
      </c>
      <c r="AB176" s="5">
        <v>300</v>
      </c>
      <c r="AC176" s="5">
        <v>0</v>
      </c>
      <c r="AD176" s="5">
        <v>111.6862</v>
      </c>
      <c r="AE176" s="5">
        <v>0</v>
      </c>
      <c r="AF176" s="5">
        <v>111.6862</v>
      </c>
      <c r="AG176" s="5">
        <v>39</v>
      </c>
      <c r="AH176" s="5">
        <v>0.17</v>
      </c>
      <c r="AI176" s="5">
        <v>65.03</v>
      </c>
      <c r="AJ176" s="5">
        <v>90.43</v>
      </c>
      <c r="AK176" s="5">
        <v>152.29</v>
      </c>
      <c r="AL176" s="5">
        <v>151.41999999999999</v>
      </c>
      <c r="AM176" s="5">
        <v>381.44</v>
      </c>
      <c r="AN176" s="5">
        <v>173.09100000000001</v>
      </c>
      <c r="AO176" s="5">
        <v>71.91</v>
      </c>
      <c r="AP176" s="5">
        <v>104.17</v>
      </c>
      <c r="AQ176" s="5">
        <v>84.01</v>
      </c>
      <c r="AR176" s="5">
        <v>430.42</v>
      </c>
      <c r="AS176" s="5">
        <v>80.39</v>
      </c>
      <c r="AT176" s="5">
        <v>72.25</v>
      </c>
      <c r="AU176" s="5">
        <v>114.12</v>
      </c>
      <c r="AV176" s="5">
        <v>117.68</v>
      </c>
      <c r="AW176" s="5">
        <v>0.56399999999999995</v>
      </c>
      <c r="AX176" s="5">
        <v>8.8000000000000007</v>
      </c>
      <c r="AY176" s="5">
        <v>10000000000</v>
      </c>
      <c r="AZ176" s="5">
        <v>157.35</v>
      </c>
      <c r="BA176" s="5">
        <v>75.45</v>
      </c>
      <c r="BB176" s="5">
        <v>6.26</v>
      </c>
      <c r="BC176" s="5">
        <v>1.74</v>
      </c>
      <c r="BD176" s="5">
        <v>12.09</v>
      </c>
      <c r="BE176" s="5">
        <v>2.1800000000000002</v>
      </c>
      <c r="BF176" s="5">
        <v>154.62</v>
      </c>
      <c r="BG176" s="5">
        <v>27.75</v>
      </c>
      <c r="BH176" s="5">
        <v>10000000000</v>
      </c>
      <c r="BI176" s="5">
        <v>289</v>
      </c>
      <c r="BJ176" s="5">
        <v>35.6</v>
      </c>
      <c r="BK176" s="5">
        <v>85.3</v>
      </c>
      <c r="BL176" s="5">
        <v>165.35</v>
      </c>
      <c r="BM176" s="5">
        <v>1.84</v>
      </c>
      <c r="BN176" s="5">
        <v>30.52</v>
      </c>
      <c r="BO176" s="5">
        <v>34.549999999999997</v>
      </c>
      <c r="BP176" s="5">
        <v>442.65</v>
      </c>
      <c r="BQ176" s="5">
        <v>71.089479999999995</v>
      </c>
      <c r="BR176" s="5">
        <v>247.86879999999999</v>
      </c>
      <c r="BS176" s="5">
        <v>85.741820000000004</v>
      </c>
      <c r="BT176" s="5">
        <v>87.316680000000005</v>
      </c>
      <c r="BU176" s="5">
        <v>85.73</v>
      </c>
      <c r="BV176" s="5">
        <v>1.9005000000000001E-2</v>
      </c>
      <c r="BW176" s="5">
        <v>1.8062999999999999E-2</v>
      </c>
      <c r="BX176" s="5">
        <v>32.761620000000001</v>
      </c>
      <c r="BY176" s="5">
        <v>18.995360000000002</v>
      </c>
      <c r="BZ176" s="5">
        <v>0</v>
      </c>
      <c r="CA176" s="5">
        <v>0.93510099999999996</v>
      </c>
      <c r="CB176" s="5">
        <v>617.82650000000001</v>
      </c>
      <c r="CC176" s="5">
        <v>628.29330000000004</v>
      </c>
      <c r="CD176" s="5">
        <v>39.761620000000001</v>
      </c>
      <c r="CE176" s="5">
        <v>367.58</v>
      </c>
      <c r="CF176" s="5">
        <v>93.93</v>
      </c>
      <c r="CG176" s="5">
        <v>107.97</v>
      </c>
      <c r="CH176" s="5">
        <v>361.87</v>
      </c>
      <c r="CI176" s="5">
        <v>348.42</v>
      </c>
      <c r="CJ176" s="5">
        <v>356.02</v>
      </c>
      <c r="CK176" s="5">
        <v>378.59</v>
      </c>
      <c r="CL176" s="5">
        <v>368.48</v>
      </c>
      <c r="CM176" s="5">
        <v>365.99</v>
      </c>
      <c r="CN176" s="5">
        <v>282.39999999999998</v>
      </c>
      <c r="CO176" s="5">
        <v>26.61</v>
      </c>
      <c r="CP176" s="5">
        <v>221.4</v>
      </c>
      <c r="CQ176" s="5">
        <v>222.05</v>
      </c>
      <c r="CR176" s="5">
        <v>4</v>
      </c>
      <c r="CS176" s="5">
        <v>4</v>
      </c>
      <c r="CT176" s="5">
        <v>23.19</v>
      </c>
      <c r="CU176" s="5">
        <v>16.27</v>
      </c>
      <c r="CV176" s="5">
        <v>101.61</v>
      </c>
      <c r="CW176" s="5">
        <v>0.82994880199999999</v>
      </c>
      <c r="CX176" s="5">
        <v>1.8092883883600002</v>
      </c>
    </row>
    <row r="177" spans="1:102" x14ac:dyDescent="0.25">
      <c r="A177" s="5">
        <v>25</v>
      </c>
      <c r="B177" s="23">
        <v>1.0491898148148148E-2</v>
      </c>
      <c r="C177" s="5">
        <v>6</v>
      </c>
      <c r="D177" s="5">
        <v>19</v>
      </c>
      <c r="E177" s="5">
        <v>262</v>
      </c>
      <c r="F177" s="5">
        <v>262</v>
      </c>
      <c r="G177" s="5">
        <v>262</v>
      </c>
      <c r="H177" s="5">
        <v>91.7</v>
      </c>
      <c r="I177" s="5">
        <v>91.7</v>
      </c>
      <c r="J177" s="5">
        <v>1800</v>
      </c>
      <c r="K177" s="5">
        <v>12</v>
      </c>
      <c r="L177" s="5">
        <v>12</v>
      </c>
      <c r="M177" s="5">
        <v>7.0000000000000007E-2</v>
      </c>
      <c r="N177" s="5">
        <v>6.991E-2</v>
      </c>
      <c r="O177" s="5">
        <v>1</v>
      </c>
      <c r="P177" s="5">
        <v>1.0694650000000001</v>
      </c>
      <c r="Q177" s="5">
        <v>-3.5</v>
      </c>
      <c r="R177" s="5">
        <v>-3.5046390000000001</v>
      </c>
      <c r="S177" s="5">
        <v>124.31</v>
      </c>
      <c r="T177" s="5">
        <v>124.3125</v>
      </c>
      <c r="U177" s="5">
        <v>3.5</v>
      </c>
      <c r="V177" s="5">
        <v>3.5</v>
      </c>
      <c r="W177" s="5">
        <v>300</v>
      </c>
      <c r="X177" s="5">
        <v>300</v>
      </c>
      <c r="Y177" s="5">
        <v>3.5</v>
      </c>
      <c r="Z177" s="5">
        <v>3.5</v>
      </c>
      <c r="AA177" s="5">
        <v>300</v>
      </c>
      <c r="AB177" s="5">
        <v>300</v>
      </c>
      <c r="AC177" s="5">
        <v>0</v>
      </c>
      <c r="AD177" s="5">
        <v>85.883070000000004</v>
      </c>
      <c r="AE177" s="5">
        <v>0</v>
      </c>
      <c r="AF177" s="5">
        <v>85.883070000000004</v>
      </c>
      <c r="AG177" s="5">
        <v>39</v>
      </c>
      <c r="AH177" s="5">
        <v>0.17</v>
      </c>
      <c r="AI177" s="5">
        <v>48.29</v>
      </c>
      <c r="AJ177" s="5">
        <v>67.92</v>
      </c>
      <c r="AK177" s="5">
        <v>46.87</v>
      </c>
      <c r="AL177" s="5">
        <v>48.86</v>
      </c>
      <c r="AM177" s="5">
        <v>439.79</v>
      </c>
      <c r="AN177" s="5">
        <v>123.53740000000001</v>
      </c>
      <c r="AO177" s="5">
        <v>20.6</v>
      </c>
      <c r="AP177" s="5">
        <v>64.52</v>
      </c>
      <c r="AQ177" s="5">
        <v>33.1</v>
      </c>
      <c r="AR177" s="5">
        <v>414.43</v>
      </c>
      <c r="AS177" s="5">
        <v>26.25</v>
      </c>
      <c r="AT177" s="5">
        <v>47.19</v>
      </c>
      <c r="AU177" s="5">
        <v>94.9</v>
      </c>
      <c r="AV177" s="5">
        <v>110.23</v>
      </c>
      <c r="AW177" s="5">
        <v>0.28599999999999998</v>
      </c>
      <c r="AX177" s="5">
        <v>4.0999999999999996</v>
      </c>
      <c r="AY177" s="5">
        <v>10000000000</v>
      </c>
      <c r="AZ177" s="5">
        <v>162.06</v>
      </c>
      <c r="BA177" s="5">
        <v>78.760000000000005</v>
      </c>
      <c r="BB177" s="5">
        <v>6.54</v>
      </c>
      <c r="BC177" s="5">
        <v>0.42</v>
      </c>
      <c r="BD177" s="5">
        <v>11.59</v>
      </c>
      <c r="BE177" s="5">
        <v>4.26</v>
      </c>
      <c r="BF177" s="5">
        <v>374.75</v>
      </c>
      <c r="BG177" s="5">
        <v>6.35</v>
      </c>
      <c r="BH177" s="5">
        <v>10000000000</v>
      </c>
      <c r="BI177" s="5">
        <v>253.9</v>
      </c>
      <c r="BJ177" s="5">
        <v>33.1</v>
      </c>
      <c r="BK177" s="5">
        <v>86.8</v>
      </c>
      <c r="BL177" s="5">
        <v>28.12</v>
      </c>
      <c r="BM177" s="5">
        <v>1.35</v>
      </c>
      <c r="BN177" s="5">
        <v>29.35</v>
      </c>
      <c r="BO177" s="5">
        <v>34.96</v>
      </c>
      <c r="BP177" s="5">
        <v>427.01</v>
      </c>
      <c r="BQ177" s="5">
        <v>49.364530000000002</v>
      </c>
      <c r="BR177" s="5">
        <v>150.76830000000001</v>
      </c>
      <c r="BS177" s="5">
        <v>80.423019999999994</v>
      </c>
      <c r="BT177" s="5">
        <v>61.432499999999997</v>
      </c>
      <c r="BU177" s="5">
        <v>60.902810000000002</v>
      </c>
      <c r="BV177" s="5">
        <v>2.8250000000000001E-2</v>
      </c>
      <c r="BW177" s="5">
        <v>3.2375000000000001E-2</v>
      </c>
      <c r="BX177" s="5">
        <v>35.064790000000002</v>
      </c>
      <c r="BY177" s="5">
        <v>18.995360000000002</v>
      </c>
      <c r="BZ177" s="5">
        <v>0</v>
      </c>
      <c r="CA177" s="5">
        <v>0.93466800000000005</v>
      </c>
      <c r="CB177" s="5">
        <v>470.44330000000002</v>
      </c>
      <c r="CC177" s="5">
        <v>481.52499999999998</v>
      </c>
      <c r="CD177" s="5">
        <v>42.064790000000002</v>
      </c>
      <c r="CE177" s="5">
        <v>350.48</v>
      </c>
      <c r="CF177" s="5">
        <v>68.83</v>
      </c>
      <c r="CG177" s="5">
        <v>81.150000000000006</v>
      </c>
      <c r="CH177" s="5">
        <v>381.32</v>
      </c>
      <c r="CI177" s="5">
        <v>381.19</v>
      </c>
      <c r="CJ177" s="5">
        <v>395.96</v>
      </c>
      <c r="CK177" s="5">
        <v>424.17</v>
      </c>
      <c r="CL177" s="5">
        <v>412.46</v>
      </c>
      <c r="CM177" s="5">
        <v>410</v>
      </c>
      <c r="CN177" s="5">
        <v>376.1</v>
      </c>
      <c r="CO177" s="5">
        <v>25.79</v>
      </c>
      <c r="CP177" s="5">
        <v>261.3</v>
      </c>
      <c r="CQ177" s="5">
        <v>262.05</v>
      </c>
      <c r="CR177" s="5">
        <v>4.7</v>
      </c>
      <c r="CS177" s="5">
        <v>4.7</v>
      </c>
      <c r="CT177" s="5">
        <v>23.8</v>
      </c>
      <c r="CU177" s="5">
        <v>15.8</v>
      </c>
      <c r="CV177" s="5">
        <v>101.49</v>
      </c>
      <c r="CW177" s="5">
        <v>0.82910653400000001</v>
      </c>
      <c r="CX177" s="5">
        <v>3.5319938348399997</v>
      </c>
    </row>
    <row r="178" spans="1:102" x14ac:dyDescent="0.25">
      <c r="A178" s="5">
        <v>34</v>
      </c>
      <c r="B178" s="23">
        <v>2.4165509259259258E-2</v>
      </c>
      <c r="C178" s="5">
        <v>6</v>
      </c>
      <c r="D178" s="5">
        <v>28</v>
      </c>
      <c r="E178" s="5">
        <v>293</v>
      </c>
      <c r="F178" s="5">
        <v>293</v>
      </c>
      <c r="G178" s="5">
        <v>293</v>
      </c>
      <c r="H178" s="5">
        <v>91.7</v>
      </c>
      <c r="I178" s="5">
        <v>91.7</v>
      </c>
      <c r="J178" s="5">
        <v>1800</v>
      </c>
      <c r="K178" s="5">
        <v>53</v>
      </c>
      <c r="L178" s="5">
        <v>53</v>
      </c>
      <c r="M178" s="5">
        <v>0.09</v>
      </c>
      <c r="N178" s="5">
        <v>9.0067999999999995E-2</v>
      </c>
      <c r="O178" s="5">
        <v>1</v>
      </c>
      <c r="P178" s="5">
        <v>1.069421</v>
      </c>
      <c r="Q178" s="5">
        <v>-4.2</v>
      </c>
      <c r="R178" s="5">
        <v>-4.196777</v>
      </c>
      <c r="S178" s="5">
        <v>128.32</v>
      </c>
      <c r="T178" s="5">
        <v>128.3125</v>
      </c>
      <c r="U178" s="5">
        <v>3.5</v>
      </c>
      <c r="V178" s="5">
        <v>3.5</v>
      </c>
      <c r="W178" s="5">
        <v>300</v>
      </c>
      <c r="X178" s="5">
        <v>300</v>
      </c>
      <c r="Y178" s="5">
        <v>3.61</v>
      </c>
      <c r="Z178" s="5">
        <v>3.625</v>
      </c>
      <c r="AA178" s="5">
        <v>300</v>
      </c>
      <c r="AB178" s="5">
        <v>300</v>
      </c>
      <c r="AC178" s="5">
        <v>0</v>
      </c>
      <c r="AD178" s="5">
        <v>123.8789</v>
      </c>
      <c r="AE178" s="5">
        <v>0</v>
      </c>
      <c r="AF178" s="5">
        <v>123.8789</v>
      </c>
      <c r="AG178" s="5">
        <v>39</v>
      </c>
      <c r="AH178" s="5">
        <v>0.17</v>
      </c>
      <c r="AI178" s="5">
        <v>70.75</v>
      </c>
      <c r="AJ178" s="5">
        <v>102.03</v>
      </c>
      <c r="AK178" s="5">
        <v>153.24</v>
      </c>
      <c r="AL178" s="5">
        <v>154.94</v>
      </c>
      <c r="AM178" s="5">
        <v>393.68</v>
      </c>
      <c r="AN178" s="5">
        <v>186.999</v>
      </c>
      <c r="AO178" s="5">
        <v>84.66</v>
      </c>
      <c r="AP178" s="5">
        <v>115.09</v>
      </c>
      <c r="AQ178" s="5">
        <v>101.8</v>
      </c>
      <c r="AR178" s="5">
        <v>572.29</v>
      </c>
      <c r="AS178" s="5">
        <v>68.59</v>
      </c>
      <c r="AT178" s="5">
        <v>60.1</v>
      </c>
      <c r="AU178" s="5">
        <v>98.43</v>
      </c>
      <c r="AV178" s="5">
        <v>117.82</v>
      </c>
      <c r="AW178" s="5">
        <v>0.122</v>
      </c>
      <c r="AX178" s="5">
        <v>1.66</v>
      </c>
      <c r="AY178" s="5">
        <v>10000000000</v>
      </c>
      <c r="AZ178" s="5">
        <v>106.46</v>
      </c>
      <c r="BA178" s="5">
        <v>58.34</v>
      </c>
      <c r="BB178" s="5">
        <v>5.45</v>
      </c>
      <c r="BC178" s="5">
        <v>0.64</v>
      </c>
      <c r="BD178" s="5">
        <v>12.9</v>
      </c>
      <c r="BE178" s="5">
        <v>4.22</v>
      </c>
      <c r="BF178" s="5">
        <v>293.58</v>
      </c>
      <c r="BG178" s="5">
        <v>11.78</v>
      </c>
      <c r="BH178" s="5">
        <v>10000000000</v>
      </c>
      <c r="BI178" s="5">
        <v>261.2</v>
      </c>
      <c r="BJ178" s="5">
        <v>39.700000000000003</v>
      </c>
      <c r="BK178" s="5">
        <v>86.3</v>
      </c>
      <c r="BL178" s="5">
        <v>76.430000000000007</v>
      </c>
      <c r="BM178" s="5">
        <v>1.99</v>
      </c>
      <c r="BN178" s="5">
        <v>29.56</v>
      </c>
      <c r="BO178" s="5">
        <v>33.979999999999997</v>
      </c>
      <c r="BP178" s="5">
        <v>587.1</v>
      </c>
      <c r="BQ178" s="5">
        <v>60.939579999999999</v>
      </c>
      <c r="BR178" s="5">
        <v>255.51750000000001</v>
      </c>
      <c r="BS178" s="5">
        <v>66.437259999999995</v>
      </c>
      <c r="BT178" s="5">
        <v>77.072909999999993</v>
      </c>
      <c r="BU178" s="5">
        <v>75.479920000000007</v>
      </c>
      <c r="BV178" s="5">
        <v>5.1963000000000002E-2</v>
      </c>
      <c r="BW178" s="5">
        <v>4.5659999999999999E-2</v>
      </c>
      <c r="BX178" s="5">
        <v>40.804690000000001</v>
      </c>
      <c r="BY178" s="5">
        <v>18.995360000000002</v>
      </c>
      <c r="BZ178" s="5">
        <v>0</v>
      </c>
      <c r="CA178" s="5">
        <v>0.93337800000000004</v>
      </c>
      <c r="CB178" s="5">
        <v>686.63900000000001</v>
      </c>
      <c r="CC178" s="5">
        <v>699.27710000000002</v>
      </c>
      <c r="CD178" s="5">
        <v>47.95187</v>
      </c>
      <c r="CE178" s="5">
        <v>380.82</v>
      </c>
      <c r="CF178" s="5">
        <v>78.28</v>
      </c>
      <c r="CG178" s="5">
        <v>89.62</v>
      </c>
      <c r="CH178" s="5">
        <v>365.55</v>
      </c>
      <c r="CI178" s="5">
        <v>362.43</v>
      </c>
      <c r="CJ178" s="5">
        <v>373.71</v>
      </c>
      <c r="CK178" s="5">
        <v>395.62</v>
      </c>
      <c r="CL178" s="5">
        <v>387.01</v>
      </c>
      <c r="CM178" s="5">
        <v>390.87</v>
      </c>
      <c r="CN178" s="5">
        <v>287.08999999999997</v>
      </c>
      <c r="CO178" s="5">
        <v>28.01</v>
      </c>
      <c r="CP178" s="5">
        <v>291.89999999999998</v>
      </c>
      <c r="CQ178" s="5">
        <v>293.05</v>
      </c>
      <c r="CR178" s="5">
        <v>5.2</v>
      </c>
      <c r="CS178" s="5">
        <v>5.3</v>
      </c>
      <c r="CT178" s="5">
        <v>25.22</v>
      </c>
      <c r="CU178" s="5">
        <v>18.75</v>
      </c>
      <c r="CV178" s="5">
        <v>101.41</v>
      </c>
      <c r="CW178" s="5">
        <v>0.85012566899999997</v>
      </c>
      <c r="CX178" s="5">
        <v>3.5875303231799998</v>
      </c>
    </row>
    <row r="179" spans="1:102" x14ac:dyDescent="0.25">
      <c r="A179" s="5">
        <v>49</v>
      </c>
      <c r="B179" s="23">
        <v>3.4928240740740739E-2</v>
      </c>
      <c r="C179" s="5">
        <v>6</v>
      </c>
      <c r="D179" s="5">
        <v>43</v>
      </c>
      <c r="E179" s="5">
        <v>344</v>
      </c>
      <c r="F179" s="5">
        <v>344</v>
      </c>
      <c r="G179" s="5">
        <v>344</v>
      </c>
      <c r="H179" s="5">
        <v>91.7</v>
      </c>
      <c r="I179" s="5">
        <v>91.7</v>
      </c>
      <c r="J179" s="5">
        <v>1800</v>
      </c>
      <c r="K179" s="5">
        <v>33</v>
      </c>
      <c r="L179" s="5">
        <v>33</v>
      </c>
      <c r="M179" s="5">
        <v>0.28000000000000003</v>
      </c>
      <c r="N179" s="5">
        <v>0.28009299999999998</v>
      </c>
      <c r="O179" s="5">
        <v>1</v>
      </c>
      <c r="P179" s="5">
        <v>1.069437</v>
      </c>
      <c r="Q179" s="5">
        <v>-4.3099999999999996</v>
      </c>
      <c r="R179" s="5">
        <v>-4.3066409999999999</v>
      </c>
      <c r="S179" s="5">
        <v>137.28</v>
      </c>
      <c r="T179" s="5">
        <v>137.28129999999999</v>
      </c>
      <c r="U179" s="5">
        <v>3.5</v>
      </c>
      <c r="V179" s="5">
        <v>3.5</v>
      </c>
      <c r="W179" s="5">
        <v>300</v>
      </c>
      <c r="X179" s="5">
        <v>300</v>
      </c>
      <c r="Y179" s="5">
        <v>3.5</v>
      </c>
      <c r="Z179" s="5">
        <v>3.5</v>
      </c>
      <c r="AA179" s="5">
        <v>300</v>
      </c>
      <c r="AB179" s="5">
        <v>300</v>
      </c>
      <c r="AC179" s="5">
        <v>0</v>
      </c>
      <c r="AD179" s="5">
        <v>103.67189999999999</v>
      </c>
      <c r="AE179" s="5">
        <v>0</v>
      </c>
      <c r="AF179" s="5">
        <v>103.67189999999999</v>
      </c>
      <c r="AG179" s="5">
        <v>39</v>
      </c>
      <c r="AH179" s="5">
        <v>0.17</v>
      </c>
      <c r="AI179" s="5">
        <v>58.76</v>
      </c>
      <c r="AJ179" s="5">
        <v>81.99</v>
      </c>
      <c r="AK179" s="5">
        <v>73.36</v>
      </c>
      <c r="AL179" s="5">
        <v>73.98</v>
      </c>
      <c r="AM179" s="5">
        <v>464.09</v>
      </c>
      <c r="AN179" s="5">
        <v>153.11160000000001</v>
      </c>
      <c r="AO179" s="5">
        <v>50.76</v>
      </c>
      <c r="AP179" s="5">
        <v>79.89</v>
      </c>
      <c r="AQ179" s="5">
        <v>63.49</v>
      </c>
      <c r="AR179" s="5">
        <v>437.81</v>
      </c>
      <c r="AS179" s="5">
        <v>22.62</v>
      </c>
      <c r="AT179" s="5">
        <v>54.76</v>
      </c>
      <c r="AU179" s="5">
        <v>106.91</v>
      </c>
      <c r="AV179" s="5">
        <v>115.56</v>
      </c>
      <c r="AW179" s="5">
        <v>0.46300000000000002</v>
      </c>
      <c r="AX179" s="5">
        <v>7.01</v>
      </c>
      <c r="AY179" s="5">
        <v>10000000000</v>
      </c>
      <c r="AZ179" s="5">
        <v>237.73</v>
      </c>
      <c r="BA179" s="5">
        <v>78.8</v>
      </c>
      <c r="BB179" s="5">
        <v>7.58</v>
      </c>
      <c r="BC179" s="5">
        <v>1.43</v>
      </c>
      <c r="BD179" s="5">
        <v>10.02</v>
      </c>
      <c r="BE179" s="5">
        <v>1.83</v>
      </c>
      <c r="BF179" s="5">
        <v>204.95</v>
      </c>
      <c r="BG179" s="5">
        <v>18.91</v>
      </c>
      <c r="BH179" s="5">
        <v>10000000000</v>
      </c>
      <c r="BI179" s="5">
        <v>241.8</v>
      </c>
      <c r="BJ179" s="5">
        <v>27.9</v>
      </c>
      <c r="BK179" s="5">
        <v>84.4</v>
      </c>
      <c r="BL179" s="5">
        <v>102.15</v>
      </c>
      <c r="BM179" s="5">
        <v>1.69</v>
      </c>
      <c r="BN179" s="5">
        <v>30.3</v>
      </c>
      <c r="BO179" s="5">
        <v>36.020000000000003</v>
      </c>
      <c r="BP179" s="5">
        <v>453.73</v>
      </c>
      <c r="BQ179" s="5">
        <v>55.894480000000001</v>
      </c>
      <c r="BR179" s="5">
        <v>171.328</v>
      </c>
      <c r="BS179" s="5">
        <v>59.386000000000003</v>
      </c>
      <c r="BT179" s="5">
        <v>54.503309999999999</v>
      </c>
      <c r="BU179" s="5">
        <v>53.650440000000003</v>
      </c>
      <c r="BV179" s="5">
        <v>7.7271999999999993E-2</v>
      </c>
      <c r="BW179" s="5">
        <v>7.3731000000000005E-2</v>
      </c>
      <c r="BX179" s="5">
        <v>47.12229</v>
      </c>
      <c r="BY179" s="5">
        <v>18.995360000000002</v>
      </c>
      <c r="BZ179" s="5">
        <v>0</v>
      </c>
      <c r="CA179" s="5">
        <v>0.93203800000000003</v>
      </c>
      <c r="CB179" s="5">
        <v>569.88850000000002</v>
      </c>
      <c r="CC179" s="5">
        <v>584.16920000000005</v>
      </c>
      <c r="CD179" s="5">
        <v>54.12229</v>
      </c>
      <c r="CE179" s="5">
        <v>449.23</v>
      </c>
      <c r="CF179" s="5">
        <v>82.82</v>
      </c>
      <c r="CG179" s="5">
        <v>98.69</v>
      </c>
      <c r="CH179" s="5">
        <v>386.42</v>
      </c>
      <c r="CI179" s="5">
        <v>398.1</v>
      </c>
      <c r="CJ179" s="5">
        <v>410.85</v>
      </c>
      <c r="CK179" s="5">
        <v>450.61</v>
      </c>
      <c r="CL179" s="5">
        <v>439.78</v>
      </c>
      <c r="CM179" s="5">
        <v>442.18</v>
      </c>
      <c r="CN179" s="5">
        <v>376.23</v>
      </c>
      <c r="CO179" s="5">
        <v>25.85</v>
      </c>
      <c r="CP179" s="5">
        <v>342</v>
      </c>
      <c r="CQ179" s="5">
        <v>344.05</v>
      </c>
      <c r="CR179" s="5">
        <v>6.1</v>
      </c>
      <c r="CS179" s="5">
        <v>6.2</v>
      </c>
      <c r="CT179" s="5">
        <v>25.39</v>
      </c>
      <c r="CU179" s="5">
        <v>27.16</v>
      </c>
      <c r="CV179" s="5">
        <v>101.36</v>
      </c>
      <c r="CW179" s="5">
        <v>0.86143251300000001</v>
      </c>
      <c r="CX179" s="5">
        <v>1.57642149879</v>
      </c>
    </row>
    <row r="180" spans="1:102" x14ac:dyDescent="0.25">
      <c r="A180" s="5">
        <v>26</v>
      </c>
      <c r="B180" s="23">
        <v>1.5912037037037037E-2</v>
      </c>
      <c r="C180" s="5">
        <v>6</v>
      </c>
      <c r="D180" s="5">
        <v>20</v>
      </c>
      <c r="E180" s="5">
        <v>264</v>
      </c>
      <c r="F180" s="5">
        <v>264</v>
      </c>
      <c r="G180" s="5">
        <v>264.10000000000002</v>
      </c>
      <c r="H180" s="5">
        <v>91.7</v>
      </c>
      <c r="I180" s="5">
        <v>91.7</v>
      </c>
      <c r="J180" s="5">
        <v>1800</v>
      </c>
      <c r="K180" s="5">
        <v>45</v>
      </c>
      <c r="L180" s="5">
        <v>45</v>
      </c>
      <c r="M180" s="5">
        <v>0.25</v>
      </c>
      <c r="N180" s="5">
        <v>0.25004900000000002</v>
      </c>
      <c r="O180" s="5">
        <v>1</v>
      </c>
      <c r="P180" s="5">
        <v>1.069428</v>
      </c>
      <c r="Q180" s="5">
        <v>-3.55</v>
      </c>
      <c r="R180" s="5">
        <v>-3.548584</v>
      </c>
      <c r="S180" s="5">
        <v>124.57</v>
      </c>
      <c r="T180" s="5">
        <v>124.5625</v>
      </c>
      <c r="U180" s="5">
        <v>3.5</v>
      </c>
      <c r="V180" s="5">
        <v>3.5</v>
      </c>
      <c r="W180" s="5">
        <v>300</v>
      </c>
      <c r="X180" s="5">
        <v>300</v>
      </c>
      <c r="Y180" s="5">
        <v>3.5</v>
      </c>
      <c r="Z180" s="5">
        <v>3.5</v>
      </c>
      <c r="AA180" s="5">
        <v>300</v>
      </c>
      <c r="AB180" s="5">
        <v>300</v>
      </c>
      <c r="AC180" s="5">
        <v>0</v>
      </c>
      <c r="AD180" s="5">
        <v>97.686869999999999</v>
      </c>
      <c r="AE180" s="5">
        <v>0</v>
      </c>
      <c r="AF180" s="5">
        <v>97.686869999999999</v>
      </c>
      <c r="AG180" s="5">
        <v>39</v>
      </c>
      <c r="AH180" s="5">
        <v>0.17</v>
      </c>
      <c r="AI180" s="5">
        <v>56.1</v>
      </c>
      <c r="AJ180" s="5">
        <v>78.599999999999994</v>
      </c>
      <c r="AK180" s="5">
        <v>75.459999999999994</v>
      </c>
      <c r="AL180" s="5">
        <v>75.459999999999994</v>
      </c>
      <c r="AM180" s="5">
        <v>409.38</v>
      </c>
      <c r="AN180" s="5">
        <v>147.1534</v>
      </c>
      <c r="AO180" s="5">
        <v>44.95</v>
      </c>
      <c r="AP180" s="5">
        <v>81.5</v>
      </c>
      <c r="AQ180" s="5">
        <v>56.71</v>
      </c>
      <c r="AR180" s="5">
        <v>406.91</v>
      </c>
      <c r="AS180" s="5">
        <v>30.52</v>
      </c>
      <c r="AT180" s="5">
        <v>62.73</v>
      </c>
      <c r="AU180" s="5">
        <v>106.9</v>
      </c>
      <c r="AV180" s="5">
        <v>117.19</v>
      </c>
      <c r="AW180" s="5">
        <v>0.52400000000000002</v>
      </c>
      <c r="AX180" s="5">
        <v>8.09</v>
      </c>
      <c r="AY180" s="5">
        <v>10000000000</v>
      </c>
      <c r="AZ180" s="5">
        <v>208.75</v>
      </c>
      <c r="BA180" s="5">
        <v>93.96</v>
      </c>
      <c r="BB180" s="5">
        <v>6.84</v>
      </c>
      <c r="BC180" s="5">
        <v>1.5</v>
      </c>
      <c r="BD180" s="5">
        <v>11.2</v>
      </c>
      <c r="BE180" s="5">
        <v>2.0099999999999998</v>
      </c>
      <c r="BF180" s="5">
        <v>182.32</v>
      </c>
      <c r="BG180" s="5">
        <v>21.96</v>
      </c>
      <c r="BH180" s="5">
        <v>10000000000</v>
      </c>
      <c r="BI180" s="5">
        <v>255.3</v>
      </c>
      <c r="BJ180" s="5">
        <v>32</v>
      </c>
      <c r="BK180" s="5">
        <v>86.5</v>
      </c>
      <c r="BL180" s="5">
        <v>114.46</v>
      </c>
      <c r="BM180" s="5">
        <v>1.59</v>
      </c>
      <c r="BN180" s="5">
        <v>30.33</v>
      </c>
      <c r="BO180" s="5">
        <v>35.15</v>
      </c>
      <c r="BP180" s="5">
        <v>419.47</v>
      </c>
      <c r="BQ180" s="5">
        <v>63.217860000000002</v>
      </c>
      <c r="BR180" s="5">
        <v>172.50110000000001</v>
      </c>
      <c r="BS180" s="5">
        <v>79.893420000000006</v>
      </c>
      <c r="BT180" s="5">
        <v>69.998949999999994</v>
      </c>
      <c r="BU180" s="5">
        <v>69.097080000000005</v>
      </c>
      <c r="BV180" s="5">
        <v>2.9148E-2</v>
      </c>
      <c r="BW180" s="5">
        <v>3.0738999999999999E-2</v>
      </c>
      <c r="BX180" s="5">
        <v>35.289270000000002</v>
      </c>
      <c r="BY180" s="5">
        <v>18.995360000000002</v>
      </c>
      <c r="BZ180" s="5">
        <v>0</v>
      </c>
      <c r="CA180" s="5">
        <v>0.93461899999999998</v>
      </c>
      <c r="CB180" s="5">
        <v>537.26419999999996</v>
      </c>
      <c r="CC180" s="5">
        <v>548.39520000000005</v>
      </c>
      <c r="CD180" s="5">
        <v>42.289270000000002</v>
      </c>
      <c r="CE180" s="5">
        <v>406.58</v>
      </c>
      <c r="CF180" s="5">
        <v>85.03</v>
      </c>
      <c r="CG180" s="5">
        <v>98.78</v>
      </c>
      <c r="CH180" s="5">
        <v>365.8</v>
      </c>
      <c r="CI180" s="5">
        <v>364.15</v>
      </c>
      <c r="CJ180" s="5">
        <v>375.87</v>
      </c>
      <c r="CK180" s="5">
        <v>402.51</v>
      </c>
      <c r="CL180" s="5">
        <v>395.48</v>
      </c>
      <c r="CM180" s="5">
        <v>398.96</v>
      </c>
      <c r="CN180" s="5">
        <v>326.68</v>
      </c>
      <c r="CO180" s="5">
        <v>26.05</v>
      </c>
      <c r="CP180" s="5">
        <v>263.10000000000002</v>
      </c>
      <c r="CQ180" s="5">
        <v>264.05</v>
      </c>
      <c r="CR180" s="5">
        <v>4.7</v>
      </c>
      <c r="CS180" s="5">
        <v>4.7</v>
      </c>
      <c r="CT180" s="5">
        <v>24.25</v>
      </c>
      <c r="CU180" s="5">
        <v>17.45</v>
      </c>
      <c r="CV180" s="5">
        <v>101.49</v>
      </c>
      <c r="CW180" s="5">
        <v>0.83289202900000003</v>
      </c>
      <c r="CX180" s="5">
        <v>1.6741129782899999</v>
      </c>
    </row>
    <row r="181" spans="1:102" x14ac:dyDescent="0.25">
      <c r="A181" s="5">
        <v>36</v>
      </c>
      <c r="B181" s="23">
        <v>3.5013888888888893E-2</v>
      </c>
      <c r="C181" s="5">
        <v>6</v>
      </c>
      <c r="D181" s="5">
        <v>30</v>
      </c>
      <c r="E181" s="5">
        <v>300</v>
      </c>
      <c r="F181" s="5">
        <v>300</v>
      </c>
      <c r="G181" s="5">
        <v>300.10000000000002</v>
      </c>
      <c r="H181" s="5">
        <v>91.7</v>
      </c>
      <c r="I181" s="5">
        <v>91.7</v>
      </c>
      <c r="J181" s="5">
        <v>1800</v>
      </c>
      <c r="K181" s="5">
        <v>1</v>
      </c>
      <c r="L181" s="5">
        <v>1</v>
      </c>
      <c r="M181" s="5">
        <v>0.18</v>
      </c>
      <c r="N181" s="5">
        <v>0.179974</v>
      </c>
      <c r="O181" s="5">
        <v>1</v>
      </c>
      <c r="P181" s="5">
        <v>1.0694300000000001</v>
      </c>
      <c r="Q181" s="5">
        <v>-4.3600000000000003</v>
      </c>
      <c r="R181" s="5">
        <v>-4.3615719999999998</v>
      </c>
      <c r="S181" s="5">
        <v>129.22999999999999</v>
      </c>
      <c r="T181" s="5">
        <v>129.23439999999999</v>
      </c>
      <c r="U181" s="5">
        <v>3.5</v>
      </c>
      <c r="V181" s="5">
        <v>3.5</v>
      </c>
      <c r="W181" s="5">
        <v>300</v>
      </c>
      <c r="X181" s="5">
        <v>300</v>
      </c>
      <c r="Y181" s="5">
        <v>3.69</v>
      </c>
      <c r="Z181" s="5">
        <v>3.6875</v>
      </c>
      <c r="AA181" s="5">
        <v>300</v>
      </c>
      <c r="AB181" s="5">
        <v>300</v>
      </c>
      <c r="AC181" s="5">
        <v>0</v>
      </c>
      <c r="AD181" s="5">
        <v>84.413799999999995</v>
      </c>
      <c r="AE181" s="5">
        <v>0</v>
      </c>
      <c r="AF181" s="5">
        <v>84.413799999999995</v>
      </c>
      <c r="AG181" s="5">
        <v>39</v>
      </c>
      <c r="AH181" s="5">
        <v>0.17</v>
      </c>
      <c r="AI181" s="5">
        <v>46.89</v>
      </c>
      <c r="AJ181" s="5">
        <v>62.27</v>
      </c>
      <c r="AK181" s="5">
        <v>38.369999999999997</v>
      </c>
      <c r="AL181" s="5">
        <v>39.630000000000003</v>
      </c>
      <c r="AM181" s="5">
        <v>503.21</v>
      </c>
      <c r="AN181" s="5">
        <v>120.8181</v>
      </c>
      <c r="AO181" s="5">
        <v>17.97</v>
      </c>
      <c r="AP181" s="5">
        <v>55.77</v>
      </c>
      <c r="AQ181" s="5">
        <v>28.87</v>
      </c>
      <c r="AR181" s="5">
        <v>367.64</v>
      </c>
      <c r="AS181" s="5">
        <v>20.420000000000002</v>
      </c>
      <c r="AT181" s="5">
        <v>45.91</v>
      </c>
      <c r="AU181" s="5">
        <v>98.06</v>
      </c>
      <c r="AV181" s="5">
        <v>110.54</v>
      </c>
      <c r="AW181" s="5">
        <v>0.65200000000000002</v>
      </c>
      <c r="AX181" s="5">
        <v>10.45</v>
      </c>
      <c r="AY181" s="5">
        <v>10000000000</v>
      </c>
      <c r="AZ181" s="5">
        <v>257.8</v>
      </c>
      <c r="BA181" s="5">
        <v>78.23</v>
      </c>
      <c r="BB181" s="5">
        <v>8.18</v>
      </c>
      <c r="BC181" s="5">
        <v>1.1299999999999999</v>
      </c>
      <c r="BD181" s="5">
        <v>8.34</v>
      </c>
      <c r="BE181" s="5">
        <v>2.0299999999999998</v>
      </c>
      <c r="BF181" s="5">
        <v>239.43</v>
      </c>
      <c r="BG181" s="5">
        <v>13.82</v>
      </c>
      <c r="BH181" s="5">
        <v>10000000000</v>
      </c>
      <c r="BI181" s="5">
        <v>251.7</v>
      </c>
      <c r="BJ181" s="5">
        <v>25.8</v>
      </c>
      <c r="BK181" s="5">
        <v>83.4</v>
      </c>
      <c r="BL181" s="5">
        <v>58.95</v>
      </c>
      <c r="BM181" s="5">
        <v>1.35</v>
      </c>
      <c r="BN181" s="5">
        <v>30.02</v>
      </c>
      <c r="BO181" s="5">
        <v>36.57</v>
      </c>
      <c r="BP181" s="5">
        <v>381.9</v>
      </c>
      <c r="BQ181" s="5">
        <v>47.927709999999998</v>
      </c>
      <c r="BR181" s="5">
        <v>138.4982</v>
      </c>
      <c r="BS181" s="5">
        <v>66.061689999999999</v>
      </c>
      <c r="BT181" s="5">
        <v>50.667879999999997</v>
      </c>
      <c r="BU181" s="5">
        <v>50.517420000000001</v>
      </c>
      <c r="BV181" s="5">
        <v>5.2571E-2</v>
      </c>
      <c r="BW181" s="5">
        <v>5.8689999999999999E-2</v>
      </c>
      <c r="BX181" s="5">
        <v>40.91677</v>
      </c>
      <c r="BY181" s="5">
        <v>18.995360000000002</v>
      </c>
      <c r="BZ181" s="5">
        <v>0</v>
      </c>
      <c r="CA181" s="5">
        <v>0.93334499999999998</v>
      </c>
      <c r="CB181" s="5">
        <v>461.5215</v>
      </c>
      <c r="CC181" s="5">
        <v>474.2242</v>
      </c>
      <c r="CD181" s="5">
        <v>48.10427</v>
      </c>
      <c r="CE181" s="5">
        <v>460.13</v>
      </c>
      <c r="CF181" s="5">
        <v>73.37</v>
      </c>
      <c r="CG181" s="5">
        <v>87.94</v>
      </c>
      <c r="CH181" s="5">
        <v>413.34</v>
      </c>
      <c r="CI181" s="5">
        <v>421.52</v>
      </c>
      <c r="CJ181" s="5">
        <v>437.95</v>
      </c>
      <c r="CK181" s="5">
        <v>484.31</v>
      </c>
      <c r="CL181" s="5">
        <v>464.45</v>
      </c>
      <c r="CM181" s="5">
        <v>466.03</v>
      </c>
      <c r="CN181" s="5">
        <v>432.98</v>
      </c>
      <c r="CO181" s="5">
        <v>26.86</v>
      </c>
      <c r="CP181" s="5">
        <v>298.39999999999998</v>
      </c>
      <c r="CQ181" s="5">
        <v>300.05</v>
      </c>
      <c r="CR181" s="5">
        <v>5.3</v>
      </c>
      <c r="CS181" s="5">
        <v>5.4</v>
      </c>
      <c r="CT181" s="5">
        <v>26.69</v>
      </c>
      <c r="CU181" s="5">
        <v>24.23</v>
      </c>
      <c r="CV181" s="5">
        <v>101.39</v>
      </c>
      <c r="CW181" s="5">
        <v>0.85095491499999998</v>
      </c>
      <c r="CX181" s="5">
        <v>1.7274384774499998</v>
      </c>
    </row>
    <row r="182" spans="1:102" x14ac:dyDescent="0.25">
      <c r="A182" s="5">
        <v>45</v>
      </c>
      <c r="B182" s="23">
        <v>1.1689814814814814E-2</v>
      </c>
      <c r="C182" s="5">
        <v>6</v>
      </c>
      <c r="D182" s="5">
        <v>38</v>
      </c>
      <c r="E182" s="5">
        <v>325</v>
      </c>
      <c r="F182" s="5">
        <v>325</v>
      </c>
      <c r="G182" s="5">
        <v>325.10000000000002</v>
      </c>
      <c r="H182" s="5">
        <v>91.7</v>
      </c>
      <c r="I182" s="5">
        <v>91.7</v>
      </c>
      <c r="J182" s="5">
        <v>1800</v>
      </c>
      <c r="K182" s="5">
        <v>71</v>
      </c>
      <c r="L182" s="5">
        <v>71</v>
      </c>
      <c r="M182" s="5">
        <v>0.1</v>
      </c>
      <c r="N182" s="5">
        <v>0.100011</v>
      </c>
      <c r="O182" s="5">
        <v>1</v>
      </c>
      <c r="P182" s="5">
        <v>1.0695030000000001</v>
      </c>
      <c r="Q182" s="5">
        <v>-4.33</v>
      </c>
      <c r="R182" s="5">
        <v>-4.3286129999999998</v>
      </c>
      <c r="S182" s="5">
        <v>133.81</v>
      </c>
      <c r="T182" s="5">
        <v>133.8125</v>
      </c>
      <c r="U182" s="5">
        <v>3.5</v>
      </c>
      <c r="V182" s="5">
        <v>3.5</v>
      </c>
      <c r="W182" s="5">
        <v>300</v>
      </c>
      <c r="X182" s="5">
        <v>300</v>
      </c>
      <c r="Y182" s="5">
        <v>3.5</v>
      </c>
      <c r="Z182" s="5">
        <v>3.5</v>
      </c>
      <c r="AA182" s="5">
        <v>300</v>
      </c>
      <c r="AB182" s="5">
        <v>300</v>
      </c>
      <c r="AC182" s="5">
        <v>0</v>
      </c>
      <c r="AD182" s="5">
        <v>170.0581</v>
      </c>
      <c r="AE182" s="5">
        <v>0</v>
      </c>
      <c r="AF182" s="5">
        <v>142.58340000000001</v>
      </c>
      <c r="AG182" s="5">
        <v>39</v>
      </c>
      <c r="AH182" s="5">
        <v>0.17</v>
      </c>
      <c r="AI182" s="5">
        <v>94.09</v>
      </c>
      <c r="AJ182" s="5">
        <v>123.53</v>
      </c>
      <c r="AK182" s="5">
        <v>348.69</v>
      </c>
      <c r="AL182" s="5">
        <v>349.67</v>
      </c>
      <c r="AM182" s="5">
        <v>434.48</v>
      </c>
      <c r="AN182" s="5">
        <v>255.81800000000001</v>
      </c>
      <c r="AO182" s="5">
        <v>154.83000000000001</v>
      </c>
      <c r="AP182" s="5">
        <v>156.79</v>
      </c>
      <c r="AQ182" s="5">
        <v>174.63</v>
      </c>
      <c r="AR182" s="5">
        <v>700.19</v>
      </c>
      <c r="AS182" s="5">
        <v>193.86</v>
      </c>
      <c r="AT182" s="5">
        <v>67.540000000000006</v>
      </c>
      <c r="AU182" s="5">
        <v>115.56</v>
      </c>
      <c r="AV182" s="5">
        <v>117.59</v>
      </c>
      <c r="AW182" s="5">
        <v>9.9000000000000005E-2</v>
      </c>
      <c r="AX182" s="5">
        <v>1.34</v>
      </c>
      <c r="AY182" s="5">
        <v>10000000000</v>
      </c>
      <c r="AZ182" s="5">
        <v>91.56</v>
      </c>
      <c r="BA182" s="5">
        <v>45.93</v>
      </c>
      <c r="BB182" s="5">
        <v>5.6</v>
      </c>
      <c r="BC182" s="5">
        <v>0.97</v>
      </c>
      <c r="BD182" s="5">
        <v>12.77</v>
      </c>
      <c r="BE182" s="5">
        <v>3.87</v>
      </c>
      <c r="BF182" s="5">
        <v>245.1</v>
      </c>
      <c r="BG182" s="5">
        <v>17.32</v>
      </c>
      <c r="BH182" s="5">
        <v>10000000000</v>
      </c>
      <c r="BI182" s="5">
        <v>297.10000000000002</v>
      </c>
      <c r="BJ182" s="5">
        <v>38.5</v>
      </c>
      <c r="BK182" s="5">
        <v>82.8</v>
      </c>
      <c r="BL182" s="5">
        <v>146.79</v>
      </c>
      <c r="BM182" s="5">
        <v>2.7</v>
      </c>
      <c r="BN182" s="5">
        <v>29.87</v>
      </c>
      <c r="BO182" s="5">
        <v>34.14</v>
      </c>
      <c r="BP182" s="5">
        <v>718.74</v>
      </c>
      <c r="BQ182" s="5">
        <v>67.535359999999997</v>
      </c>
      <c r="BR182" s="5">
        <v>449.27010000000001</v>
      </c>
      <c r="BS182" s="5">
        <v>55.204560000000001</v>
      </c>
      <c r="BT182" s="5">
        <v>78.049270000000007</v>
      </c>
      <c r="BU182" s="5">
        <v>73.983379999999997</v>
      </c>
      <c r="BV182" s="5">
        <v>9.3413999999999997E-2</v>
      </c>
      <c r="BW182" s="5">
        <v>6.3367000000000007E-2</v>
      </c>
      <c r="BX182" s="5">
        <v>54.937710000000003</v>
      </c>
      <c r="BY182" s="5">
        <v>18.995360000000002</v>
      </c>
      <c r="BZ182" s="5">
        <v>0</v>
      </c>
      <c r="CA182" s="5">
        <v>0.93076400000000004</v>
      </c>
      <c r="CB182" s="5">
        <v>918.41110000000003</v>
      </c>
      <c r="CC182" s="5">
        <v>934.76329999999996</v>
      </c>
      <c r="CD182" s="5">
        <v>61.937710000000003</v>
      </c>
      <c r="CE182" s="5">
        <v>401.19</v>
      </c>
      <c r="CF182" s="5">
        <v>94.37</v>
      </c>
      <c r="CG182" s="5">
        <v>109.36</v>
      </c>
      <c r="CH182" s="5">
        <v>399.53</v>
      </c>
      <c r="CI182" s="5">
        <v>393.19</v>
      </c>
      <c r="CJ182" s="5">
        <v>402.3</v>
      </c>
      <c r="CK182" s="5">
        <v>422.88</v>
      </c>
      <c r="CL182" s="5">
        <v>409.13</v>
      </c>
      <c r="CM182" s="5">
        <v>413.97</v>
      </c>
      <c r="CN182" s="5">
        <v>277.74</v>
      </c>
      <c r="CO182" s="5">
        <v>29.78</v>
      </c>
      <c r="CP182" s="5">
        <v>323.2</v>
      </c>
      <c r="CQ182" s="5">
        <v>325.05</v>
      </c>
      <c r="CR182" s="5">
        <v>5.8</v>
      </c>
      <c r="CS182" s="5">
        <v>5.8</v>
      </c>
      <c r="CT182" s="5">
        <v>26.43</v>
      </c>
      <c r="CU182" s="5">
        <v>26.58</v>
      </c>
      <c r="CV182" s="5">
        <v>101.36</v>
      </c>
      <c r="CW182" s="5">
        <v>0.87716398799999995</v>
      </c>
      <c r="CX182" s="5">
        <v>3.3946246335599999</v>
      </c>
    </row>
    <row r="183" spans="1:102" x14ac:dyDescent="0.25">
      <c r="A183" s="5">
        <v>23</v>
      </c>
      <c r="B183" s="23">
        <v>3.733101851851852E-2</v>
      </c>
      <c r="C183" s="5">
        <v>6</v>
      </c>
      <c r="D183" s="5">
        <v>16</v>
      </c>
      <c r="E183" s="5">
        <v>250</v>
      </c>
      <c r="F183" s="5">
        <v>250</v>
      </c>
      <c r="G183" s="5">
        <v>250</v>
      </c>
      <c r="H183" s="5">
        <v>91.7</v>
      </c>
      <c r="I183" s="5">
        <v>91.7</v>
      </c>
      <c r="J183" s="5">
        <v>1800</v>
      </c>
      <c r="K183" s="5">
        <v>19</v>
      </c>
      <c r="L183" s="5">
        <v>19</v>
      </c>
      <c r="M183" s="5">
        <v>0.16</v>
      </c>
      <c r="N183" s="5">
        <v>0.15997600000000001</v>
      </c>
      <c r="O183" s="5">
        <v>1</v>
      </c>
      <c r="P183" s="5">
        <v>1.069472</v>
      </c>
      <c r="Q183" s="5">
        <v>-3.23</v>
      </c>
      <c r="R183" s="5">
        <v>-3.2299799999999999</v>
      </c>
      <c r="S183" s="5">
        <v>122.76</v>
      </c>
      <c r="T183" s="5">
        <v>122.76560000000001</v>
      </c>
      <c r="U183" s="5">
        <v>3.5</v>
      </c>
      <c r="V183" s="5">
        <v>3.5</v>
      </c>
      <c r="W183" s="5">
        <v>300</v>
      </c>
      <c r="X183" s="5">
        <v>300</v>
      </c>
      <c r="Y183" s="5">
        <v>3.5</v>
      </c>
      <c r="Z183" s="5">
        <v>3.5</v>
      </c>
      <c r="AA183" s="5">
        <v>300</v>
      </c>
      <c r="AB183" s="5">
        <v>300</v>
      </c>
      <c r="AC183" s="5">
        <v>0</v>
      </c>
      <c r="AD183" s="5">
        <v>86.118229999999997</v>
      </c>
      <c r="AE183" s="5">
        <v>0</v>
      </c>
      <c r="AF183" s="5">
        <v>86.11833</v>
      </c>
      <c r="AG183" s="5">
        <v>39</v>
      </c>
      <c r="AH183" s="5">
        <v>0.17</v>
      </c>
      <c r="AI183" s="5">
        <v>48.32</v>
      </c>
      <c r="AJ183" s="5">
        <v>65.58</v>
      </c>
      <c r="AK183" s="5">
        <v>43.97</v>
      </c>
      <c r="AL183" s="5">
        <v>45.11</v>
      </c>
      <c r="AM183" s="5">
        <v>422.97</v>
      </c>
      <c r="AN183" s="5">
        <v>124.0608</v>
      </c>
      <c r="AO183" s="5">
        <v>21.26</v>
      </c>
      <c r="AP183" s="5">
        <v>61.85</v>
      </c>
      <c r="AQ183" s="5">
        <v>32.6</v>
      </c>
      <c r="AR183" s="5">
        <v>386.18</v>
      </c>
      <c r="AS183" s="5">
        <v>22.72</v>
      </c>
      <c r="AT183" s="5">
        <v>48.02</v>
      </c>
      <c r="AU183" s="5">
        <v>96.85</v>
      </c>
      <c r="AV183" s="5">
        <v>113.58</v>
      </c>
      <c r="AW183" s="5">
        <v>0.39900000000000002</v>
      </c>
      <c r="AX183" s="5">
        <v>5.92</v>
      </c>
      <c r="AY183" s="5">
        <v>10000000000</v>
      </c>
      <c r="AZ183" s="5">
        <v>204.54</v>
      </c>
      <c r="BA183" s="5">
        <v>90.6</v>
      </c>
      <c r="BB183" s="5">
        <v>6.75</v>
      </c>
      <c r="BC183" s="5">
        <v>0.91</v>
      </c>
      <c r="BD183" s="5">
        <v>11.35</v>
      </c>
      <c r="BE183" s="5">
        <v>2.93</v>
      </c>
      <c r="BF183" s="5">
        <v>265.17</v>
      </c>
      <c r="BG183" s="5">
        <v>13.52</v>
      </c>
      <c r="BH183" s="5">
        <v>10000000000</v>
      </c>
      <c r="BI183" s="5">
        <v>254.7</v>
      </c>
      <c r="BJ183" s="5">
        <v>32.200000000000003</v>
      </c>
      <c r="BK183" s="5">
        <v>86</v>
      </c>
      <c r="BL183" s="5">
        <v>60.37</v>
      </c>
      <c r="BM183" s="5">
        <v>1.37</v>
      </c>
      <c r="BN183" s="5">
        <v>29.8</v>
      </c>
      <c r="BO183" s="5">
        <v>35.119999999999997</v>
      </c>
      <c r="BP183" s="5">
        <v>398.09</v>
      </c>
      <c r="BQ183" s="5">
        <v>49.901150000000001</v>
      </c>
      <c r="BR183" s="5">
        <v>144.75839999999999</v>
      </c>
      <c r="BS183" s="5">
        <v>85.194670000000002</v>
      </c>
      <c r="BT183" s="5">
        <v>65.608069999999998</v>
      </c>
      <c r="BU183" s="5">
        <v>64.905879999999996</v>
      </c>
      <c r="BV183" s="5">
        <v>2.0140999999999999E-2</v>
      </c>
      <c r="BW183" s="5">
        <v>2.3224000000000002E-2</v>
      </c>
      <c r="BX183" s="5">
        <v>33.04318</v>
      </c>
      <c r="BY183" s="5">
        <v>18.995360000000002</v>
      </c>
      <c r="BZ183" s="5">
        <v>0</v>
      </c>
      <c r="CA183" s="5">
        <v>0.93508999999999998</v>
      </c>
      <c r="CB183" s="5">
        <v>471.8904</v>
      </c>
      <c r="CC183" s="5">
        <v>482.42169999999999</v>
      </c>
      <c r="CD183" s="5">
        <v>40.04589</v>
      </c>
      <c r="CE183" s="5">
        <v>393.08</v>
      </c>
      <c r="CF183" s="5">
        <v>73.959999999999994</v>
      </c>
      <c r="CG183" s="5">
        <v>87.16</v>
      </c>
      <c r="CH183" s="5">
        <v>368.08</v>
      </c>
      <c r="CI183" s="5">
        <v>368.69</v>
      </c>
      <c r="CJ183" s="5">
        <v>379.23</v>
      </c>
      <c r="CK183" s="5">
        <v>411.08</v>
      </c>
      <c r="CL183" s="5">
        <v>396.22</v>
      </c>
      <c r="CM183" s="5">
        <v>396.48</v>
      </c>
      <c r="CN183" s="5">
        <v>360.2</v>
      </c>
      <c r="CO183" s="5">
        <v>25.48</v>
      </c>
      <c r="CP183" s="5">
        <v>249.1</v>
      </c>
      <c r="CQ183" s="5">
        <v>250.05</v>
      </c>
      <c r="CR183" s="5">
        <v>4.5</v>
      </c>
      <c r="CS183" s="5">
        <v>4.5</v>
      </c>
      <c r="CT183" s="5">
        <v>23.86</v>
      </c>
      <c r="CU183" s="5">
        <v>17.09</v>
      </c>
      <c r="CV183" s="5">
        <v>101.52</v>
      </c>
      <c r="CW183" s="5">
        <v>0.83058208</v>
      </c>
      <c r="CX183" s="5">
        <v>2.4336054944000001</v>
      </c>
    </row>
    <row r="184" spans="1:102" x14ac:dyDescent="0.25">
      <c r="A184" s="5">
        <v>27</v>
      </c>
      <c r="B184" s="23">
        <v>2.1334490740740741E-2</v>
      </c>
      <c r="C184" s="5">
        <v>6</v>
      </c>
      <c r="D184" s="5">
        <v>21</v>
      </c>
      <c r="E184" s="5">
        <v>269</v>
      </c>
      <c r="F184" s="5">
        <v>269</v>
      </c>
      <c r="G184" s="5">
        <v>269</v>
      </c>
      <c r="H184" s="5">
        <v>91.7</v>
      </c>
      <c r="I184" s="5">
        <v>91.7</v>
      </c>
      <c r="J184" s="5">
        <v>1800</v>
      </c>
      <c r="K184" s="5">
        <v>72</v>
      </c>
      <c r="L184" s="5">
        <v>72</v>
      </c>
      <c r="M184" s="5">
        <v>0.1</v>
      </c>
      <c r="N184" s="5">
        <v>9.9975999999999995E-2</v>
      </c>
      <c r="O184" s="5">
        <v>1</v>
      </c>
      <c r="P184" s="5">
        <v>1.0696049999999999</v>
      </c>
      <c r="Q184" s="5">
        <v>-3.66</v>
      </c>
      <c r="R184" s="5">
        <v>-3.6584469999999998</v>
      </c>
      <c r="S184" s="5">
        <v>125.22</v>
      </c>
      <c r="T184" s="5">
        <v>125.2188</v>
      </c>
      <c r="U184" s="5">
        <v>3.5</v>
      </c>
      <c r="V184" s="5">
        <v>3.5</v>
      </c>
      <c r="W184" s="5">
        <v>300</v>
      </c>
      <c r="X184" s="5">
        <v>300</v>
      </c>
      <c r="Y184" s="5">
        <v>3.5</v>
      </c>
      <c r="Z184" s="5">
        <v>3.5</v>
      </c>
      <c r="AA184" s="5">
        <v>300</v>
      </c>
      <c r="AB184" s="5">
        <v>300</v>
      </c>
      <c r="AC184" s="5">
        <v>0</v>
      </c>
      <c r="AD184" s="5">
        <v>152.8229</v>
      </c>
      <c r="AE184" s="5">
        <v>0</v>
      </c>
      <c r="AF184" s="5">
        <v>142.5652</v>
      </c>
      <c r="AG184" s="5">
        <v>39</v>
      </c>
      <c r="AH184" s="5">
        <v>0.17</v>
      </c>
      <c r="AI184" s="5">
        <v>86.1</v>
      </c>
      <c r="AJ184" s="5">
        <v>117.24</v>
      </c>
      <c r="AK184" s="5">
        <v>313.83</v>
      </c>
      <c r="AL184" s="5">
        <v>314.73</v>
      </c>
      <c r="AM184" s="5">
        <v>416.54</v>
      </c>
      <c r="AN184" s="5">
        <v>232.90020000000001</v>
      </c>
      <c r="AO184" s="5">
        <v>131.72999999999999</v>
      </c>
      <c r="AP184" s="5">
        <v>148.13</v>
      </c>
      <c r="AQ184" s="5">
        <v>149.78</v>
      </c>
      <c r="AR184" s="5">
        <v>638.04</v>
      </c>
      <c r="AS184" s="5">
        <v>182.14</v>
      </c>
      <c r="AT184" s="5">
        <v>66.489999999999995</v>
      </c>
      <c r="AU184" s="5">
        <v>111.76</v>
      </c>
      <c r="AV184" s="5">
        <v>118.34</v>
      </c>
      <c r="AW184" s="5">
        <v>0.14299999999999999</v>
      </c>
      <c r="AX184" s="5">
        <v>1.97</v>
      </c>
      <c r="AY184" s="5">
        <v>10000000000</v>
      </c>
      <c r="AZ184" s="5">
        <v>88.21</v>
      </c>
      <c r="BA184" s="5">
        <v>48.89</v>
      </c>
      <c r="BB184" s="5">
        <v>5.41</v>
      </c>
      <c r="BC184" s="5">
        <v>0.97</v>
      </c>
      <c r="BD184" s="5">
        <v>13.16</v>
      </c>
      <c r="BE184" s="5">
        <v>4.07</v>
      </c>
      <c r="BF184" s="5">
        <v>232.31</v>
      </c>
      <c r="BG184" s="5">
        <v>17.940000000000001</v>
      </c>
      <c r="BH184" s="5">
        <v>10000000000</v>
      </c>
      <c r="BI184" s="5">
        <v>312.60000000000002</v>
      </c>
      <c r="BJ184" s="5">
        <v>40.299999999999997</v>
      </c>
      <c r="BK184" s="5">
        <v>83.3</v>
      </c>
      <c r="BL184" s="5">
        <v>139.57</v>
      </c>
      <c r="BM184" s="5">
        <v>2.4700000000000002</v>
      </c>
      <c r="BN184" s="5">
        <v>29.86</v>
      </c>
      <c r="BO184" s="5">
        <v>33.909999999999997</v>
      </c>
      <c r="BP184" s="5">
        <v>654.35</v>
      </c>
      <c r="BQ184" s="5">
        <v>66.656930000000003</v>
      </c>
      <c r="BR184" s="5">
        <v>414.7405</v>
      </c>
      <c r="BS184" s="5">
        <v>59.945630000000001</v>
      </c>
      <c r="BT184" s="5">
        <v>85.020229999999998</v>
      </c>
      <c r="BU184" s="5">
        <v>81.104290000000006</v>
      </c>
      <c r="BV184" s="5">
        <v>7.2857000000000005E-2</v>
      </c>
      <c r="BW184" s="5">
        <v>4.8953999999999998E-2</v>
      </c>
      <c r="BX184" s="5">
        <v>46.056719999999999</v>
      </c>
      <c r="BY184" s="5">
        <v>18.995360000000002</v>
      </c>
      <c r="BZ184" s="5">
        <v>0</v>
      </c>
      <c r="CA184" s="5">
        <v>0.93226299999999995</v>
      </c>
      <c r="CB184" s="5">
        <v>839.59249999999997</v>
      </c>
      <c r="CC184" s="5">
        <v>853.49210000000005</v>
      </c>
      <c r="CD184" s="5">
        <v>53.057189999999999</v>
      </c>
      <c r="CE184" s="5">
        <v>390.03</v>
      </c>
      <c r="CF184" s="5">
        <v>90.99</v>
      </c>
      <c r="CG184" s="5">
        <v>105.19</v>
      </c>
      <c r="CH184" s="5">
        <v>377.57</v>
      </c>
      <c r="CI184" s="5">
        <v>375.16</v>
      </c>
      <c r="CJ184" s="5">
        <v>381.74</v>
      </c>
      <c r="CK184" s="5">
        <v>409.48</v>
      </c>
      <c r="CL184" s="5">
        <v>394.31</v>
      </c>
      <c r="CM184" s="5">
        <v>396.46</v>
      </c>
      <c r="CN184" s="5">
        <v>272.22000000000003</v>
      </c>
      <c r="CO184" s="5">
        <v>28.48</v>
      </c>
      <c r="CP184" s="5">
        <v>268</v>
      </c>
      <c r="CQ184" s="5">
        <v>269.05</v>
      </c>
      <c r="CR184" s="5">
        <v>4.8</v>
      </c>
      <c r="CS184" s="5">
        <v>4.8</v>
      </c>
      <c r="CT184" s="5">
        <v>24.23</v>
      </c>
      <c r="CU184" s="5">
        <v>18.18</v>
      </c>
      <c r="CV184" s="5">
        <v>101.48</v>
      </c>
      <c r="CW184" s="5">
        <v>0.84523906999999998</v>
      </c>
      <c r="CX184" s="5">
        <v>3.4401230149000002</v>
      </c>
    </row>
    <row r="185" spans="1:102" x14ac:dyDescent="0.25">
      <c r="A185" s="5">
        <v>7</v>
      </c>
      <c r="B185" s="23">
        <v>41401.443913263887</v>
      </c>
      <c r="C185" s="5">
        <v>6</v>
      </c>
      <c r="D185" s="5">
        <v>17</v>
      </c>
      <c r="E185" s="5">
        <v>255</v>
      </c>
      <c r="F185" s="5">
        <v>255</v>
      </c>
      <c r="G185" s="5">
        <v>255</v>
      </c>
      <c r="H185" s="5">
        <v>91.7</v>
      </c>
      <c r="I185" s="5">
        <v>91.7</v>
      </c>
      <c r="J185" s="5">
        <v>1800</v>
      </c>
      <c r="K185" s="5">
        <v>70</v>
      </c>
      <c r="L185" s="5">
        <v>70</v>
      </c>
      <c r="M185" s="5">
        <v>0.28000000000000003</v>
      </c>
      <c r="N185" s="5">
        <v>0.28005400000000003</v>
      </c>
      <c r="O185" s="5">
        <v>1</v>
      </c>
      <c r="P185" s="5">
        <v>1.068908</v>
      </c>
      <c r="Q185" s="5">
        <v>-3.34</v>
      </c>
      <c r="R185" s="5">
        <v>-3.3398439999999998</v>
      </c>
      <c r="S185" s="5">
        <v>123.41</v>
      </c>
      <c r="T185" s="5">
        <v>123.4063</v>
      </c>
      <c r="U185" s="5">
        <v>3.5</v>
      </c>
      <c r="V185" s="5">
        <v>3.5</v>
      </c>
      <c r="W185" s="5">
        <v>300</v>
      </c>
      <c r="X185" s="5">
        <v>300</v>
      </c>
      <c r="Y185" s="5">
        <v>3.5</v>
      </c>
      <c r="Z185" s="5">
        <v>3.5</v>
      </c>
      <c r="AA185" s="5">
        <v>300</v>
      </c>
      <c r="AB185" s="5">
        <v>300</v>
      </c>
      <c r="AC185" s="5">
        <v>0</v>
      </c>
      <c r="AD185" s="5">
        <v>108.3105</v>
      </c>
      <c r="AE185" s="5">
        <v>0</v>
      </c>
      <c r="AF185" s="5">
        <v>108.3105</v>
      </c>
      <c r="AG185" s="5">
        <v>39</v>
      </c>
      <c r="AH185" s="5">
        <v>0.17</v>
      </c>
      <c r="AI185" s="5">
        <v>63.41</v>
      </c>
      <c r="AJ185" s="5">
        <v>86.86</v>
      </c>
      <c r="AK185" s="5">
        <v>144.11000000000001</v>
      </c>
      <c r="AL185" s="5">
        <v>141.16</v>
      </c>
      <c r="AM185" s="5">
        <v>415.71</v>
      </c>
      <c r="AN185" s="5">
        <v>170.63669999999999</v>
      </c>
      <c r="AO185" s="5">
        <v>71.12</v>
      </c>
      <c r="AP185" s="5">
        <v>97.83</v>
      </c>
      <c r="AQ185" s="5">
        <v>80.83</v>
      </c>
      <c r="AR185" s="5">
        <v>369.19</v>
      </c>
      <c r="AS185" s="5">
        <v>72.98</v>
      </c>
      <c r="AT185" s="5">
        <v>79.900000000000006</v>
      </c>
      <c r="AU185" s="5">
        <v>126.94</v>
      </c>
      <c r="AV185" s="5">
        <v>111.76</v>
      </c>
      <c r="AW185" s="5">
        <v>1.829</v>
      </c>
      <c r="AX185" s="5">
        <v>42.08</v>
      </c>
      <c r="AY185" s="5">
        <v>10000000000</v>
      </c>
      <c r="AZ185" s="5">
        <v>380.6</v>
      </c>
      <c r="BA185" s="5">
        <v>124.14</v>
      </c>
      <c r="BB185" s="5">
        <v>7.94</v>
      </c>
      <c r="BC185" s="5">
        <v>2.94</v>
      </c>
      <c r="BD185" s="5">
        <v>9.5500000000000007</v>
      </c>
      <c r="BE185" s="5">
        <v>0.69</v>
      </c>
      <c r="BF185" s="5">
        <v>67.790000000000006</v>
      </c>
      <c r="BG185" s="5">
        <v>37.07</v>
      </c>
      <c r="BH185" s="5">
        <v>10000000000</v>
      </c>
      <c r="BI185" s="5">
        <v>279.2</v>
      </c>
      <c r="BJ185" s="5">
        <v>27.5</v>
      </c>
      <c r="BK185" s="5">
        <v>83.5</v>
      </c>
      <c r="BL185" s="5">
        <v>217.28</v>
      </c>
      <c r="BM185" s="5">
        <v>1.85</v>
      </c>
      <c r="BN185" s="5">
        <v>31.63</v>
      </c>
      <c r="BO185" s="5">
        <v>36.130000000000003</v>
      </c>
      <c r="BP185" s="5">
        <v>382.33</v>
      </c>
      <c r="BQ185" s="5">
        <v>77.146559999999994</v>
      </c>
      <c r="BR185" s="5">
        <v>231.5557</v>
      </c>
      <c r="BS185" s="5">
        <v>76.495739999999998</v>
      </c>
      <c r="BT185" s="5">
        <v>74.829669999999993</v>
      </c>
      <c r="BU185" s="5">
        <v>73.804919999999996</v>
      </c>
      <c r="BV185" s="5">
        <v>3.4901000000000001E-2</v>
      </c>
      <c r="BW185" s="5">
        <v>3.4421E-2</v>
      </c>
      <c r="BX185" s="5">
        <v>36.714120000000001</v>
      </c>
      <c r="BY185" s="5">
        <v>18.995360000000002</v>
      </c>
      <c r="BZ185" s="5">
        <v>0</v>
      </c>
      <c r="CA185" s="5">
        <v>0.93429799999999996</v>
      </c>
      <c r="CB185" s="5">
        <v>598.12310000000002</v>
      </c>
      <c r="CC185" s="5">
        <v>609.63189999999997</v>
      </c>
      <c r="CD185" s="5">
        <v>43.714579999999998</v>
      </c>
      <c r="CE185" s="5">
        <v>418.35</v>
      </c>
      <c r="CF185" s="5">
        <v>104.56</v>
      </c>
      <c r="CG185" s="5">
        <v>122.57</v>
      </c>
      <c r="CH185" s="5">
        <v>396.93</v>
      </c>
      <c r="CI185" s="5">
        <v>383.19</v>
      </c>
      <c r="CJ185" s="5">
        <v>395.38</v>
      </c>
      <c r="CK185" s="5">
        <v>410.85</v>
      </c>
      <c r="CL185" s="5">
        <v>407.51</v>
      </c>
      <c r="CM185" s="5">
        <v>412.22</v>
      </c>
      <c r="CN185" s="5">
        <v>311.83999999999997</v>
      </c>
      <c r="CO185" s="5">
        <v>26.96</v>
      </c>
      <c r="CP185" s="5">
        <v>254.2</v>
      </c>
      <c r="CQ185" s="5">
        <v>255.05</v>
      </c>
      <c r="CR185" s="5">
        <v>4.5999999999999996</v>
      </c>
      <c r="CS185" s="5">
        <v>4.5999999999999996</v>
      </c>
      <c r="CT185" s="5">
        <v>25.16</v>
      </c>
      <c r="CU185" s="5">
        <v>40.54</v>
      </c>
      <c r="CV185" s="5">
        <v>100.87</v>
      </c>
      <c r="CW185" s="5">
        <v>0.88109710399138885</v>
      </c>
      <c r="CX185" s="5">
        <v>0.60795700175405831</v>
      </c>
    </row>
    <row r="186" spans="1:102" x14ac:dyDescent="0.25">
      <c r="A186" s="5">
        <v>24</v>
      </c>
      <c r="B186" s="23">
        <v>5.0682870370370369E-3</v>
      </c>
      <c r="C186" s="5">
        <v>6</v>
      </c>
      <c r="D186" s="5">
        <v>18</v>
      </c>
      <c r="E186" s="5">
        <v>260</v>
      </c>
      <c r="F186" s="5">
        <v>260</v>
      </c>
      <c r="G186" s="5">
        <v>260</v>
      </c>
      <c r="H186" s="5">
        <v>91.7</v>
      </c>
      <c r="I186" s="5">
        <v>91.7</v>
      </c>
      <c r="J186" s="5">
        <v>1800</v>
      </c>
      <c r="K186" s="5">
        <v>2</v>
      </c>
      <c r="L186" s="5">
        <v>2</v>
      </c>
      <c r="M186" s="5">
        <v>0.28000000000000003</v>
      </c>
      <c r="N186" s="5">
        <v>0.28005200000000002</v>
      </c>
      <c r="O186" s="5">
        <v>1</v>
      </c>
      <c r="P186" s="5">
        <v>1.069456</v>
      </c>
      <c r="Q186" s="5">
        <v>-3.46</v>
      </c>
      <c r="R186" s="5">
        <v>-3.460693</v>
      </c>
      <c r="S186" s="5">
        <v>124.05</v>
      </c>
      <c r="T186" s="5">
        <v>124.04689999999999</v>
      </c>
      <c r="U186" s="5">
        <v>3.5</v>
      </c>
      <c r="V186" s="5">
        <v>3.5</v>
      </c>
      <c r="W186" s="5">
        <v>300</v>
      </c>
      <c r="X186" s="5">
        <v>300</v>
      </c>
      <c r="Y186" s="5">
        <v>3.5</v>
      </c>
      <c r="Z186" s="5">
        <v>3.5</v>
      </c>
      <c r="AA186" s="5">
        <v>300</v>
      </c>
      <c r="AB186" s="5">
        <v>300</v>
      </c>
      <c r="AC186" s="5">
        <v>0</v>
      </c>
      <c r="AD186" s="5">
        <v>77.403019999999998</v>
      </c>
      <c r="AE186" s="5">
        <v>0</v>
      </c>
      <c r="AF186" s="5">
        <v>83.976039999999998</v>
      </c>
      <c r="AG186" s="5">
        <v>39</v>
      </c>
      <c r="AH186" s="5">
        <v>0.17</v>
      </c>
      <c r="AI186" s="5">
        <v>44.43</v>
      </c>
      <c r="AJ186" s="5">
        <v>55.96</v>
      </c>
      <c r="AK186" s="5">
        <v>30.87</v>
      </c>
      <c r="AL186" s="5">
        <v>31.21</v>
      </c>
      <c r="AM186" s="5">
        <v>478.43</v>
      </c>
      <c r="AN186" s="5">
        <v>114.6082</v>
      </c>
      <c r="AO186" s="5">
        <v>12.67</v>
      </c>
      <c r="AP186" s="5">
        <v>55.65</v>
      </c>
      <c r="AQ186" s="5">
        <v>22.32</v>
      </c>
      <c r="AR186" s="5">
        <v>327.33999999999997</v>
      </c>
      <c r="AS186" s="5">
        <v>18.22</v>
      </c>
      <c r="AT186" s="5">
        <v>58.31</v>
      </c>
      <c r="AU186" s="5">
        <v>101.05</v>
      </c>
      <c r="AV186" s="5">
        <v>113.28</v>
      </c>
      <c r="AW186" s="5">
        <v>0.93200000000000005</v>
      </c>
      <c r="AX186" s="5">
        <v>16.3</v>
      </c>
      <c r="AY186" s="5">
        <v>10000000000</v>
      </c>
      <c r="AZ186" s="5">
        <v>282.61</v>
      </c>
      <c r="BA186" s="5">
        <v>95.41</v>
      </c>
      <c r="BB186" s="5">
        <v>8.2899999999999991</v>
      </c>
      <c r="BC186" s="5">
        <v>1.57</v>
      </c>
      <c r="BD186" s="5">
        <v>9.09</v>
      </c>
      <c r="BE186" s="5">
        <v>1.67</v>
      </c>
      <c r="BF186" s="5">
        <v>191.15</v>
      </c>
      <c r="BG186" s="5">
        <v>18.88</v>
      </c>
      <c r="BH186" s="5">
        <v>10000000000</v>
      </c>
      <c r="BI186" s="5">
        <v>257.10000000000002</v>
      </c>
      <c r="BJ186" s="5">
        <v>26</v>
      </c>
      <c r="BK186" s="5">
        <v>84.6</v>
      </c>
      <c r="BL186" s="5">
        <v>76.209999999999994</v>
      </c>
      <c r="BM186" s="5">
        <v>1.26</v>
      </c>
      <c r="BN186" s="5">
        <v>30.4</v>
      </c>
      <c r="BO186" s="5">
        <v>36.53</v>
      </c>
      <c r="BP186" s="5">
        <v>340.09</v>
      </c>
      <c r="BQ186" s="5">
        <v>59.504629999999999</v>
      </c>
      <c r="BR186" s="5">
        <v>129.25980000000001</v>
      </c>
      <c r="BS186" s="5">
        <v>79.680149999999998</v>
      </c>
      <c r="BT186" s="5">
        <v>56.747169999999997</v>
      </c>
      <c r="BU186" s="5">
        <v>59.745469999999997</v>
      </c>
      <c r="BV186" s="5">
        <v>2.9510000000000002E-2</v>
      </c>
      <c r="BW186" s="5">
        <v>9.2519999999999998E-3</v>
      </c>
      <c r="BX186" s="5">
        <v>35.375779999999999</v>
      </c>
      <c r="BY186" s="5">
        <v>18.995360000000002</v>
      </c>
      <c r="BZ186" s="5">
        <v>0</v>
      </c>
      <c r="CA186" s="5">
        <v>0.93459899999999996</v>
      </c>
      <c r="CB186" s="5">
        <v>423.12900000000002</v>
      </c>
      <c r="CC186" s="5">
        <v>434.28629999999998</v>
      </c>
      <c r="CD186" s="5">
        <v>42.375779999999999</v>
      </c>
      <c r="CE186" s="5">
        <v>453.21</v>
      </c>
      <c r="CF186" s="5">
        <v>82.47</v>
      </c>
      <c r="CG186" s="5">
        <v>94.15</v>
      </c>
      <c r="CH186" s="5">
        <v>400.89</v>
      </c>
      <c r="CI186" s="5">
        <v>406.5</v>
      </c>
      <c r="CJ186" s="5">
        <v>422.61</v>
      </c>
      <c r="CK186" s="5">
        <v>465.13</v>
      </c>
      <c r="CL186" s="5">
        <v>444.34</v>
      </c>
      <c r="CM186" s="5">
        <v>444.68</v>
      </c>
      <c r="CN186" s="5">
        <v>413.31</v>
      </c>
      <c r="CO186" s="5">
        <v>26.61</v>
      </c>
      <c r="CP186" s="5">
        <v>259.39999999999998</v>
      </c>
      <c r="CQ186" s="5">
        <v>260.05</v>
      </c>
      <c r="CR186" s="5">
        <v>4.5999999999999996</v>
      </c>
      <c r="CS186" s="5">
        <v>4.7</v>
      </c>
      <c r="CT186" s="5">
        <v>23.36</v>
      </c>
      <c r="CU186" s="5">
        <v>15.58</v>
      </c>
      <c r="CV186" s="5">
        <v>101.51</v>
      </c>
      <c r="CW186" s="5">
        <v>0.814396071</v>
      </c>
      <c r="CX186" s="5">
        <v>1.3600414385699999</v>
      </c>
    </row>
    <row r="187" spans="1:102" x14ac:dyDescent="0.25">
      <c r="A187" s="5">
        <v>44</v>
      </c>
      <c r="B187" s="23">
        <v>4.2476851851851855E-4</v>
      </c>
      <c r="C187" s="5">
        <v>6</v>
      </c>
      <c r="D187" s="5">
        <v>37</v>
      </c>
      <c r="E187" s="5">
        <v>321</v>
      </c>
      <c r="F187" s="5">
        <v>321</v>
      </c>
      <c r="G187" s="5">
        <v>321</v>
      </c>
      <c r="H187" s="5">
        <v>91.7</v>
      </c>
      <c r="I187" s="5">
        <v>91.7</v>
      </c>
      <c r="J187" s="5">
        <v>1800</v>
      </c>
      <c r="K187" s="5">
        <v>59</v>
      </c>
      <c r="L187" s="5">
        <v>59</v>
      </c>
      <c r="M187" s="5">
        <v>0.27</v>
      </c>
      <c r="N187" s="5">
        <v>0.270065</v>
      </c>
      <c r="O187" s="5">
        <v>1</v>
      </c>
      <c r="P187" s="5">
        <v>1.069474</v>
      </c>
      <c r="Q187" s="5">
        <v>-4.33</v>
      </c>
      <c r="R187" s="5">
        <v>-4.3286129999999998</v>
      </c>
      <c r="S187" s="5">
        <v>133.07</v>
      </c>
      <c r="T187" s="5">
        <v>133.0625</v>
      </c>
      <c r="U187" s="5">
        <v>3.5</v>
      </c>
      <c r="V187" s="5">
        <v>3.5</v>
      </c>
      <c r="W187" s="5">
        <v>300</v>
      </c>
      <c r="X187" s="5">
        <v>300</v>
      </c>
      <c r="Y187" s="5">
        <v>3.5</v>
      </c>
      <c r="Z187" s="5">
        <v>3.5</v>
      </c>
      <c r="AA187" s="5">
        <v>300</v>
      </c>
      <c r="AB187" s="5">
        <v>300</v>
      </c>
      <c r="AC187" s="5">
        <v>0</v>
      </c>
      <c r="AD187" s="5">
        <v>116.2968</v>
      </c>
      <c r="AE187" s="5">
        <v>0</v>
      </c>
      <c r="AF187" s="5">
        <v>116.2968</v>
      </c>
      <c r="AG187" s="5">
        <v>39</v>
      </c>
      <c r="AH187" s="5">
        <v>0.17</v>
      </c>
      <c r="AI187" s="5">
        <v>67.819999999999993</v>
      </c>
      <c r="AJ187" s="5">
        <v>93.02</v>
      </c>
      <c r="AK187" s="5">
        <v>132.29</v>
      </c>
      <c r="AL187" s="5">
        <v>131.03</v>
      </c>
      <c r="AM187" s="5">
        <v>433.47</v>
      </c>
      <c r="AN187" s="5">
        <v>180.94919999999999</v>
      </c>
      <c r="AO187" s="5">
        <v>79.72</v>
      </c>
      <c r="AP187" s="5">
        <v>103.06</v>
      </c>
      <c r="AQ187" s="5">
        <v>92.36</v>
      </c>
      <c r="AR187" s="5">
        <v>433.44</v>
      </c>
      <c r="AS187" s="5">
        <v>52.57</v>
      </c>
      <c r="AT187" s="5">
        <v>73.73</v>
      </c>
      <c r="AU187" s="5">
        <v>125.72</v>
      </c>
      <c r="AV187" s="5">
        <v>116.14</v>
      </c>
      <c r="AW187" s="5">
        <v>0.81799999999999995</v>
      </c>
      <c r="AX187" s="5">
        <v>13.8</v>
      </c>
      <c r="AY187" s="5">
        <v>10000000000</v>
      </c>
      <c r="AZ187" s="5">
        <v>270.06</v>
      </c>
      <c r="BA187" s="5">
        <v>95.26</v>
      </c>
      <c r="BB187" s="5">
        <v>7.54</v>
      </c>
      <c r="BC187" s="5">
        <v>2.2000000000000002</v>
      </c>
      <c r="BD187" s="5">
        <v>9.2799999999999994</v>
      </c>
      <c r="BE187" s="5">
        <v>1.1399999999999999</v>
      </c>
      <c r="BF187" s="5">
        <v>120.65</v>
      </c>
      <c r="BG187" s="5">
        <v>29.23</v>
      </c>
      <c r="BH187" s="5">
        <v>10000000000</v>
      </c>
      <c r="BI187" s="5">
        <v>256</v>
      </c>
      <c r="BJ187" s="5">
        <v>28</v>
      </c>
      <c r="BK187" s="5">
        <v>83</v>
      </c>
      <c r="BL187" s="5">
        <v>179.1</v>
      </c>
      <c r="BM187" s="5">
        <v>1.95</v>
      </c>
      <c r="BN187" s="5">
        <v>31.03</v>
      </c>
      <c r="BO187" s="5">
        <v>36.01</v>
      </c>
      <c r="BP187" s="5">
        <v>449.03</v>
      </c>
      <c r="BQ187" s="5">
        <v>72.057550000000006</v>
      </c>
      <c r="BR187" s="5">
        <v>224.3279</v>
      </c>
      <c r="BS187" s="5">
        <v>59.851640000000003</v>
      </c>
      <c r="BT187" s="5">
        <v>62.887920000000001</v>
      </c>
      <c r="BU187" s="5">
        <v>61.744399999999999</v>
      </c>
      <c r="BV187" s="5">
        <v>7.3612999999999998E-2</v>
      </c>
      <c r="BW187" s="5">
        <v>6.9045999999999996E-2</v>
      </c>
      <c r="BX187" s="5">
        <v>46.242660000000001</v>
      </c>
      <c r="BY187" s="5">
        <v>18.995360000000002</v>
      </c>
      <c r="BZ187" s="5">
        <v>0</v>
      </c>
      <c r="CA187" s="5">
        <v>0.93223</v>
      </c>
      <c r="CB187" s="5">
        <v>642.09960000000001</v>
      </c>
      <c r="CC187" s="5">
        <v>656.14149999999995</v>
      </c>
      <c r="CD187" s="5">
        <v>53.242660000000001</v>
      </c>
      <c r="CE187" s="5">
        <v>445.79</v>
      </c>
      <c r="CF187" s="5">
        <v>99.96</v>
      </c>
      <c r="CG187" s="5">
        <v>118.67</v>
      </c>
      <c r="CH187" s="5">
        <v>388.16</v>
      </c>
      <c r="CI187" s="5">
        <v>395.32</v>
      </c>
      <c r="CJ187" s="5">
        <v>403.81</v>
      </c>
      <c r="CK187" s="5">
        <v>434.56</v>
      </c>
      <c r="CL187" s="5">
        <v>432.16</v>
      </c>
      <c r="CM187" s="5">
        <v>433.8</v>
      </c>
      <c r="CN187" s="5">
        <v>324.26</v>
      </c>
      <c r="CO187" s="5">
        <v>25.85</v>
      </c>
      <c r="CP187" s="5">
        <v>319.10000000000002</v>
      </c>
      <c r="CQ187" s="5">
        <v>321.05</v>
      </c>
      <c r="CR187" s="5">
        <v>5.7</v>
      </c>
      <c r="CS187" s="5">
        <v>5.8</v>
      </c>
      <c r="CT187" s="5">
        <v>25.87</v>
      </c>
      <c r="CU187" s="5">
        <v>26.95</v>
      </c>
      <c r="CV187" s="5">
        <v>101.37</v>
      </c>
      <c r="CW187" s="5">
        <v>0.86176549700000005</v>
      </c>
      <c r="CX187" s="5">
        <v>0.98241266657999993</v>
      </c>
    </row>
    <row r="188" spans="1:102" x14ac:dyDescent="0.25">
      <c r="A188" s="5">
        <v>12</v>
      </c>
      <c r="B188" s="23">
        <v>8.9155092592592584E-3</v>
      </c>
      <c r="C188" s="5">
        <v>6</v>
      </c>
      <c r="D188" s="5">
        <v>5</v>
      </c>
      <c r="E188" s="5">
        <v>213</v>
      </c>
      <c r="F188" s="5">
        <v>213</v>
      </c>
      <c r="G188" s="5">
        <v>213</v>
      </c>
      <c r="H188" s="5">
        <v>91.7</v>
      </c>
      <c r="I188" s="5">
        <v>91.7</v>
      </c>
      <c r="J188" s="5">
        <v>1800</v>
      </c>
      <c r="K188" s="5">
        <v>49</v>
      </c>
      <c r="L188" s="5">
        <v>49</v>
      </c>
      <c r="M188" s="5">
        <v>0.26</v>
      </c>
      <c r="N188" s="5">
        <v>0.259963</v>
      </c>
      <c r="O188" s="5">
        <v>1</v>
      </c>
      <c r="P188" s="5">
        <v>1.069477</v>
      </c>
      <c r="Q188" s="5">
        <v>-2.4</v>
      </c>
      <c r="R188" s="5">
        <v>-2.3950200000000001</v>
      </c>
      <c r="S188" s="5">
        <v>117.99</v>
      </c>
      <c r="T188" s="5">
        <v>117.98439999999999</v>
      </c>
      <c r="U188" s="5">
        <v>3.5</v>
      </c>
      <c r="V188" s="5">
        <v>3.5</v>
      </c>
      <c r="W188" s="5">
        <v>300</v>
      </c>
      <c r="X188" s="5">
        <v>300</v>
      </c>
      <c r="Y188" s="5">
        <v>3.5</v>
      </c>
      <c r="Z188" s="5">
        <v>3.5</v>
      </c>
      <c r="AA188" s="5">
        <v>300</v>
      </c>
      <c r="AB188" s="5">
        <v>300</v>
      </c>
      <c r="AC188" s="5">
        <v>0</v>
      </c>
      <c r="AD188" s="5">
        <v>91.521190000000004</v>
      </c>
      <c r="AE188" s="5">
        <v>0</v>
      </c>
      <c r="AF188" s="5">
        <v>100.6592</v>
      </c>
      <c r="AG188" s="5">
        <v>39</v>
      </c>
      <c r="AH188" s="5">
        <v>0.17</v>
      </c>
      <c r="AI188" s="5">
        <v>53.12</v>
      </c>
      <c r="AJ188" s="5">
        <v>72.72</v>
      </c>
      <c r="AK188" s="5">
        <v>68.489999999999995</v>
      </c>
      <c r="AL188" s="5">
        <v>68.06</v>
      </c>
      <c r="AM188" s="5">
        <v>372.59</v>
      </c>
      <c r="AN188" s="5">
        <v>138.35220000000001</v>
      </c>
      <c r="AO188" s="5">
        <v>36.770000000000003</v>
      </c>
      <c r="AP188" s="5">
        <v>75.459999999999994</v>
      </c>
      <c r="AQ188" s="5">
        <v>47.34</v>
      </c>
      <c r="AR188" s="5">
        <v>372.66</v>
      </c>
      <c r="AS188" s="5">
        <v>31.72</v>
      </c>
      <c r="AT188" s="5">
        <v>64.959999999999994</v>
      </c>
      <c r="AU188" s="5">
        <v>105.13</v>
      </c>
      <c r="AV188" s="5">
        <v>114.67</v>
      </c>
      <c r="AW188" s="5">
        <v>0.67500000000000004</v>
      </c>
      <c r="AX188" s="5">
        <v>10.9</v>
      </c>
      <c r="AY188" s="5">
        <v>10000000000</v>
      </c>
      <c r="AZ188" s="5">
        <v>212.09</v>
      </c>
      <c r="BA188" s="5">
        <v>90.77</v>
      </c>
      <c r="BB188" s="5">
        <v>6.46</v>
      </c>
      <c r="BC188" s="5">
        <v>1.58</v>
      </c>
      <c r="BD188" s="5">
        <v>11.84</v>
      </c>
      <c r="BE188" s="5">
        <v>2.17</v>
      </c>
      <c r="BF188" s="5">
        <v>171.08</v>
      </c>
      <c r="BG188" s="5">
        <v>24.41</v>
      </c>
      <c r="BH188" s="5">
        <v>10000000000</v>
      </c>
      <c r="BI188" s="5">
        <v>268.60000000000002</v>
      </c>
      <c r="BJ188" s="5">
        <v>34.6</v>
      </c>
      <c r="BK188" s="5">
        <v>87.1</v>
      </c>
      <c r="BL188" s="5">
        <v>120.38</v>
      </c>
      <c r="BM188" s="5">
        <v>1.5</v>
      </c>
      <c r="BN188" s="5">
        <v>30.37</v>
      </c>
      <c r="BO188" s="5">
        <v>34.71</v>
      </c>
      <c r="BP188" s="5">
        <v>383.5</v>
      </c>
      <c r="BQ188" s="5">
        <v>65.227649999999997</v>
      </c>
      <c r="BR188" s="5">
        <v>165.29560000000001</v>
      </c>
      <c r="BS188" s="5">
        <v>93.210809999999995</v>
      </c>
      <c r="BT188" s="5">
        <v>81.686850000000007</v>
      </c>
      <c r="BU188" s="5">
        <v>80.27901</v>
      </c>
      <c r="BV188" s="5">
        <v>1.5679999999999999E-3</v>
      </c>
      <c r="BW188" s="5">
        <v>1.673E-3</v>
      </c>
      <c r="BX188" s="5">
        <v>28.402920000000002</v>
      </c>
      <c r="BY188" s="5">
        <v>18.995360000000002</v>
      </c>
      <c r="BZ188" s="5">
        <v>0</v>
      </c>
      <c r="CA188" s="5">
        <v>0.93509699999999996</v>
      </c>
      <c r="CB188" s="5">
        <v>502.44229999999999</v>
      </c>
      <c r="CC188" s="5">
        <v>511.75130000000001</v>
      </c>
      <c r="CD188" s="5">
        <v>35.402920000000002</v>
      </c>
      <c r="CE188" s="5">
        <v>368.84</v>
      </c>
      <c r="CF188" s="5">
        <v>85.77</v>
      </c>
      <c r="CG188" s="5">
        <v>98.09</v>
      </c>
      <c r="CH188" s="5">
        <v>346.68</v>
      </c>
      <c r="CI188" s="5">
        <v>338.74</v>
      </c>
      <c r="CJ188" s="5">
        <v>346.6</v>
      </c>
      <c r="CK188" s="5">
        <v>371.91</v>
      </c>
      <c r="CL188" s="5">
        <v>362.87</v>
      </c>
      <c r="CM188" s="5">
        <v>359.76</v>
      </c>
      <c r="CN188" s="5">
        <v>299.45999999999998</v>
      </c>
      <c r="CO188" s="5">
        <v>25.5</v>
      </c>
      <c r="CP188" s="5">
        <v>212.4</v>
      </c>
      <c r="CQ188" s="5">
        <v>213.05</v>
      </c>
      <c r="CR188" s="5">
        <v>3.8</v>
      </c>
      <c r="CS188" s="5">
        <v>3.8</v>
      </c>
      <c r="CT188" s="5">
        <v>22.78</v>
      </c>
      <c r="CU188" s="5">
        <v>17.399999999999999</v>
      </c>
      <c r="CV188" s="5">
        <v>101.64</v>
      </c>
      <c r="CW188" s="5">
        <v>0.82971141500000001</v>
      </c>
      <c r="CX188" s="5">
        <v>1.80047377055</v>
      </c>
    </row>
    <row r="189" spans="1:102" x14ac:dyDescent="0.25">
      <c r="A189" s="5">
        <v>22</v>
      </c>
      <c r="B189" s="23">
        <v>3.1884259259259258E-2</v>
      </c>
      <c r="C189" s="5">
        <v>6</v>
      </c>
      <c r="D189" s="5">
        <v>15</v>
      </c>
      <c r="E189" s="5">
        <v>246</v>
      </c>
      <c r="F189" s="5">
        <v>246</v>
      </c>
      <c r="G189" s="5">
        <v>246</v>
      </c>
      <c r="H189" s="5">
        <v>91.7</v>
      </c>
      <c r="I189" s="5">
        <v>91.7</v>
      </c>
      <c r="J189" s="5">
        <v>1800</v>
      </c>
      <c r="K189" s="5">
        <v>7</v>
      </c>
      <c r="L189" s="5">
        <v>7</v>
      </c>
      <c r="M189" s="5">
        <v>0.09</v>
      </c>
      <c r="N189" s="5">
        <v>8.9977000000000001E-2</v>
      </c>
      <c r="O189" s="5">
        <v>1</v>
      </c>
      <c r="P189" s="5">
        <v>1.069474</v>
      </c>
      <c r="Q189" s="5">
        <v>-3.14</v>
      </c>
      <c r="R189" s="5">
        <v>-3.14209</v>
      </c>
      <c r="S189" s="5">
        <v>122.24</v>
      </c>
      <c r="T189" s="5">
        <v>122.23439999999999</v>
      </c>
      <c r="U189" s="5">
        <v>3.5</v>
      </c>
      <c r="V189" s="5">
        <v>3.5</v>
      </c>
      <c r="W189" s="5">
        <v>300</v>
      </c>
      <c r="X189" s="5">
        <v>300</v>
      </c>
      <c r="Y189" s="5">
        <v>3.5</v>
      </c>
      <c r="Z189" s="5">
        <v>3.5</v>
      </c>
      <c r="AA189" s="5">
        <v>300</v>
      </c>
      <c r="AB189" s="5">
        <v>300</v>
      </c>
      <c r="AC189" s="5">
        <v>0</v>
      </c>
      <c r="AD189" s="5">
        <v>80.86927</v>
      </c>
      <c r="AE189" s="5">
        <v>0</v>
      </c>
      <c r="AF189" s="5">
        <v>86.300730000000001</v>
      </c>
      <c r="AG189" s="5">
        <v>39</v>
      </c>
      <c r="AH189" s="5">
        <v>0.17</v>
      </c>
      <c r="AI189" s="5">
        <v>45.85</v>
      </c>
      <c r="AJ189" s="5">
        <v>62.46</v>
      </c>
      <c r="AK189" s="5">
        <v>39.46</v>
      </c>
      <c r="AL189" s="5">
        <v>41.12</v>
      </c>
      <c r="AM189" s="5">
        <v>437.51</v>
      </c>
      <c r="AN189" s="5">
        <v>117.479</v>
      </c>
      <c r="AO189" s="5">
        <v>15</v>
      </c>
      <c r="AP189" s="5">
        <v>60.12</v>
      </c>
      <c r="AQ189" s="5">
        <v>26.61</v>
      </c>
      <c r="AR189" s="5">
        <v>387.59</v>
      </c>
      <c r="AS189" s="5">
        <v>24.45</v>
      </c>
      <c r="AT189" s="5">
        <v>50.95</v>
      </c>
      <c r="AU189" s="5">
        <v>95</v>
      </c>
      <c r="AV189" s="5">
        <v>112.97</v>
      </c>
      <c r="AW189" s="5">
        <v>0.308</v>
      </c>
      <c r="AX189" s="5">
        <v>4.45</v>
      </c>
      <c r="AY189" s="5">
        <v>10000000000</v>
      </c>
      <c r="AZ189" s="5">
        <v>176.71</v>
      </c>
      <c r="BA189" s="5">
        <v>79.28</v>
      </c>
      <c r="BB189" s="5">
        <v>6.72</v>
      </c>
      <c r="BC189" s="5">
        <v>0.55000000000000004</v>
      </c>
      <c r="BD189" s="5">
        <v>11.42</v>
      </c>
      <c r="BE189" s="5">
        <v>4.01</v>
      </c>
      <c r="BF189" s="5">
        <v>354.66</v>
      </c>
      <c r="BG189" s="5">
        <v>8.18</v>
      </c>
      <c r="BH189" s="5">
        <v>10000000000</v>
      </c>
      <c r="BI189" s="5">
        <v>257.39999999999998</v>
      </c>
      <c r="BJ189" s="5">
        <v>32.5</v>
      </c>
      <c r="BK189" s="5">
        <v>87.4</v>
      </c>
      <c r="BL189" s="5">
        <v>34.53</v>
      </c>
      <c r="BM189" s="5">
        <v>1.27</v>
      </c>
      <c r="BN189" s="5">
        <v>29.47</v>
      </c>
      <c r="BO189" s="5">
        <v>35.07</v>
      </c>
      <c r="BP189" s="5">
        <v>399.41</v>
      </c>
      <c r="BQ189" s="5">
        <v>53.06</v>
      </c>
      <c r="BR189" s="5">
        <v>142.33600000000001</v>
      </c>
      <c r="BS189" s="5">
        <v>85.290989999999994</v>
      </c>
      <c r="BT189" s="5">
        <v>62.716470000000001</v>
      </c>
      <c r="BU189" s="5">
        <v>63.950760000000002</v>
      </c>
      <c r="BV189" s="5">
        <v>1.9952000000000001E-2</v>
      </c>
      <c r="BW189" s="5">
        <v>1.1847999999999999E-2</v>
      </c>
      <c r="BX189" s="5">
        <v>32.998069999999998</v>
      </c>
      <c r="BY189" s="5">
        <v>18.995360000000002</v>
      </c>
      <c r="BZ189" s="5">
        <v>0</v>
      </c>
      <c r="CA189" s="5">
        <v>0.93509500000000001</v>
      </c>
      <c r="CB189" s="5">
        <v>442.49939999999998</v>
      </c>
      <c r="CC189" s="5">
        <v>453.02289999999999</v>
      </c>
      <c r="CD189" s="5">
        <v>39.998280000000001</v>
      </c>
      <c r="CE189" s="5">
        <v>368.71</v>
      </c>
      <c r="CF189" s="5">
        <v>74.83</v>
      </c>
      <c r="CG189" s="5">
        <v>86.77</v>
      </c>
      <c r="CH189" s="5">
        <v>377.73</v>
      </c>
      <c r="CI189" s="5">
        <v>381.23</v>
      </c>
      <c r="CJ189" s="5">
        <v>393.58</v>
      </c>
      <c r="CK189" s="5">
        <v>424.45</v>
      </c>
      <c r="CL189" s="5">
        <v>409.49</v>
      </c>
      <c r="CM189" s="5">
        <v>408.81</v>
      </c>
      <c r="CN189" s="5">
        <v>378.12</v>
      </c>
      <c r="CO189" s="5">
        <v>26.69</v>
      </c>
      <c r="CP189" s="5">
        <v>245.4</v>
      </c>
      <c r="CQ189" s="5">
        <v>246.05</v>
      </c>
      <c r="CR189" s="5">
        <v>4.4000000000000004</v>
      </c>
      <c r="CS189" s="5">
        <v>4.4000000000000004</v>
      </c>
      <c r="CT189" s="5">
        <v>24.06</v>
      </c>
      <c r="CU189" s="5">
        <v>14.98</v>
      </c>
      <c r="CV189" s="5">
        <v>101.53</v>
      </c>
      <c r="CW189" s="5">
        <v>0.826082023</v>
      </c>
      <c r="CX189" s="5">
        <v>3.3125889122299998</v>
      </c>
    </row>
    <row r="190" spans="1:102" x14ac:dyDescent="0.25">
      <c r="A190" s="5">
        <v>31</v>
      </c>
      <c r="B190" s="23">
        <v>7.9016203703703696E-3</v>
      </c>
      <c r="C190" s="5">
        <v>6</v>
      </c>
      <c r="D190" s="5">
        <v>25</v>
      </c>
      <c r="E190" s="5">
        <v>281</v>
      </c>
      <c r="F190" s="5">
        <v>281</v>
      </c>
      <c r="G190" s="5">
        <v>281</v>
      </c>
      <c r="H190" s="5">
        <v>91.7</v>
      </c>
      <c r="I190" s="5">
        <v>91.7</v>
      </c>
      <c r="J190" s="5">
        <v>1800</v>
      </c>
      <c r="K190" s="5">
        <v>55</v>
      </c>
      <c r="L190" s="5">
        <v>55</v>
      </c>
      <c r="M190" s="5">
        <v>0.12</v>
      </c>
      <c r="N190" s="5">
        <v>0.119945</v>
      </c>
      <c r="O190" s="5">
        <v>1</v>
      </c>
      <c r="P190" s="5">
        <v>1.0694319999999999</v>
      </c>
      <c r="Q190" s="5">
        <v>-3.93</v>
      </c>
      <c r="R190" s="5">
        <v>-3.9331049999999999</v>
      </c>
      <c r="S190" s="5">
        <v>126.77</v>
      </c>
      <c r="T190" s="5">
        <v>126.76560000000001</v>
      </c>
      <c r="U190" s="5">
        <v>3.5</v>
      </c>
      <c r="V190" s="5">
        <v>3.5</v>
      </c>
      <c r="W190" s="5">
        <v>300</v>
      </c>
      <c r="X190" s="5">
        <v>300</v>
      </c>
      <c r="Y190" s="5">
        <v>3.5</v>
      </c>
      <c r="Z190" s="5">
        <v>3.5</v>
      </c>
      <c r="AA190" s="5">
        <v>300</v>
      </c>
      <c r="AB190" s="5">
        <v>300</v>
      </c>
      <c r="AC190" s="5">
        <v>0</v>
      </c>
      <c r="AD190" s="5">
        <v>121.2094</v>
      </c>
      <c r="AE190" s="5">
        <v>0</v>
      </c>
      <c r="AF190" s="5">
        <v>121.2094</v>
      </c>
      <c r="AG190" s="5">
        <v>39</v>
      </c>
      <c r="AH190" s="5">
        <v>0.17</v>
      </c>
      <c r="AI190" s="5">
        <v>69.66</v>
      </c>
      <c r="AJ190" s="5">
        <v>98.31</v>
      </c>
      <c r="AK190" s="5">
        <v>147.28</v>
      </c>
      <c r="AL190" s="5">
        <v>148.31</v>
      </c>
      <c r="AM190" s="5">
        <v>387.42</v>
      </c>
      <c r="AN190" s="5">
        <v>184.1756</v>
      </c>
      <c r="AO190" s="5">
        <v>82.37</v>
      </c>
      <c r="AP190" s="5">
        <v>107.03</v>
      </c>
      <c r="AQ190" s="5">
        <v>98.17</v>
      </c>
      <c r="AR190" s="5">
        <v>528.79999999999995</v>
      </c>
      <c r="AS190" s="5">
        <v>64.900000000000006</v>
      </c>
      <c r="AT190" s="5">
        <v>62.53</v>
      </c>
      <c r="AU190" s="5">
        <v>102.65</v>
      </c>
      <c r="AV190" s="5">
        <v>114.48</v>
      </c>
      <c r="AW190" s="5">
        <v>0.16900000000000001</v>
      </c>
      <c r="AX190" s="5">
        <v>2.33</v>
      </c>
      <c r="AY190" s="5">
        <v>10000000000</v>
      </c>
      <c r="AZ190" s="5">
        <v>115.85</v>
      </c>
      <c r="BA190" s="5">
        <v>64.73</v>
      </c>
      <c r="BB190" s="5">
        <v>5.6</v>
      </c>
      <c r="BC190" s="5">
        <v>0.89</v>
      </c>
      <c r="BD190" s="5">
        <v>12.88</v>
      </c>
      <c r="BE190" s="5">
        <v>3.46</v>
      </c>
      <c r="BF190" s="5">
        <v>251.13</v>
      </c>
      <c r="BG190" s="5">
        <v>15.94</v>
      </c>
      <c r="BH190" s="5">
        <v>10000000000</v>
      </c>
      <c r="BI190" s="5">
        <v>262.5</v>
      </c>
      <c r="BJ190" s="5">
        <v>38.1</v>
      </c>
      <c r="BK190" s="5">
        <v>84.7</v>
      </c>
      <c r="BL190" s="5">
        <v>100.35</v>
      </c>
      <c r="BM190" s="5">
        <v>1.96</v>
      </c>
      <c r="BN190" s="5">
        <v>29.8</v>
      </c>
      <c r="BO190" s="5">
        <v>34.19</v>
      </c>
      <c r="BP190" s="5">
        <v>543.09</v>
      </c>
      <c r="BQ190" s="5">
        <v>63.344169999999998</v>
      </c>
      <c r="BR190" s="5">
        <v>247.59549999999999</v>
      </c>
      <c r="BS190" s="5">
        <v>70.895359999999997</v>
      </c>
      <c r="BT190" s="5">
        <v>79.257230000000007</v>
      </c>
      <c r="BU190" s="5">
        <v>77.625020000000006</v>
      </c>
      <c r="BV190" s="5">
        <v>4.4365000000000002E-2</v>
      </c>
      <c r="BW190" s="5">
        <v>3.9782999999999999E-2</v>
      </c>
      <c r="BX190" s="5">
        <v>39.074579999999997</v>
      </c>
      <c r="BY190" s="5">
        <v>18.995360000000002</v>
      </c>
      <c r="BZ190" s="5">
        <v>0</v>
      </c>
      <c r="CA190" s="5">
        <v>0.93379299999999998</v>
      </c>
      <c r="CB190" s="5">
        <v>671.58860000000004</v>
      </c>
      <c r="CC190" s="5">
        <v>683.73320000000001</v>
      </c>
      <c r="CD190" s="5">
        <v>46.074579999999997</v>
      </c>
      <c r="CE190" s="5">
        <v>385.23</v>
      </c>
      <c r="CF190" s="5">
        <v>84.37</v>
      </c>
      <c r="CG190" s="5">
        <v>95.87</v>
      </c>
      <c r="CH190" s="5">
        <v>359.34</v>
      </c>
      <c r="CI190" s="5">
        <v>356.16</v>
      </c>
      <c r="CJ190" s="5">
        <v>367.5</v>
      </c>
      <c r="CK190" s="5">
        <v>388.84</v>
      </c>
      <c r="CL190" s="5">
        <v>381.17</v>
      </c>
      <c r="CM190" s="5">
        <v>385.94</v>
      </c>
      <c r="CN190" s="5">
        <v>283.39</v>
      </c>
      <c r="CO190" s="5">
        <v>26.15</v>
      </c>
      <c r="CP190" s="5">
        <v>279.3</v>
      </c>
      <c r="CQ190" s="5">
        <v>281.05</v>
      </c>
      <c r="CR190" s="5">
        <v>5</v>
      </c>
      <c r="CS190" s="5">
        <v>5</v>
      </c>
      <c r="CT190" s="5">
        <v>25.67</v>
      </c>
      <c r="CU190" s="5">
        <v>22.88</v>
      </c>
      <c r="CV190" s="5">
        <v>101.44</v>
      </c>
      <c r="CW190" s="5">
        <v>0.86068683999999995</v>
      </c>
      <c r="CX190" s="5">
        <v>2.9779764663999999</v>
      </c>
    </row>
    <row r="191" spans="1:102" x14ac:dyDescent="0.25">
      <c r="A191" s="5">
        <v>32</v>
      </c>
      <c r="B191" s="23">
        <v>1.3322916666666665E-2</v>
      </c>
      <c r="C191" s="5">
        <v>6</v>
      </c>
      <c r="D191" s="5">
        <v>26</v>
      </c>
      <c r="E191" s="5">
        <v>283</v>
      </c>
      <c r="F191" s="5">
        <v>283</v>
      </c>
      <c r="G191" s="5">
        <v>283</v>
      </c>
      <c r="H191" s="5">
        <v>91.7</v>
      </c>
      <c r="I191" s="5">
        <v>91.7</v>
      </c>
      <c r="J191" s="5">
        <v>1800</v>
      </c>
      <c r="K191" s="5">
        <v>30</v>
      </c>
      <c r="L191" s="5">
        <v>30</v>
      </c>
      <c r="M191" s="5">
        <v>0.2</v>
      </c>
      <c r="N191" s="5">
        <v>0.199989</v>
      </c>
      <c r="O191" s="5">
        <v>1</v>
      </c>
      <c r="P191" s="5">
        <v>1.069542</v>
      </c>
      <c r="Q191" s="5">
        <v>-3.98</v>
      </c>
      <c r="R191" s="5">
        <v>-3.9770509999999999</v>
      </c>
      <c r="S191" s="5">
        <v>127.03</v>
      </c>
      <c r="T191" s="5">
        <v>127.0313</v>
      </c>
      <c r="U191" s="5">
        <v>3.5</v>
      </c>
      <c r="V191" s="5">
        <v>3.5</v>
      </c>
      <c r="W191" s="5">
        <v>300</v>
      </c>
      <c r="X191" s="5">
        <v>300</v>
      </c>
      <c r="Y191" s="5">
        <v>3.5</v>
      </c>
      <c r="Z191" s="5">
        <v>3.5</v>
      </c>
      <c r="AA191" s="5">
        <v>300</v>
      </c>
      <c r="AB191" s="5">
        <v>300</v>
      </c>
      <c r="AC191" s="5">
        <v>0</v>
      </c>
      <c r="AD191" s="5">
        <v>94.231870000000001</v>
      </c>
      <c r="AE191" s="5">
        <v>0</v>
      </c>
      <c r="AF191" s="5">
        <v>94.231870000000001</v>
      </c>
      <c r="AG191" s="5">
        <v>39</v>
      </c>
      <c r="AH191" s="5">
        <v>0.17</v>
      </c>
      <c r="AI191" s="5">
        <v>53.37</v>
      </c>
      <c r="AJ191" s="5">
        <v>74.97</v>
      </c>
      <c r="AK191" s="5">
        <v>60.52</v>
      </c>
      <c r="AL191" s="5">
        <v>61.42</v>
      </c>
      <c r="AM191" s="5">
        <v>437.45</v>
      </c>
      <c r="AN191" s="5">
        <v>138.6258</v>
      </c>
      <c r="AO191" s="5">
        <v>36.24</v>
      </c>
      <c r="AP191" s="5">
        <v>73.180000000000007</v>
      </c>
      <c r="AQ191" s="5">
        <v>48.22</v>
      </c>
      <c r="AR191" s="5">
        <v>411.41</v>
      </c>
      <c r="AS191" s="5">
        <v>24.29</v>
      </c>
      <c r="AT191" s="5">
        <v>54.17</v>
      </c>
      <c r="AU191" s="5">
        <v>101.04</v>
      </c>
      <c r="AV191" s="5">
        <v>111.49</v>
      </c>
      <c r="AW191" s="5">
        <v>0.40200000000000002</v>
      </c>
      <c r="AX191" s="5">
        <v>5.97</v>
      </c>
      <c r="AY191" s="5">
        <v>10000000000</v>
      </c>
      <c r="AZ191" s="5">
        <v>206.26</v>
      </c>
      <c r="BA191" s="5">
        <v>83.65</v>
      </c>
      <c r="BB191" s="5">
        <v>6.98</v>
      </c>
      <c r="BC191" s="5">
        <v>1.1399999999999999</v>
      </c>
      <c r="BD191" s="5">
        <v>10.99</v>
      </c>
      <c r="BE191" s="5">
        <v>2.38</v>
      </c>
      <c r="BF191" s="5">
        <v>230.04</v>
      </c>
      <c r="BG191" s="5">
        <v>16.29</v>
      </c>
      <c r="BH191" s="5">
        <v>10000000000</v>
      </c>
      <c r="BI191" s="5">
        <v>250.2</v>
      </c>
      <c r="BJ191" s="5">
        <v>30.8</v>
      </c>
      <c r="BK191" s="5">
        <v>85.5</v>
      </c>
      <c r="BL191" s="5">
        <v>80.11</v>
      </c>
      <c r="BM191" s="5">
        <v>1.52</v>
      </c>
      <c r="BN191" s="5">
        <v>30.01</v>
      </c>
      <c r="BO191" s="5">
        <v>35.380000000000003</v>
      </c>
      <c r="BP191" s="5">
        <v>424.9</v>
      </c>
      <c r="BQ191" s="5">
        <v>55.692079999999997</v>
      </c>
      <c r="BR191" s="5">
        <v>159.8629</v>
      </c>
      <c r="BS191" s="5">
        <v>74.202479999999994</v>
      </c>
      <c r="BT191" s="5">
        <v>62.773530000000001</v>
      </c>
      <c r="BU191" s="5">
        <v>62.14331</v>
      </c>
      <c r="BV191" s="5">
        <v>3.8774000000000003E-2</v>
      </c>
      <c r="BW191" s="5">
        <v>4.1554000000000001E-2</v>
      </c>
      <c r="BX191" s="5">
        <v>37.682870000000001</v>
      </c>
      <c r="BY191" s="5">
        <v>18.995360000000002</v>
      </c>
      <c r="BZ191" s="5">
        <v>0</v>
      </c>
      <c r="CA191" s="5">
        <v>0.93409699999999996</v>
      </c>
      <c r="CB191" s="5">
        <v>517.42309999999998</v>
      </c>
      <c r="CC191" s="5">
        <v>529.19539999999995</v>
      </c>
      <c r="CD191" s="5">
        <v>44.682870000000001</v>
      </c>
      <c r="CE191" s="5">
        <v>420.55</v>
      </c>
      <c r="CF191" s="5">
        <v>79.94</v>
      </c>
      <c r="CG191" s="5">
        <v>92.42</v>
      </c>
      <c r="CH191" s="5">
        <v>374.29</v>
      </c>
      <c r="CI191" s="5">
        <v>375.91</v>
      </c>
      <c r="CJ191" s="5">
        <v>393.32</v>
      </c>
      <c r="CK191" s="5">
        <v>426.75</v>
      </c>
      <c r="CL191" s="5">
        <v>412.86</v>
      </c>
      <c r="CM191" s="5">
        <v>416.38</v>
      </c>
      <c r="CN191" s="5">
        <v>360.39</v>
      </c>
      <c r="CO191" s="5">
        <v>26.32</v>
      </c>
      <c r="CP191" s="5">
        <v>281.8</v>
      </c>
      <c r="CQ191" s="5">
        <v>283.05</v>
      </c>
      <c r="CR191" s="5">
        <v>5</v>
      </c>
      <c r="CS191" s="5">
        <v>5.0999999999999996</v>
      </c>
      <c r="CT191" s="5">
        <v>25.23</v>
      </c>
      <c r="CU191" s="5">
        <v>19.97</v>
      </c>
      <c r="CV191" s="5">
        <v>101.43</v>
      </c>
      <c r="CW191" s="5">
        <v>0.84184513000000005</v>
      </c>
      <c r="CX191" s="5">
        <v>2.0035914094000002</v>
      </c>
    </row>
    <row r="192" spans="1:102" x14ac:dyDescent="0.25">
      <c r="A192" s="5">
        <v>6</v>
      </c>
      <c r="B192" s="23">
        <v>41401.437782384259</v>
      </c>
      <c r="C192" s="5">
        <v>6</v>
      </c>
      <c r="D192" s="5">
        <v>14</v>
      </c>
      <c r="E192" s="5">
        <v>243</v>
      </c>
      <c r="F192" s="5">
        <v>243</v>
      </c>
      <c r="G192" s="5">
        <v>243.1</v>
      </c>
      <c r="H192" s="5">
        <v>91.7</v>
      </c>
      <c r="I192" s="5">
        <v>91.7</v>
      </c>
      <c r="J192" s="5">
        <v>1800</v>
      </c>
      <c r="K192" s="5">
        <v>71</v>
      </c>
      <c r="L192" s="5">
        <v>71</v>
      </c>
      <c r="M192" s="5">
        <v>0.24</v>
      </c>
      <c r="N192" s="5">
        <v>0.23999200000000001</v>
      </c>
      <c r="O192" s="5">
        <v>1</v>
      </c>
      <c r="P192" s="5">
        <v>1.0688120000000001</v>
      </c>
      <c r="Q192" s="5">
        <v>-3.07</v>
      </c>
      <c r="R192" s="5">
        <v>-3.0651860000000002</v>
      </c>
      <c r="S192" s="5">
        <v>121.86</v>
      </c>
      <c r="T192" s="5">
        <v>121.85939999999999</v>
      </c>
      <c r="U192" s="5">
        <v>3.5</v>
      </c>
      <c r="V192" s="5">
        <v>3.5</v>
      </c>
      <c r="W192" s="5">
        <v>300</v>
      </c>
      <c r="X192" s="5">
        <v>300</v>
      </c>
      <c r="Y192" s="5">
        <v>3.5</v>
      </c>
      <c r="Z192" s="5">
        <v>3.5</v>
      </c>
      <c r="AA192" s="5">
        <v>300</v>
      </c>
      <c r="AB192" s="5">
        <v>300</v>
      </c>
      <c r="AC192" s="5">
        <v>0</v>
      </c>
      <c r="AD192" s="5">
        <v>111.9662</v>
      </c>
      <c r="AE192" s="5">
        <v>0</v>
      </c>
      <c r="AF192" s="5">
        <v>111.9662</v>
      </c>
      <c r="AG192" s="5">
        <v>39</v>
      </c>
      <c r="AH192" s="5">
        <v>0.17</v>
      </c>
      <c r="AI192" s="5">
        <v>65.040000000000006</v>
      </c>
      <c r="AJ192" s="5">
        <v>88.83</v>
      </c>
      <c r="AK192" s="5">
        <v>160.96</v>
      </c>
      <c r="AL192" s="5">
        <v>158.46</v>
      </c>
      <c r="AM192" s="5">
        <v>402.65</v>
      </c>
      <c r="AN192" s="5">
        <v>174.57069999999999</v>
      </c>
      <c r="AO192" s="5">
        <v>74.83</v>
      </c>
      <c r="AP192" s="5">
        <v>99.89</v>
      </c>
      <c r="AQ192" s="5">
        <v>85</v>
      </c>
      <c r="AR192" s="5">
        <v>377.46</v>
      </c>
      <c r="AS192" s="5">
        <v>86.11</v>
      </c>
      <c r="AT192" s="5">
        <v>75.430000000000007</v>
      </c>
      <c r="AU192" s="5">
        <v>123.12</v>
      </c>
      <c r="AV192" s="5">
        <v>114.57</v>
      </c>
      <c r="AW192" s="5">
        <v>1.3109999999999999</v>
      </c>
      <c r="AX192" s="5">
        <v>25.74</v>
      </c>
      <c r="AY192" s="5">
        <v>10000000000</v>
      </c>
      <c r="AZ192" s="5">
        <v>281.63</v>
      </c>
      <c r="BA192" s="5">
        <v>97.31</v>
      </c>
      <c r="BB192" s="5">
        <v>7.39</v>
      </c>
      <c r="BC192" s="5">
        <v>2.59</v>
      </c>
      <c r="BD192" s="5">
        <v>10.37</v>
      </c>
      <c r="BE192" s="5">
        <v>0.91</v>
      </c>
      <c r="BF192" s="5">
        <v>83.15</v>
      </c>
      <c r="BG192" s="5">
        <v>35</v>
      </c>
      <c r="BH192" s="5">
        <v>10000000000</v>
      </c>
      <c r="BI192" s="5">
        <v>286.60000000000002</v>
      </c>
      <c r="BJ192" s="5">
        <v>28.7</v>
      </c>
      <c r="BK192" s="5">
        <v>80.599999999999994</v>
      </c>
      <c r="BL192" s="5">
        <v>203.31</v>
      </c>
      <c r="BM192" s="5">
        <v>1.9</v>
      </c>
      <c r="BN192" s="5">
        <v>31.37</v>
      </c>
      <c r="BO192" s="5">
        <v>35.83</v>
      </c>
      <c r="BP192" s="5">
        <v>390.63</v>
      </c>
      <c r="BQ192" s="5">
        <v>73.104479999999995</v>
      </c>
      <c r="BR192" s="5">
        <v>250.4984</v>
      </c>
      <c r="BS192" s="5">
        <v>78.527820000000006</v>
      </c>
      <c r="BT192" s="5">
        <v>79.671229999999994</v>
      </c>
      <c r="BU192" s="5">
        <v>78.298259999999999</v>
      </c>
      <c r="BV192" s="5">
        <v>3.1451E-2</v>
      </c>
      <c r="BW192" s="5">
        <v>3.0086000000000002E-2</v>
      </c>
      <c r="BX192" s="5">
        <v>35.863750000000003</v>
      </c>
      <c r="BY192" s="5">
        <v>18.995360000000002</v>
      </c>
      <c r="BZ192" s="5">
        <v>0</v>
      </c>
      <c r="CA192" s="5">
        <v>0.93449199999999999</v>
      </c>
      <c r="CB192" s="5">
        <v>619.0856</v>
      </c>
      <c r="CC192" s="5">
        <v>630.37400000000002</v>
      </c>
      <c r="CD192" s="5">
        <v>42.863750000000003</v>
      </c>
      <c r="CE192" s="5">
        <v>397.54</v>
      </c>
      <c r="CF192" s="5">
        <v>99.9</v>
      </c>
      <c r="CG192" s="5">
        <v>117.5</v>
      </c>
      <c r="CH192" s="5">
        <v>390.77</v>
      </c>
      <c r="CI192" s="5">
        <v>372.27</v>
      </c>
      <c r="CJ192" s="5">
        <v>381.06</v>
      </c>
      <c r="CK192" s="5">
        <v>397.32</v>
      </c>
      <c r="CL192" s="5">
        <v>389.65</v>
      </c>
      <c r="CM192" s="5">
        <v>395.88</v>
      </c>
      <c r="CN192" s="5">
        <v>298.01</v>
      </c>
      <c r="CO192" s="5">
        <v>26.52</v>
      </c>
      <c r="CP192" s="5">
        <v>242.2</v>
      </c>
      <c r="CQ192" s="5">
        <v>243.05</v>
      </c>
      <c r="CR192" s="5">
        <v>4.3</v>
      </c>
      <c r="CS192" s="5">
        <v>4.4000000000000004</v>
      </c>
      <c r="CT192" s="5">
        <v>24.83</v>
      </c>
      <c r="CU192" s="5">
        <v>40.68</v>
      </c>
      <c r="CV192" s="5">
        <v>100.88</v>
      </c>
      <c r="CW192" s="5">
        <v>0.88240277244313059</v>
      </c>
      <c r="CX192" s="5">
        <v>0.8029865229232489</v>
      </c>
    </row>
    <row r="193" spans="1:102" x14ac:dyDescent="0.25">
      <c r="A193" s="5">
        <v>50</v>
      </c>
      <c r="B193" s="23">
        <v>4.034837962962963E-2</v>
      </c>
      <c r="C193" s="5">
        <v>6</v>
      </c>
      <c r="D193" s="5">
        <v>44</v>
      </c>
      <c r="E193" s="5">
        <v>349</v>
      </c>
      <c r="F193" s="5">
        <v>349</v>
      </c>
      <c r="G193" s="5">
        <v>349</v>
      </c>
      <c r="H193" s="5">
        <v>91.7</v>
      </c>
      <c r="I193" s="5">
        <v>91.7</v>
      </c>
      <c r="J193" s="5">
        <v>1800</v>
      </c>
      <c r="K193" s="5">
        <v>70</v>
      </c>
      <c r="L193" s="5">
        <v>70</v>
      </c>
      <c r="M193" s="5">
        <v>0.17</v>
      </c>
      <c r="N193" s="5">
        <v>0.169902</v>
      </c>
      <c r="O193" s="5">
        <v>1</v>
      </c>
      <c r="P193" s="5">
        <v>1.069493</v>
      </c>
      <c r="Q193" s="5">
        <v>-4.3</v>
      </c>
      <c r="R193" s="5">
        <v>-4.2956539999999999</v>
      </c>
      <c r="S193" s="5">
        <v>138.19999999999999</v>
      </c>
      <c r="T193" s="5">
        <v>138.20310000000001</v>
      </c>
      <c r="U193" s="5">
        <v>3.5</v>
      </c>
      <c r="V193" s="5">
        <v>3.5</v>
      </c>
      <c r="W193" s="5">
        <v>300</v>
      </c>
      <c r="X193" s="5">
        <v>300</v>
      </c>
      <c r="Y193" s="5">
        <v>3.5</v>
      </c>
      <c r="Z193" s="5">
        <v>3.5</v>
      </c>
      <c r="AA193" s="5">
        <v>300</v>
      </c>
      <c r="AB193" s="5">
        <v>300</v>
      </c>
      <c r="AC193" s="5">
        <v>0</v>
      </c>
      <c r="AD193" s="5">
        <v>147.03710000000001</v>
      </c>
      <c r="AE193" s="5">
        <v>0</v>
      </c>
      <c r="AF193" s="5">
        <v>142.53720000000001</v>
      </c>
      <c r="AG193" s="5">
        <v>39</v>
      </c>
      <c r="AH193" s="5">
        <v>0.17</v>
      </c>
      <c r="AI193" s="5">
        <v>85.24</v>
      </c>
      <c r="AJ193" s="5">
        <v>112.12</v>
      </c>
      <c r="AK193" s="5">
        <v>264.70999999999998</v>
      </c>
      <c r="AL193" s="5">
        <v>263.33</v>
      </c>
      <c r="AM193" s="5">
        <v>448.77</v>
      </c>
      <c r="AN193" s="5">
        <v>232.14699999999999</v>
      </c>
      <c r="AO193" s="5">
        <v>131.59</v>
      </c>
      <c r="AP193" s="5">
        <v>139.09</v>
      </c>
      <c r="AQ193" s="5">
        <v>147.25</v>
      </c>
      <c r="AR193" s="5">
        <v>557.16999999999996</v>
      </c>
      <c r="AS193" s="5">
        <v>133.13999999999999</v>
      </c>
      <c r="AT193" s="5">
        <v>79.98</v>
      </c>
      <c r="AU193" s="5">
        <v>134.13</v>
      </c>
      <c r="AV193" s="5">
        <v>119.86</v>
      </c>
      <c r="AW193" s="5">
        <v>0.28999999999999998</v>
      </c>
      <c r="AX193" s="5">
        <v>4.16</v>
      </c>
      <c r="AY193" s="5">
        <v>10000000000</v>
      </c>
      <c r="AZ193" s="5">
        <v>142.88</v>
      </c>
      <c r="BA193" s="5">
        <v>52.57</v>
      </c>
      <c r="BB193" s="5">
        <v>6.92</v>
      </c>
      <c r="BC193" s="5">
        <v>1.89</v>
      </c>
      <c r="BD193" s="5">
        <v>10.9</v>
      </c>
      <c r="BE193" s="5">
        <v>1.76</v>
      </c>
      <c r="BF193" s="5">
        <v>155.11000000000001</v>
      </c>
      <c r="BG193" s="5">
        <v>27.27</v>
      </c>
      <c r="BH193" s="5">
        <v>10000000000</v>
      </c>
      <c r="BI193" s="5">
        <v>274.60000000000002</v>
      </c>
      <c r="BJ193" s="5">
        <v>30.8</v>
      </c>
      <c r="BK193" s="5">
        <v>83</v>
      </c>
      <c r="BL193" s="5">
        <v>208.89</v>
      </c>
      <c r="BM193" s="5">
        <v>2.44</v>
      </c>
      <c r="BN193" s="5">
        <v>30.72</v>
      </c>
      <c r="BO193" s="5">
        <v>35.380000000000003</v>
      </c>
      <c r="BP193" s="5">
        <v>575.29999999999995</v>
      </c>
      <c r="BQ193" s="5">
        <v>77.685419999999993</v>
      </c>
      <c r="BR193" s="5">
        <v>358.65129999999999</v>
      </c>
      <c r="BS193" s="5">
        <v>55.409320000000001</v>
      </c>
      <c r="BT193" s="5">
        <v>67.459209999999999</v>
      </c>
      <c r="BU193" s="5">
        <v>65.639579999999995</v>
      </c>
      <c r="BV193" s="5">
        <v>9.2804999999999999E-2</v>
      </c>
      <c r="BW193" s="5">
        <v>7.9548999999999995E-2</v>
      </c>
      <c r="BX193" s="5">
        <v>54.563490000000002</v>
      </c>
      <c r="BY193" s="5">
        <v>18.995360000000002</v>
      </c>
      <c r="BZ193" s="5">
        <v>0</v>
      </c>
      <c r="CA193" s="5">
        <v>0.930759</v>
      </c>
      <c r="CB193" s="5">
        <v>809.40959999999995</v>
      </c>
      <c r="CC193" s="5">
        <v>825.66480000000001</v>
      </c>
      <c r="CD193" s="5">
        <v>61.569220000000001</v>
      </c>
      <c r="CE193" s="5">
        <v>436.59</v>
      </c>
      <c r="CF193" s="5">
        <v>107.98</v>
      </c>
      <c r="CG193" s="5">
        <v>127.68</v>
      </c>
      <c r="CH193" s="5">
        <v>419.31</v>
      </c>
      <c r="CI193" s="5">
        <v>411.54</v>
      </c>
      <c r="CJ193" s="5">
        <v>422.51</v>
      </c>
      <c r="CK193" s="5">
        <v>447.9</v>
      </c>
      <c r="CL193" s="5">
        <v>432.86</v>
      </c>
      <c r="CM193" s="5">
        <v>436.36</v>
      </c>
      <c r="CN193" s="5">
        <v>308.13</v>
      </c>
      <c r="CO193" s="5">
        <v>28.4</v>
      </c>
      <c r="CP193" s="5">
        <v>346.9</v>
      </c>
      <c r="CQ193" s="5">
        <v>349.05</v>
      </c>
      <c r="CR193" s="5">
        <v>6.2</v>
      </c>
      <c r="CS193" s="5">
        <v>6.3</v>
      </c>
      <c r="CT193" s="5">
        <v>25.06</v>
      </c>
      <c r="CU193" s="5">
        <v>27.16</v>
      </c>
      <c r="CV193" s="5">
        <v>101.36</v>
      </c>
      <c r="CW193" s="5">
        <v>0.864643041</v>
      </c>
      <c r="CX193" s="5">
        <v>1.52177175216</v>
      </c>
    </row>
    <row r="194" spans="1:102" x14ac:dyDescent="0.25">
      <c r="A194" s="5">
        <v>15</v>
      </c>
      <c r="B194" s="23">
        <v>41401.491107557871</v>
      </c>
      <c r="C194" s="5">
        <v>7</v>
      </c>
      <c r="D194" s="5">
        <v>19</v>
      </c>
      <c r="E194" s="5">
        <v>462</v>
      </c>
      <c r="F194" s="5">
        <v>462</v>
      </c>
      <c r="G194" s="5">
        <v>462</v>
      </c>
      <c r="H194" s="5">
        <v>91.7</v>
      </c>
      <c r="I194" s="5">
        <v>91.7</v>
      </c>
      <c r="J194" s="5">
        <v>1800</v>
      </c>
      <c r="K194" s="5">
        <v>13</v>
      </c>
      <c r="L194" s="5">
        <v>13</v>
      </c>
      <c r="M194" s="5">
        <v>0.13</v>
      </c>
      <c r="N194" s="5">
        <v>0.13009399999999999</v>
      </c>
      <c r="O194" s="5">
        <v>1</v>
      </c>
      <c r="P194" s="5">
        <v>1.068899</v>
      </c>
      <c r="Q194" s="5">
        <v>-4.7</v>
      </c>
      <c r="R194" s="5">
        <v>-4.7021480000000002</v>
      </c>
      <c r="S194" s="5">
        <v>161.44999999999999</v>
      </c>
      <c r="T194" s="5">
        <v>161.45310000000001</v>
      </c>
      <c r="U194" s="5">
        <v>3.5</v>
      </c>
      <c r="V194" s="5">
        <v>3.5</v>
      </c>
      <c r="W194" s="5">
        <v>300</v>
      </c>
      <c r="X194" s="5">
        <v>300</v>
      </c>
      <c r="Y194" s="5">
        <v>3.5</v>
      </c>
      <c r="Z194" s="5">
        <v>3.5</v>
      </c>
      <c r="AA194" s="5">
        <v>300</v>
      </c>
      <c r="AB194" s="5">
        <v>300</v>
      </c>
      <c r="AC194" s="5">
        <v>0</v>
      </c>
      <c r="AD194" s="5">
        <v>105.4944</v>
      </c>
      <c r="AE194" s="5">
        <v>0</v>
      </c>
      <c r="AF194" s="5">
        <v>105.4944</v>
      </c>
      <c r="AG194" s="5">
        <v>34</v>
      </c>
      <c r="AH194" s="5">
        <v>0.2</v>
      </c>
      <c r="AI194" s="5">
        <v>60.85</v>
      </c>
      <c r="AJ194" s="5">
        <v>87.9</v>
      </c>
      <c r="AK194" s="5">
        <v>75.08</v>
      </c>
      <c r="AL194" s="5">
        <v>77.260000000000005</v>
      </c>
      <c r="AM194" s="5">
        <v>566.91999999999996</v>
      </c>
      <c r="AN194" s="5">
        <v>155.9555</v>
      </c>
      <c r="AO194" s="5">
        <v>54.75</v>
      </c>
      <c r="AP194" s="5">
        <v>89.98</v>
      </c>
      <c r="AQ194" s="5">
        <v>68.36</v>
      </c>
      <c r="AR194" s="5">
        <v>506.28</v>
      </c>
      <c r="AS194" s="5">
        <v>20.329999999999998</v>
      </c>
      <c r="AT194" s="5">
        <v>54.39</v>
      </c>
      <c r="AU194" s="5">
        <v>98</v>
      </c>
      <c r="AV194" s="5">
        <v>113.49</v>
      </c>
      <c r="AW194" s="5">
        <v>0.24</v>
      </c>
      <c r="AX194" s="5">
        <v>3.39</v>
      </c>
      <c r="AY194" s="5">
        <v>10000000000</v>
      </c>
      <c r="AZ194" s="5">
        <v>137.30000000000001</v>
      </c>
      <c r="BA194" s="5">
        <v>34.26</v>
      </c>
      <c r="BB194" s="5">
        <v>8.74</v>
      </c>
      <c r="BC194" s="5">
        <v>0.77</v>
      </c>
      <c r="BD194" s="5">
        <v>8.4499999999999993</v>
      </c>
      <c r="BE194" s="5">
        <v>3.01</v>
      </c>
      <c r="BF194" s="5">
        <v>399.23</v>
      </c>
      <c r="BG194" s="5">
        <v>8.84</v>
      </c>
      <c r="BH194" s="5">
        <v>10000000000</v>
      </c>
      <c r="BI194" s="5">
        <v>235.4</v>
      </c>
      <c r="BJ194" s="5">
        <v>24.7</v>
      </c>
      <c r="BK194" s="5">
        <v>86.6</v>
      </c>
      <c r="BL194" s="5">
        <v>49.11</v>
      </c>
      <c r="BM194" s="5">
        <v>1.7</v>
      </c>
      <c r="BN194" s="5">
        <v>29.67</v>
      </c>
      <c r="BO194" s="5">
        <v>36.909999999999997</v>
      </c>
      <c r="BP194" s="5">
        <v>527.08000000000004</v>
      </c>
      <c r="BQ194" s="5">
        <v>55.908180000000002</v>
      </c>
      <c r="BR194" s="5">
        <v>176.7867</v>
      </c>
      <c r="BS194" s="5">
        <v>50.676909999999999</v>
      </c>
      <c r="BT194" s="5">
        <v>40.511409999999998</v>
      </c>
      <c r="BU194" s="5">
        <v>40.448779999999999</v>
      </c>
      <c r="BV194" s="5">
        <v>0.106943</v>
      </c>
      <c r="BW194" s="5">
        <v>0.112262</v>
      </c>
      <c r="BX194" s="5">
        <v>63.268859999999997</v>
      </c>
      <c r="BY194" s="5">
        <v>18.995360000000002</v>
      </c>
      <c r="BZ194" s="5">
        <v>0</v>
      </c>
      <c r="CA194" s="5">
        <v>0.93077500000000002</v>
      </c>
      <c r="CB194" s="5">
        <v>579.64829999999995</v>
      </c>
      <c r="CC194" s="5">
        <v>598.21370000000002</v>
      </c>
      <c r="CD194" s="5">
        <v>70.269170000000003</v>
      </c>
      <c r="CE194" s="5">
        <v>474.25</v>
      </c>
      <c r="CF194" s="5">
        <v>77.69</v>
      </c>
      <c r="CG194" s="5">
        <v>91.71</v>
      </c>
      <c r="CH194" s="5">
        <v>459.67</v>
      </c>
      <c r="CI194" s="5">
        <v>479.91</v>
      </c>
      <c r="CJ194" s="5">
        <v>491.66</v>
      </c>
      <c r="CK194" s="5">
        <v>532.36</v>
      </c>
      <c r="CL194" s="5">
        <v>518.62</v>
      </c>
      <c r="CM194" s="5">
        <v>516.21</v>
      </c>
      <c r="CN194" s="5">
        <v>466.67</v>
      </c>
      <c r="CO194" s="5">
        <v>28.84</v>
      </c>
      <c r="CP194" s="5">
        <v>460.9</v>
      </c>
      <c r="CQ194" s="5">
        <v>462.04</v>
      </c>
      <c r="CR194" s="5">
        <v>8.3000000000000007</v>
      </c>
      <c r="CS194" s="5">
        <v>8.3000000000000007</v>
      </c>
      <c r="CT194" s="5">
        <v>25.56</v>
      </c>
      <c r="CU194" s="5">
        <v>31.94</v>
      </c>
      <c r="CV194" s="5">
        <v>100.82</v>
      </c>
      <c r="CW194" s="5">
        <v>0.85745113903416958</v>
      </c>
      <c r="CX194" s="70">
        <v>2.5809279284928501</v>
      </c>
    </row>
    <row r="195" spans="1:102" x14ac:dyDescent="0.25">
      <c r="A195" s="5">
        <v>14</v>
      </c>
      <c r="B195" s="23">
        <v>41401.485687187502</v>
      </c>
      <c r="C195" s="5">
        <v>7</v>
      </c>
      <c r="D195" s="5">
        <v>18</v>
      </c>
      <c r="E195" s="5">
        <v>460</v>
      </c>
      <c r="F195" s="5">
        <v>460</v>
      </c>
      <c r="G195" s="5">
        <v>460</v>
      </c>
      <c r="H195" s="5">
        <v>91.7</v>
      </c>
      <c r="I195" s="5">
        <v>91.7</v>
      </c>
      <c r="J195" s="5">
        <v>1800</v>
      </c>
      <c r="K195" s="5">
        <v>11</v>
      </c>
      <c r="L195" s="5">
        <v>11</v>
      </c>
      <c r="M195" s="5">
        <v>0.23</v>
      </c>
      <c r="N195" s="5">
        <v>0.229847</v>
      </c>
      <c r="O195" s="5">
        <v>1</v>
      </c>
      <c r="P195" s="5">
        <v>1.068873</v>
      </c>
      <c r="Q195" s="5">
        <v>-4.6900000000000004</v>
      </c>
      <c r="R195" s="5">
        <v>-4.6911620000000003</v>
      </c>
      <c r="S195" s="5">
        <v>161</v>
      </c>
      <c r="T195" s="5">
        <v>161</v>
      </c>
      <c r="U195" s="5">
        <v>3.5</v>
      </c>
      <c r="V195" s="5">
        <v>3.5</v>
      </c>
      <c r="W195" s="5">
        <v>300</v>
      </c>
      <c r="X195" s="5">
        <v>300</v>
      </c>
      <c r="Y195" s="5">
        <v>3.5</v>
      </c>
      <c r="Z195" s="5">
        <v>3.5</v>
      </c>
      <c r="AA195" s="5">
        <v>300</v>
      </c>
      <c r="AB195" s="5">
        <v>300</v>
      </c>
      <c r="AC195" s="5">
        <v>0</v>
      </c>
      <c r="AD195" s="5">
        <v>102.502</v>
      </c>
      <c r="AE195" s="5">
        <v>0</v>
      </c>
      <c r="AF195" s="5">
        <v>102.502</v>
      </c>
      <c r="AG195" s="5">
        <v>34</v>
      </c>
      <c r="AH195" s="5">
        <v>0.2</v>
      </c>
      <c r="AI195" s="5">
        <v>59.22</v>
      </c>
      <c r="AJ195" s="5">
        <v>84.31</v>
      </c>
      <c r="AK195" s="5">
        <v>67.540000000000006</v>
      </c>
      <c r="AL195" s="5">
        <v>68.94</v>
      </c>
      <c r="AM195" s="5">
        <v>583.03</v>
      </c>
      <c r="AN195" s="5">
        <v>151.80109999999999</v>
      </c>
      <c r="AO195" s="5">
        <v>50.69</v>
      </c>
      <c r="AP195" s="5">
        <v>85.94</v>
      </c>
      <c r="AQ195" s="5">
        <v>63.31</v>
      </c>
      <c r="AR195" s="5">
        <v>477.71</v>
      </c>
      <c r="AS195" s="5">
        <v>16.850000000000001</v>
      </c>
      <c r="AT195" s="5">
        <v>55.54</v>
      </c>
      <c r="AU195" s="5">
        <v>100.54</v>
      </c>
      <c r="AV195" s="5">
        <v>114.87</v>
      </c>
      <c r="AW195" s="5">
        <v>0.495</v>
      </c>
      <c r="AX195" s="5">
        <v>7.56</v>
      </c>
      <c r="AY195" s="5">
        <v>10000000000</v>
      </c>
      <c r="AZ195" s="5">
        <v>211.3</v>
      </c>
      <c r="BA195" s="5">
        <v>34.979999999999997</v>
      </c>
      <c r="BB195" s="5">
        <v>9.36</v>
      </c>
      <c r="BC195" s="5">
        <v>1.1599999999999999</v>
      </c>
      <c r="BD195" s="5">
        <v>7.55</v>
      </c>
      <c r="BE195" s="5">
        <v>2.11</v>
      </c>
      <c r="BF195" s="5">
        <v>298.8</v>
      </c>
      <c r="BG195" s="5">
        <v>12.43</v>
      </c>
      <c r="BH195" s="5">
        <v>10000000000</v>
      </c>
      <c r="BI195" s="5">
        <v>237.5</v>
      </c>
      <c r="BJ195" s="5">
        <v>23.2</v>
      </c>
      <c r="BK195" s="5">
        <v>86.6</v>
      </c>
      <c r="BL195" s="5">
        <v>67.83</v>
      </c>
      <c r="BM195" s="5">
        <v>1.66</v>
      </c>
      <c r="BN195" s="5">
        <v>30.02</v>
      </c>
      <c r="BO195" s="5">
        <v>37.4</v>
      </c>
      <c r="BP195" s="5">
        <v>498.51</v>
      </c>
      <c r="BQ195" s="5">
        <v>56.90578</v>
      </c>
      <c r="BR195" s="5">
        <v>167.25319999999999</v>
      </c>
      <c r="BS195" s="5">
        <v>50.464230000000001</v>
      </c>
      <c r="BT195" s="5">
        <v>38.816780000000001</v>
      </c>
      <c r="BU195" s="5">
        <v>38.84836</v>
      </c>
      <c r="BV195" s="5">
        <v>0.107109</v>
      </c>
      <c r="BW195" s="5">
        <v>0.11380700000000001</v>
      </c>
      <c r="BX195" s="5">
        <v>63.985419999999998</v>
      </c>
      <c r="BY195" s="5">
        <v>18.995360000000002</v>
      </c>
      <c r="BZ195" s="5">
        <v>0</v>
      </c>
      <c r="CA195" s="5">
        <v>0.93077100000000002</v>
      </c>
      <c r="CB195" s="5">
        <v>562.51980000000003</v>
      </c>
      <c r="CC195" s="5">
        <v>581.27440000000001</v>
      </c>
      <c r="CD195" s="5">
        <v>70.985420000000005</v>
      </c>
      <c r="CE195" s="5">
        <v>519.64</v>
      </c>
      <c r="CF195" s="5">
        <v>81.84</v>
      </c>
      <c r="CG195" s="5">
        <v>94.62</v>
      </c>
      <c r="CH195" s="5">
        <v>469.33</v>
      </c>
      <c r="CI195" s="5">
        <v>491.9</v>
      </c>
      <c r="CJ195" s="5">
        <v>503.03</v>
      </c>
      <c r="CK195" s="5">
        <v>542.49</v>
      </c>
      <c r="CL195" s="5">
        <v>531.32000000000005</v>
      </c>
      <c r="CM195" s="5">
        <v>536.42999999999995</v>
      </c>
      <c r="CN195" s="5">
        <v>483.29</v>
      </c>
      <c r="CO195" s="5">
        <v>28.93</v>
      </c>
      <c r="CP195" s="5">
        <v>458.9</v>
      </c>
      <c r="CQ195" s="5">
        <v>460.05</v>
      </c>
      <c r="CR195" s="5">
        <v>8.1999999999999993</v>
      </c>
      <c r="CS195" s="5">
        <v>8.1999999999999993</v>
      </c>
      <c r="CT195" s="5">
        <v>25.47</v>
      </c>
      <c r="CU195" s="5">
        <v>32.479999999999997</v>
      </c>
      <c r="CV195" s="5">
        <v>100.83</v>
      </c>
      <c r="CW195" s="5">
        <v>0.85342329412829299</v>
      </c>
      <c r="CX195" s="70">
        <v>1.800723150610698</v>
      </c>
    </row>
    <row r="196" spans="1:102" x14ac:dyDescent="0.25">
      <c r="A196" s="5">
        <v>35</v>
      </c>
      <c r="B196" s="23">
        <v>41401.614754421294</v>
      </c>
      <c r="C196" s="5">
        <v>7</v>
      </c>
      <c r="D196" s="5">
        <v>36</v>
      </c>
      <c r="E196" s="5">
        <v>518</v>
      </c>
      <c r="F196" s="5">
        <v>518</v>
      </c>
      <c r="G196" s="5">
        <v>518.1</v>
      </c>
      <c r="H196" s="5">
        <v>91.7</v>
      </c>
      <c r="I196" s="5">
        <v>91.7</v>
      </c>
      <c r="J196" s="5">
        <v>1800</v>
      </c>
      <c r="K196" s="5">
        <v>21</v>
      </c>
      <c r="L196" s="5">
        <v>21</v>
      </c>
      <c r="M196" s="5">
        <v>0.11</v>
      </c>
      <c r="N196" s="5">
        <v>0.109954</v>
      </c>
      <c r="O196" s="5">
        <v>1</v>
      </c>
      <c r="P196" s="5">
        <v>1.0688610000000001</v>
      </c>
      <c r="Q196" s="5">
        <v>-4.75</v>
      </c>
      <c r="R196" s="5">
        <v>-4.7460940000000003</v>
      </c>
      <c r="S196" s="5">
        <v>172.36</v>
      </c>
      <c r="T196" s="5">
        <v>172.35939999999999</v>
      </c>
      <c r="U196" s="5">
        <v>3.5</v>
      </c>
      <c r="V196" s="5">
        <v>3.5</v>
      </c>
      <c r="W196" s="5">
        <v>300</v>
      </c>
      <c r="X196" s="5">
        <v>300</v>
      </c>
      <c r="Y196" s="5">
        <v>0</v>
      </c>
      <c r="Z196" s="5">
        <v>0</v>
      </c>
      <c r="AA196" s="5">
        <v>300</v>
      </c>
      <c r="AB196" s="5">
        <v>300</v>
      </c>
      <c r="AC196" s="5">
        <v>0</v>
      </c>
      <c r="AD196" s="5">
        <v>119.3934</v>
      </c>
      <c r="AE196" s="5">
        <v>0</v>
      </c>
      <c r="AF196" s="5">
        <v>119.3934</v>
      </c>
      <c r="AG196" s="5">
        <v>34</v>
      </c>
      <c r="AH196" s="5">
        <v>0.2</v>
      </c>
      <c r="AI196" s="5">
        <v>69.069999999999993</v>
      </c>
      <c r="AJ196" s="5">
        <v>100.2</v>
      </c>
      <c r="AK196" s="5">
        <v>102.73</v>
      </c>
      <c r="AL196" s="5">
        <v>105.5</v>
      </c>
      <c r="AM196" s="5">
        <v>565.55999999999995</v>
      </c>
      <c r="AN196" s="5">
        <v>179.37909999999999</v>
      </c>
      <c r="AO196" s="5">
        <v>78.39</v>
      </c>
      <c r="AP196" s="5">
        <v>110.21</v>
      </c>
      <c r="AQ196" s="5">
        <v>94.23</v>
      </c>
      <c r="AR196" s="5">
        <v>588</v>
      </c>
      <c r="AS196" s="5">
        <v>24.33</v>
      </c>
      <c r="AT196" s="5">
        <v>59</v>
      </c>
      <c r="AU196" s="5">
        <v>98.34</v>
      </c>
      <c r="AV196" s="5">
        <v>112.1</v>
      </c>
      <c r="AW196" s="5">
        <v>0.193</v>
      </c>
      <c r="AX196" s="5">
        <v>2.68</v>
      </c>
      <c r="AY196" s="5">
        <v>10000000000</v>
      </c>
      <c r="AZ196" s="5">
        <v>124.08</v>
      </c>
      <c r="BA196" s="5">
        <v>24.84</v>
      </c>
      <c r="BB196" s="5">
        <v>8.3000000000000007</v>
      </c>
      <c r="BC196" s="5">
        <v>0.63</v>
      </c>
      <c r="BD196" s="5">
        <v>8.99</v>
      </c>
      <c r="BE196" s="5">
        <v>3.71</v>
      </c>
      <c r="BF196" s="5">
        <v>470.61</v>
      </c>
      <c r="BG196" s="5">
        <v>7.64</v>
      </c>
      <c r="BH196" s="5">
        <v>10000000000</v>
      </c>
      <c r="BI196" s="5">
        <v>231.2</v>
      </c>
      <c r="BJ196" s="5">
        <v>26</v>
      </c>
      <c r="BK196" s="5">
        <v>87.7</v>
      </c>
      <c r="BL196" s="5">
        <v>48.63</v>
      </c>
      <c r="BM196" s="5">
        <v>1.92</v>
      </c>
      <c r="BN196" s="5">
        <v>29.55</v>
      </c>
      <c r="BO196" s="5">
        <v>36.520000000000003</v>
      </c>
      <c r="BP196" s="5">
        <v>610.53</v>
      </c>
      <c r="BQ196" s="5">
        <v>59.945990000000002</v>
      </c>
      <c r="BR196" s="5">
        <v>205.47</v>
      </c>
      <c r="BS196" s="5">
        <v>47.518680000000003</v>
      </c>
      <c r="BT196" s="5">
        <v>39.824570000000001</v>
      </c>
      <c r="BU196" s="5">
        <v>39.653280000000002</v>
      </c>
      <c r="BV196" s="5">
        <v>0.107809</v>
      </c>
      <c r="BW196" s="5">
        <v>0.11053200000000001</v>
      </c>
      <c r="BX196" s="5">
        <v>77.809529999999995</v>
      </c>
      <c r="BY196" s="5">
        <v>18.995360000000002</v>
      </c>
      <c r="BZ196" s="5">
        <v>0</v>
      </c>
      <c r="CA196" s="5">
        <v>0.93033900000000003</v>
      </c>
      <c r="CB196" s="5">
        <v>658.38400000000001</v>
      </c>
      <c r="CC196" s="5">
        <v>679.88789999999995</v>
      </c>
      <c r="CD196" s="5">
        <v>81.333690000000004</v>
      </c>
      <c r="CE196" s="5">
        <v>453.94</v>
      </c>
      <c r="CF196" s="5">
        <v>79.31</v>
      </c>
      <c r="CG196" s="5">
        <v>92.57</v>
      </c>
      <c r="CH196" s="5">
        <v>456.82</v>
      </c>
      <c r="CI196" s="5">
        <v>481.29</v>
      </c>
      <c r="CJ196" s="5">
        <v>496.31</v>
      </c>
      <c r="CK196" s="5">
        <v>524.58000000000004</v>
      </c>
      <c r="CL196" s="5">
        <v>516.03</v>
      </c>
      <c r="CM196" s="5">
        <v>503.74</v>
      </c>
      <c r="CN196" s="5">
        <v>449.01</v>
      </c>
      <c r="CO196" s="5">
        <v>29.48</v>
      </c>
      <c r="CP196" s="5">
        <v>517</v>
      </c>
      <c r="CQ196" s="5">
        <v>518.04999999999995</v>
      </c>
      <c r="CR196" s="5">
        <v>9.3000000000000007</v>
      </c>
      <c r="CS196" s="5">
        <v>9.3000000000000007</v>
      </c>
      <c r="CT196" s="5">
        <v>26.16</v>
      </c>
      <c r="CU196" s="5">
        <v>30.43</v>
      </c>
      <c r="CV196" s="5">
        <v>100.69</v>
      </c>
      <c r="CW196" s="5">
        <v>0.86570333049833936</v>
      </c>
      <c r="CX196" s="70">
        <v>3.2117593561488391</v>
      </c>
    </row>
    <row r="197" spans="1:102" x14ac:dyDescent="0.25">
      <c r="A197" s="5">
        <v>26</v>
      </c>
      <c r="B197" s="23">
        <v>41401.562099236115</v>
      </c>
      <c r="C197" s="5">
        <v>7</v>
      </c>
      <c r="D197" s="5">
        <v>29</v>
      </c>
      <c r="E197" s="5">
        <v>497</v>
      </c>
      <c r="F197" s="5">
        <v>497</v>
      </c>
      <c r="G197" s="5">
        <v>497.1</v>
      </c>
      <c r="H197" s="5">
        <v>91.7</v>
      </c>
      <c r="I197" s="5">
        <v>91.7</v>
      </c>
      <c r="J197" s="5">
        <v>1800</v>
      </c>
      <c r="K197" s="5">
        <v>13</v>
      </c>
      <c r="L197" s="5">
        <v>13</v>
      </c>
      <c r="M197" s="5">
        <v>0.1</v>
      </c>
      <c r="N197" s="5">
        <v>0.100023</v>
      </c>
      <c r="O197" s="5">
        <v>1</v>
      </c>
      <c r="P197" s="5">
        <v>1.0689759999999999</v>
      </c>
      <c r="Q197" s="5">
        <v>-4.97</v>
      </c>
      <c r="R197" s="5">
        <v>-4.9658199999999999</v>
      </c>
      <c r="S197" s="5">
        <v>169.28</v>
      </c>
      <c r="T197" s="5">
        <v>169.28129999999999</v>
      </c>
      <c r="U197" s="5">
        <v>3.5</v>
      </c>
      <c r="V197" s="5">
        <v>3.5</v>
      </c>
      <c r="W197" s="5">
        <v>300</v>
      </c>
      <c r="X197" s="5">
        <v>300</v>
      </c>
      <c r="Y197" s="5">
        <v>3.5</v>
      </c>
      <c r="Z197" s="5">
        <v>3.5</v>
      </c>
      <c r="AA197" s="5">
        <v>300</v>
      </c>
      <c r="AB197" s="5">
        <v>300</v>
      </c>
      <c r="AC197" s="5">
        <v>0</v>
      </c>
      <c r="AD197" s="5">
        <v>110.1138</v>
      </c>
      <c r="AE197" s="5">
        <v>0</v>
      </c>
      <c r="AF197" s="5">
        <v>110.1138</v>
      </c>
      <c r="AG197" s="5">
        <v>34</v>
      </c>
      <c r="AH197" s="5">
        <v>0.2</v>
      </c>
      <c r="AI197" s="5">
        <v>63.66</v>
      </c>
      <c r="AJ197" s="5">
        <v>92.76</v>
      </c>
      <c r="AK197" s="5">
        <v>84.14</v>
      </c>
      <c r="AL197" s="5">
        <v>86.91</v>
      </c>
      <c r="AM197" s="5">
        <v>580.12</v>
      </c>
      <c r="AN197" s="5">
        <v>163.4023</v>
      </c>
      <c r="AO197" s="5">
        <v>62.16</v>
      </c>
      <c r="AP197" s="5">
        <v>97.88</v>
      </c>
      <c r="AQ197" s="5">
        <v>76.78</v>
      </c>
      <c r="AR197" s="5">
        <v>544.21</v>
      </c>
      <c r="AS197" s="5">
        <v>21.95</v>
      </c>
      <c r="AT197" s="5">
        <v>55.1</v>
      </c>
      <c r="AU197" s="5">
        <v>97.86</v>
      </c>
      <c r="AV197" s="5">
        <v>114.17</v>
      </c>
      <c r="AW197" s="5">
        <v>0.186</v>
      </c>
      <c r="AX197" s="5">
        <v>2.59</v>
      </c>
      <c r="AY197" s="5">
        <v>10000000000</v>
      </c>
      <c r="AZ197" s="5">
        <v>125.29</v>
      </c>
      <c r="BA197" s="5">
        <v>31.89</v>
      </c>
      <c r="BB197" s="5">
        <v>8.7899999999999991</v>
      </c>
      <c r="BC197" s="5">
        <v>0.61</v>
      </c>
      <c r="BD197" s="5">
        <v>8.36</v>
      </c>
      <c r="BE197" s="5">
        <v>3.47</v>
      </c>
      <c r="BF197" s="5">
        <v>460.84</v>
      </c>
      <c r="BG197" s="5">
        <v>6.99</v>
      </c>
      <c r="BH197" s="5">
        <v>10000000000</v>
      </c>
      <c r="BI197" s="5">
        <v>234.5</v>
      </c>
      <c r="BJ197" s="5">
        <v>24.8</v>
      </c>
      <c r="BK197" s="5">
        <v>87.7</v>
      </c>
      <c r="BL197" s="5">
        <v>40.9</v>
      </c>
      <c r="BM197" s="5">
        <v>1.76</v>
      </c>
      <c r="BN197" s="5">
        <v>29.52</v>
      </c>
      <c r="BO197" s="5">
        <v>36.89</v>
      </c>
      <c r="BP197" s="5">
        <v>566.29999999999995</v>
      </c>
      <c r="BQ197" s="5">
        <v>56.570099999999996</v>
      </c>
      <c r="BR197" s="5">
        <v>187.3458</v>
      </c>
      <c r="BS197" s="5">
        <v>49.05527</v>
      </c>
      <c r="BT197" s="5">
        <v>39.158410000000003</v>
      </c>
      <c r="BU197" s="5">
        <v>39.09328</v>
      </c>
      <c r="BV197" s="5">
        <v>0.107903</v>
      </c>
      <c r="BW197" s="5">
        <v>0.112868</v>
      </c>
      <c r="BX197" s="5">
        <v>68.923389999999998</v>
      </c>
      <c r="BY197" s="5">
        <v>18.995360000000002</v>
      </c>
      <c r="BZ197" s="5">
        <v>0</v>
      </c>
      <c r="CA197" s="5">
        <v>0.93077299999999996</v>
      </c>
      <c r="CB197" s="5">
        <v>606.11289999999997</v>
      </c>
      <c r="CC197" s="5">
        <v>626.18409999999994</v>
      </c>
      <c r="CD197" s="5">
        <v>75.928120000000007</v>
      </c>
      <c r="CE197" s="5">
        <v>458.72</v>
      </c>
      <c r="CF197" s="5">
        <v>76.81</v>
      </c>
      <c r="CG197" s="5">
        <v>91</v>
      </c>
      <c r="CH197" s="5">
        <v>472.93</v>
      </c>
      <c r="CI197" s="5">
        <v>492.38</v>
      </c>
      <c r="CJ197" s="5">
        <v>501.75</v>
      </c>
      <c r="CK197" s="5">
        <v>542.77</v>
      </c>
      <c r="CL197" s="5">
        <v>534.77</v>
      </c>
      <c r="CM197" s="5">
        <v>528.02</v>
      </c>
      <c r="CN197" s="5">
        <v>473.43</v>
      </c>
      <c r="CO197" s="5">
        <v>29.9</v>
      </c>
      <c r="CP197" s="5">
        <v>496.2</v>
      </c>
      <c r="CQ197" s="5">
        <v>497.05</v>
      </c>
      <c r="CR197" s="5">
        <v>8.9</v>
      </c>
      <c r="CS197" s="5">
        <v>8.9</v>
      </c>
      <c r="CT197" s="5">
        <v>26.1</v>
      </c>
      <c r="CU197" s="5">
        <v>31.39</v>
      </c>
      <c r="CV197" s="5">
        <v>100.74</v>
      </c>
      <c r="CW197" s="5">
        <v>0.86289022676486571</v>
      </c>
      <c r="CX197" s="70">
        <v>2.9942290868740842</v>
      </c>
    </row>
    <row r="198" spans="1:102" x14ac:dyDescent="0.25">
      <c r="A198" s="5">
        <v>24</v>
      </c>
      <c r="B198" s="23">
        <v>41401.551215891202</v>
      </c>
      <c r="C198" s="5">
        <v>7</v>
      </c>
      <c r="D198" s="5">
        <v>27</v>
      </c>
      <c r="E198" s="5">
        <v>488</v>
      </c>
      <c r="F198" s="5">
        <v>488</v>
      </c>
      <c r="G198" s="5">
        <v>488</v>
      </c>
      <c r="H198" s="5">
        <v>91.7</v>
      </c>
      <c r="I198" s="5">
        <v>91.7</v>
      </c>
      <c r="J198" s="5">
        <v>1800</v>
      </c>
      <c r="K198" s="5">
        <v>6</v>
      </c>
      <c r="L198" s="5">
        <v>6</v>
      </c>
      <c r="M198" s="5">
        <v>0.12</v>
      </c>
      <c r="N198" s="5">
        <v>0.12001100000000001</v>
      </c>
      <c r="O198" s="5">
        <v>1</v>
      </c>
      <c r="P198" s="5">
        <v>1.0689040000000001</v>
      </c>
      <c r="Q198" s="5">
        <v>-4.9000000000000004</v>
      </c>
      <c r="R198" s="5">
        <v>-4.899902</v>
      </c>
      <c r="S198" s="5">
        <v>167.26</v>
      </c>
      <c r="T198" s="5">
        <v>167.26560000000001</v>
      </c>
      <c r="U198" s="5">
        <v>3.5</v>
      </c>
      <c r="V198" s="5">
        <v>3.5</v>
      </c>
      <c r="W198" s="5">
        <v>300</v>
      </c>
      <c r="X198" s="5">
        <v>300</v>
      </c>
      <c r="Y198" s="5">
        <v>3.5</v>
      </c>
      <c r="Z198" s="5">
        <v>3.5</v>
      </c>
      <c r="AA198" s="5">
        <v>300</v>
      </c>
      <c r="AB198" s="5">
        <v>300</v>
      </c>
      <c r="AC198" s="5">
        <v>0</v>
      </c>
      <c r="AD198" s="5">
        <v>104.97329999999999</v>
      </c>
      <c r="AE198" s="5">
        <v>0</v>
      </c>
      <c r="AF198" s="5">
        <v>104.97329999999999</v>
      </c>
      <c r="AG198" s="5">
        <v>34</v>
      </c>
      <c r="AH198" s="5">
        <v>0.2</v>
      </c>
      <c r="AI198" s="5">
        <v>60.65</v>
      </c>
      <c r="AJ198" s="5">
        <v>87.71</v>
      </c>
      <c r="AK198" s="5">
        <v>73.61</v>
      </c>
      <c r="AL198" s="5">
        <v>76.12</v>
      </c>
      <c r="AM198" s="5">
        <v>598.28</v>
      </c>
      <c r="AN198" s="5">
        <v>154.72550000000001</v>
      </c>
      <c r="AO198" s="5">
        <v>53.42</v>
      </c>
      <c r="AP198" s="5">
        <v>90.25</v>
      </c>
      <c r="AQ198" s="5">
        <v>67.05</v>
      </c>
      <c r="AR198" s="5">
        <v>508.52</v>
      </c>
      <c r="AS198" s="5">
        <v>20.170000000000002</v>
      </c>
      <c r="AT198" s="5">
        <v>53.36</v>
      </c>
      <c r="AU198" s="5">
        <v>98.14</v>
      </c>
      <c r="AV198" s="5">
        <v>114.21</v>
      </c>
      <c r="AW198" s="5">
        <v>0.28999999999999998</v>
      </c>
      <c r="AX198" s="5">
        <v>4.16</v>
      </c>
      <c r="AY198" s="5">
        <v>10000000000</v>
      </c>
      <c r="AZ198" s="5">
        <v>176.68</v>
      </c>
      <c r="BA198" s="5">
        <v>30.72</v>
      </c>
      <c r="BB198" s="5">
        <v>9.23</v>
      </c>
      <c r="BC198" s="5">
        <v>0.74</v>
      </c>
      <c r="BD198" s="5">
        <v>7.68</v>
      </c>
      <c r="BE198" s="5">
        <v>2.97</v>
      </c>
      <c r="BF198" s="5">
        <v>418.21</v>
      </c>
      <c r="BG198" s="5">
        <v>8.0500000000000007</v>
      </c>
      <c r="BH198" s="5">
        <v>10000000000</v>
      </c>
      <c r="BI198" s="5">
        <v>236.7</v>
      </c>
      <c r="BJ198" s="5">
        <v>23.3</v>
      </c>
      <c r="BK198" s="5">
        <v>86.6</v>
      </c>
      <c r="BL198" s="5">
        <v>44.47</v>
      </c>
      <c r="BM198" s="5">
        <v>1.68</v>
      </c>
      <c r="BN198" s="5">
        <v>29.64</v>
      </c>
      <c r="BO198" s="5">
        <v>37.35</v>
      </c>
      <c r="BP198" s="5">
        <v>529.87</v>
      </c>
      <c r="BQ198" s="5">
        <v>54.989739999999998</v>
      </c>
      <c r="BR198" s="5">
        <v>176.06010000000001</v>
      </c>
      <c r="BS198" s="5">
        <v>49.189799999999998</v>
      </c>
      <c r="BT198" s="5">
        <v>37.379219999999997</v>
      </c>
      <c r="BU198" s="5">
        <v>37.427660000000003</v>
      </c>
      <c r="BV198" s="5">
        <v>0.10784199999999999</v>
      </c>
      <c r="BW198" s="5">
        <v>0.11447</v>
      </c>
      <c r="BX198" s="5">
        <v>68.469480000000004</v>
      </c>
      <c r="BY198" s="5">
        <v>18.995360000000002</v>
      </c>
      <c r="BZ198" s="5">
        <v>0</v>
      </c>
      <c r="CA198" s="5">
        <v>0.93076300000000001</v>
      </c>
      <c r="CB198" s="5">
        <v>576.75459999999998</v>
      </c>
      <c r="CC198" s="5">
        <v>596.69830000000002</v>
      </c>
      <c r="CD198" s="5">
        <v>75.463700000000003</v>
      </c>
      <c r="CE198" s="5">
        <v>487.78</v>
      </c>
      <c r="CF198" s="5">
        <v>77.95</v>
      </c>
      <c r="CG198" s="5">
        <v>92.22</v>
      </c>
      <c r="CH198" s="5">
        <v>486.44</v>
      </c>
      <c r="CI198" s="5">
        <v>505.64</v>
      </c>
      <c r="CJ198" s="5">
        <v>513.88</v>
      </c>
      <c r="CK198" s="5">
        <v>556.41</v>
      </c>
      <c r="CL198" s="5">
        <v>548.89</v>
      </c>
      <c r="CM198" s="5">
        <v>545.79</v>
      </c>
      <c r="CN198" s="5">
        <v>495.68</v>
      </c>
      <c r="CO198" s="5">
        <v>29.76</v>
      </c>
      <c r="CP198" s="5">
        <v>487.1</v>
      </c>
      <c r="CQ198" s="5">
        <v>488.05</v>
      </c>
      <c r="CR198" s="5">
        <v>8.6999999999999993</v>
      </c>
      <c r="CS198" s="5">
        <v>8.6999999999999993</v>
      </c>
      <c r="CT198" s="5">
        <v>26.29</v>
      </c>
      <c r="CU198" s="5">
        <v>30.22</v>
      </c>
      <c r="CV198" s="5">
        <v>100.75</v>
      </c>
      <c r="CW198" s="5">
        <v>0.85567499742143538</v>
      </c>
      <c r="CX198" s="70">
        <v>2.5413547423416634</v>
      </c>
    </row>
    <row r="199" spans="1:102" x14ac:dyDescent="0.25">
      <c r="A199" s="5">
        <v>10</v>
      </c>
      <c r="B199" s="23">
        <v>41397.694311307867</v>
      </c>
      <c r="C199" s="5">
        <v>7</v>
      </c>
      <c r="D199" s="5">
        <v>2</v>
      </c>
      <c r="E199" s="5">
        <v>404</v>
      </c>
      <c r="F199" s="5">
        <v>404</v>
      </c>
      <c r="G199" s="5">
        <v>404</v>
      </c>
      <c r="H199" s="5">
        <v>91.7</v>
      </c>
      <c r="I199" s="5">
        <v>91.7</v>
      </c>
      <c r="J199" s="5">
        <v>1800</v>
      </c>
      <c r="K199" s="5">
        <v>25</v>
      </c>
      <c r="L199" s="5">
        <v>25</v>
      </c>
      <c r="M199" s="5">
        <v>0.16</v>
      </c>
      <c r="N199" s="5">
        <v>0.15993299999999999</v>
      </c>
      <c r="O199" s="5">
        <v>1</v>
      </c>
      <c r="P199" s="5">
        <v>1.068983</v>
      </c>
      <c r="Q199" s="5">
        <v>-4.2699999999999996</v>
      </c>
      <c r="R199" s="5">
        <v>-4.273682</v>
      </c>
      <c r="S199" s="5">
        <v>148.5</v>
      </c>
      <c r="T199" s="5">
        <v>148.5</v>
      </c>
      <c r="U199" s="5">
        <v>3.5</v>
      </c>
      <c r="V199" s="5">
        <v>3.5</v>
      </c>
      <c r="W199" s="5">
        <v>300</v>
      </c>
      <c r="X199" s="5">
        <v>300</v>
      </c>
      <c r="Y199" s="5">
        <v>3.5</v>
      </c>
      <c r="Z199" s="5">
        <v>3.5</v>
      </c>
      <c r="AA199" s="5">
        <v>300</v>
      </c>
      <c r="AB199" s="5">
        <v>300</v>
      </c>
      <c r="AC199" s="5">
        <v>0</v>
      </c>
      <c r="AD199" s="5">
        <v>108.941</v>
      </c>
      <c r="AE199" s="5">
        <v>0</v>
      </c>
      <c r="AF199" s="5">
        <v>108.941</v>
      </c>
      <c r="AG199" s="5">
        <v>34</v>
      </c>
      <c r="AH199" s="5">
        <v>0.2</v>
      </c>
      <c r="AI199" s="5">
        <v>62.27</v>
      </c>
      <c r="AJ199" s="5">
        <v>88.18</v>
      </c>
      <c r="AK199" s="5">
        <v>81.489999999999995</v>
      </c>
      <c r="AL199" s="5">
        <v>83.19</v>
      </c>
      <c r="AM199" s="5">
        <v>494.9</v>
      </c>
      <c r="AN199" s="5">
        <v>161.43279999999999</v>
      </c>
      <c r="AO199" s="5">
        <v>59.47</v>
      </c>
      <c r="AP199" s="5">
        <v>87.56</v>
      </c>
      <c r="AQ199" s="5">
        <v>71.790000000000006</v>
      </c>
      <c r="AR199" s="5">
        <v>501.05</v>
      </c>
      <c r="AS199" s="5">
        <v>22.03</v>
      </c>
      <c r="AT199" s="5">
        <v>54.82</v>
      </c>
      <c r="AU199" s="5">
        <v>98.81</v>
      </c>
      <c r="AV199" s="5">
        <v>114.92</v>
      </c>
      <c r="AW199" s="5">
        <v>0.21</v>
      </c>
      <c r="AX199" s="5">
        <v>2.94</v>
      </c>
      <c r="AY199" s="5">
        <v>10000000000</v>
      </c>
      <c r="AZ199" s="5">
        <v>140.11000000000001</v>
      </c>
      <c r="BA199" s="5">
        <v>46.5</v>
      </c>
      <c r="BB199" s="5">
        <v>7.59</v>
      </c>
      <c r="BC199" s="5">
        <v>0.89</v>
      </c>
      <c r="BD199" s="5">
        <v>10.130000000000001</v>
      </c>
      <c r="BE199" s="5">
        <v>2.89</v>
      </c>
      <c r="BF199" s="5">
        <v>332.27</v>
      </c>
      <c r="BG199" s="5">
        <v>11.68</v>
      </c>
      <c r="BH199" s="5">
        <v>10000000000</v>
      </c>
      <c r="BI199" s="5">
        <v>235.2</v>
      </c>
      <c r="BJ199" s="5">
        <v>28</v>
      </c>
      <c r="BK199" s="5">
        <v>85.5</v>
      </c>
      <c r="BL199" s="5">
        <v>66.27</v>
      </c>
      <c r="BM199" s="5">
        <v>1.75</v>
      </c>
      <c r="BN199" s="5">
        <v>29.79</v>
      </c>
      <c r="BO199" s="5">
        <v>36.01</v>
      </c>
      <c r="BP199" s="5">
        <v>518.89</v>
      </c>
      <c r="BQ199" s="5">
        <v>56.243070000000003</v>
      </c>
      <c r="BR199" s="5">
        <v>183.12430000000001</v>
      </c>
      <c r="BS199" s="5">
        <v>55.704250000000002</v>
      </c>
      <c r="BT199" s="5">
        <v>49.382620000000003</v>
      </c>
      <c r="BU199" s="5">
        <v>49.093200000000003</v>
      </c>
      <c r="BV199" s="5">
        <v>9.1909000000000005E-2</v>
      </c>
      <c r="BW199" s="5">
        <v>9.3798999999999993E-2</v>
      </c>
      <c r="BX199" s="5">
        <v>54.033909999999999</v>
      </c>
      <c r="BY199" s="5">
        <v>18.995360000000002</v>
      </c>
      <c r="BZ199" s="5">
        <v>0</v>
      </c>
      <c r="CA199" s="5">
        <v>0.93076000000000003</v>
      </c>
      <c r="CB199" s="5">
        <v>599.48440000000005</v>
      </c>
      <c r="CC199" s="5">
        <v>615.60059999999999</v>
      </c>
      <c r="CD199" s="5">
        <v>61.033329999999999</v>
      </c>
      <c r="CE199" s="5">
        <v>446.78</v>
      </c>
      <c r="CF199" s="5">
        <v>79.02</v>
      </c>
      <c r="CG199" s="5">
        <v>91.78</v>
      </c>
      <c r="CH199" s="5">
        <v>411.05</v>
      </c>
      <c r="CI199" s="5">
        <v>423.54</v>
      </c>
      <c r="CJ199" s="5">
        <v>435.71</v>
      </c>
      <c r="CK199" s="5">
        <v>473.98</v>
      </c>
      <c r="CL199" s="5">
        <v>453.2</v>
      </c>
      <c r="CM199" s="5">
        <v>460.5</v>
      </c>
      <c r="CN199" s="5">
        <v>399.59</v>
      </c>
      <c r="CO199" s="5">
        <v>25.99</v>
      </c>
      <c r="CP199" s="5">
        <v>402</v>
      </c>
      <c r="CQ199" s="5">
        <v>404.05</v>
      </c>
      <c r="CR199" s="5">
        <v>7.2</v>
      </c>
      <c r="CS199" s="5">
        <v>7.2</v>
      </c>
      <c r="CT199" s="5">
        <v>24.64</v>
      </c>
      <c r="CU199" s="5">
        <v>39.08</v>
      </c>
      <c r="CV199" s="5">
        <v>100.76</v>
      </c>
      <c r="CW199" s="5">
        <v>0.87569346043489726</v>
      </c>
      <c r="CX199" s="70">
        <v>2.530754100656853</v>
      </c>
    </row>
    <row r="200" spans="1:102" x14ac:dyDescent="0.25">
      <c r="A200" s="5">
        <v>32</v>
      </c>
      <c r="B200" s="23">
        <v>41401.59593541667</v>
      </c>
      <c r="C200" s="5">
        <v>7</v>
      </c>
      <c r="D200" s="5">
        <v>24</v>
      </c>
      <c r="E200" s="5">
        <v>479</v>
      </c>
      <c r="F200" s="5">
        <v>479</v>
      </c>
      <c r="G200" s="5">
        <v>479.1</v>
      </c>
      <c r="H200" s="5">
        <v>91.7</v>
      </c>
      <c r="I200" s="5">
        <v>91.7</v>
      </c>
      <c r="J200" s="5">
        <v>1800</v>
      </c>
      <c r="K200" s="5">
        <v>59</v>
      </c>
      <c r="L200" s="5">
        <v>59</v>
      </c>
      <c r="M200" s="5">
        <v>0.28000000000000003</v>
      </c>
      <c r="N200" s="5">
        <v>0.28001300000000001</v>
      </c>
      <c r="O200" s="5">
        <v>1</v>
      </c>
      <c r="P200" s="5">
        <v>1.069</v>
      </c>
      <c r="Q200" s="5">
        <v>-4.83</v>
      </c>
      <c r="R200" s="5">
        <v>-4.8339840000000001</v>
      </c>
      <c r="S200" s="5">
        <v>165.25</v>
      </c>
      <c r="T200" s="5">
        <v>165.25</v>
      </c>
      <c r="U200" s="5">
        <v>3.5</v>
      </c>
      <c r="V200" s="5">
        <v>3.5</v>
      </c>
      <c r="W200" s="5">
        <v>300</v>
      </c>
      <c r="X200" s="5">
        <v>300</v>
      </c>
      <c r="Y200" s="5">
        <v>3.5</v>
      </c>
      <c r="Z200" s="5">
        <v>3.5</v>
      </c>
      <c r="AA200" s="5">
        <v>300</v>
      </c>
      <c r="AB200" s="5">
        <v>300</v>
      </c>
      <c r="AC200" s="5">
        <v>0</v>
      </c>
      <c r="AD200" s="5">
        <v>140.3502</v>
      </c>
      <c r="AE200" s="5">
        <v>0</v>
      </c>
      <c r="AF200" s="5">
        <v>140.3502</v>
      </c>
      <c r="AG200" s="5">
        <v>34</v>
      </c>
      <c r="AH200" s="5">
        <v>0.2</v>
      </c>
      <c r="AI200" s="5">
        <v>82.61</v>
      </c>
      <c r="AJ200" s="5">
        <v>111.08</v>
      </c>
      <c r="AK200" s="5">
        <v>185.87</v>
      </c>
      <c r="AL200" s="5">
        <v>183.58</v>
      </c>
      <c r="AM200" s="5">
        <v>503.64</v>
      </c>
      <c r="AN200" s="5">
        <v>223.4992</v>
      </c>
      <c r="AO200" s="5">
        <v>124.22</v>
      </c>
      <c r="AP200" s="5">
        <v>140.26</v>
      </c>
      <c r="AQ200" s="5">
        <v>138.41</v>
      </c>
      <c r="AR200" s="5">
        <v>536.54</v>
      </c>
      <c r="AS200" s="5">
        <v>61.65</v>
      </c>
      <c r="AT200" s="5">
        <v>82.29</v>
      </c>
      <c r="AU200" s="5">
        <v>137.37</v>
      </c>
      <c r="AV200" s="5">
        <v>114.86</v>
      </c>
      <c r="AW200" s="5">
        <v>0.83899999999999997</v>
      </c>
      <c r="AX200" s="5">
        <v>14.25</v>
      </c>
      <c r="AY200" s="5">
        <v>10000000000</v>
      </c>
      <c r="AZ200" s="5">
        <v>273.60000000000002</v>
      </c>
      <c r="BA200" s="5">
        <v>52.58</v>
      </c>
      <c r="BB200" s="5">
        <v>8.69</v>
      </c>
      <c r="BC200" s="5">
        <v>2.5099999999999998</v>
      </c>
      <c r="BD200" s="5">
        <v>8.41</v>
      </c>
      <c r="BE200" s="5">
        <v>0.86</v>
      </c>
      <c r="BF200" s="5">
        <v>112.43</v>
      </c>
      <c r="BG200" s="5">
        <v>28.88</v>
      </c>
      <c r="BH200" s="5">
        <v>10000000000</v>
      </c>
      <c r="BI200" s="5">
        <v>243.9</v>
      </c>
      <c r="BJ200" s="5">
        <v>24.4</v>
      </c>
      <c r="BK200" s="5">
        <v>83.6</v>
      </c>
      <c r="BL200" s="5">
        <v>217.94</v>
      </c>
      <c r="BM200" s="5">
        <v>2.38</v>
      </c>
      <c r="BN200" s="5">
        <v>31.29</v>
      </c>
      <c r="BO200" s="5">
        <v>37.01</v>
      </c>
      <c r="BP200" s="5">
        <v>558.76</v>
      </c>
      <c r="BQ200" s="5">
        <v>79.280879999999996</v>
      </c>
      <c r="BR200" s="5">
        <v>274.5478</v>
      </c>
      <c r="BS200" s="5">
        <v>48.985080000000004</v>
      </c>
      <c r="BT200" s="5">
        <v>50.734360000000002</v>
      </c>
      <c r="BU200" s="5">
        <v>49.862810000000003</v>
      </c>
      <c r="BV200" s="5">
        <v>0.10793800000000001</v>
      </c>
      <c r="BW200" s="5">
        <v>0.101408</v>
      </c>
      <c r="BX200" s="5">
        <v>69.171880000000002</v>
      </c>
      <c r="BY200" s="5">
        <v>18.995360000000002</v>
      </c>
      <c r="BZ200" s="5">
        <v>0</v>
      </c>
      <c r="CA200" s="5">
        <v>0.93077699999999997</v>
      </c>
      <c r="CB200" s="5">
        <v>775.61559999999997</v>
      </c>
      <c r="CC200" s="5">
        <v>795.74580000000003</v>
      </c>
      <c r="CD200" s="5">
        <v>76.172920000000005</v>
      </c>
      <c r="CE200" s="5">
        <v>513.72</v>
      </c>
      <c r="CF200" s="5">
        <v>111.24</v>
      </c>
      <c r="CG200" s="5">
        <v>131.63</v>
      </c>
      <c r="CH200" s="5">
        <v>438.26</v>
      </c>
      <c r="CI200" s="5">
        <v>453.22</v>
      </c>
      <c r="CJ200" s="5">
        <v>464.7</v>
      </c>
      <c r="CK200" s="5">
        <v>494.78</v>
      </c>
      <c r="CL200" s="5">
        <v>498</v>
      </c>
      <c r="CM200" s="5">
        <v>501.11</v>
      </c>
      <c r="CN200" s="5">
        <v>358.62</v>
      </c>
      <c r="CO200" s="5">
        <v>29.5</v>
      </c>
      <c r="CP200" s="5">
        <v>478.1</v>
      </c>
      <c r="CQ200" s="5">
        <v>479.05</v>
      </c>
      <c r="CR200" s="5">
        <v>8.6</v>
      </c>
      <c r="CS200" s="5">
        <v>8.6</v>
      </c>
      <c r="CT200" s="5">
        <v>26.03</v>
      </c>
      <c r="CU200" s="5">
        <v>27.51</v>
      </c>
      <c r="CV200" s="5">
        <v>100.73</v>
      </c>
      <c r="CW200" s="5">
        <v>0.84878560098669176</v>
      </c>
      <c r="CX200" s="70">
        <v>0.72995561684855492</v>
      </c>
    </row>
    <row r="201" spans="1:102" x14ac:dyDescent="0.25">
      <c r="A201" s="5">
        <v>28</v>
      </c>
      <c r="B201" s="23">
        <v>41401.572978634256</v>
      </c>
      <c r="C201" s="5">
        <v>7</v>
      </c>
      <c r="D201" s="5">
        <v>31</v>
      </c>
      <c r="E201" s="5">
        <v>502</v>
      </c>
      <c r="F201" s="5">
        <v>502</v>
      </c>
      <c r="G201" s="5">
        <v>502</v>
      </c>
      <c r="H201" s="5">
        <v>91.7</v>
      </c>
      <c r="I201" s="5">
        <v>91.7</v>
      </c>
      <c r="J201" s="5">
        <v>1800</v>
      </c>
      <c r="K201" s="5">
        <v>54</v>
      </c>
      <c r="L201" s="5">
        <v>54</v>
      </c>
      <c r="M201" s="5">
        <v>0.19</v>
      </c>
      <c r="N201" s="5">
        <v>0.19001000000000001</v>
      </c>
      <c r="O201" s="5">
        <v>1</v>
      </c>
      <c r="P201" s="5">
        <v>1.068886</v>
      </c>
      <c r="Q201" s="5">
        <v>-4.96</v>
      </c>
      <c r="R201" s="5">
        <v>-4.954834</v>
      </c>
      <c r="S201" s="5">
        <v>170.22</v>
      </c>
      <c r="T201" s="5">
        <v>170.21879999999999</v>
      </c>
      <c r="U201" s="5">
        <v>3.5</v>
      </c>
      <c r="V201" s="5">
        <v>3.5</v>
      </c>
      <c r="W201" s="5">
        <v>300</v>
      </c>
      <c r="X201" s="5">
        <v>300</v>
      </c>
      <c r="Y201" s="5">
        <v>0</v>
      </c>
      <c r="Z201" s="5">
        <v>0</v>
      </c>
      <c r="AA201" s="5">
        <v>300</v>
      </c>
      <c r="AB201" s="5">
        <v>300</v>
      </c>
      <c r="AC201" s="5">
        <v>0</v>
      </c>
      <c r="AD201" s="5">
        <v>150.60120000000001</v>
      </c>
      <c r="AE201" s="5">
        <v>0</v>
      </c>
      <c r="AF201" s="5">
        <v>142.54</v>
      </c>
      <c r="AG201" s="5">
        <v>34</v>
      </c>
      <c r="AH201" s="5">
        <v>0.2</v>
      </c>
      <c r="AI201" s="5">
        <v>86.08</v>
      </c>
      <c r="AJ201" s="5">
        <v>116.14</v>
      </c>
      <c r="AK201" s="5">
        <v>195.7</v>
      </c>
      <c r="AL201" s="5">
        <v>195.3</v>
      </c>
      <c r="AM201" s="5">
        <v>490.38</v>
      </c>
      <c r="AN201" s="5">
        <v>231.53110000000001</v>
      </c>
      <c r="AO201" s="5">
        <v>131.59</v>
      </c>
      <c r="AP201" s="5">
        <v>145.84</v>
      </c>
      <c r="AQ201" s="5">
        <v>148.06</v>
      </c>
      <c r="AR201" s="5">
        <v>626.07000000000005</v>
      </c>
      <c r="AS201" s="5">
        <v>64.12</v>
      </c>
      <c r="AT201" s="5">
        <v>69.790000000000006</v>
      </c>
      <c r="AU201" s="5">
        <v>121.14</v>
      </c>
      <c r="AV201" s="5">
        <v>115.24</v>
      </c>
      <c r="AW201" s="5">
        <v>0.23400000000000001</v>
      </c>
      <c r="AX201" s="5">
        <v>3.31</v>
      </c>
      <c r="AY201" s="5">
        <v>10000000000</v>
      </c>
      <c r="AZ201" s="5">
        <v>101.96</v>
      </c>
      <c r="BA201" s="5">
        <v>26.54</v>
      </c>
      <c r="BB201" s="5">
        <v>7.68</v>
      </c>
      <c r="BC201" s="5">
        <v>1.6</v>
      </c>
      <c r="BD201" s="5">
        <v>9.85</v>
      </c>
      <c r="BE201" s="5">
        <v>1.8</v>
      </c>
      <c r="BF201" s="5">
        <v>206.53</v>
      </c>
      <c r="BG201" s="5">
        <v>20.77</v>
      </c>
      <c r="BH201" s="5">
        <v>10000000000</v>
      </c>
      <c r="BI201" s="5">
        <v>238.5</v>
      </c>
      <c r="BJ201" s="5">
        <v>27.7</v>
      </c>
      <c r="BK201" s="5">
        <v>84</v>
      </c>
      <c r="BL201" s="5">
        <v>164</v>
      </c>
      <c r="BM201" s="5">
        <v>2.48</v>
      </c>
      <c r="BN201" s="5">
        <v>30.45</v>
      </c>
      <c r="BO201" s="5">
        <v>36.07</v>
      </c>
      <c r="BP201" s="5">
        <v>648.21</v>
      </c>
      <c r="BQ201" s="5">
        <v>69.20823</v>
      </c>
      <c r="BR201" s="5">
        <v>290.01710000000003</v>
      </c>
      <c r="BS201" s="5">
        <v>47.653829999999999</v>
      </c>
      <c r="BT201" s="5">
        <v>51.01117</v>
      </c>
      <c r="BU201" s="5">
        <v>50.067239999999998</v>
      </c>
      <c r="BV201" s="5">
        <v>0.108089</v>
      </c>
      <c r="BW201" s="5">
        <v>9.9822999999999995E-2</v>
      </c>
      <c r="BX201" s="5">
        <v>77.353390000000005</v>
      </c>
      <c r="BY201" s="5">
        <v>18.995360000000002</v>
      </c>
      <c r="BZ201" s="5">
        <v>0</v>
      </c>
      <c r="CA201" s="5">
        <v>0.93047999999999997</v>
      </c>
      <c r="CB201" s="5">
        <v>827.06129999999996</v>
      </c>
      <c r="CC201" s="5">
        <v>848.44090000000006</v>
      </c>
      <c r="CD201" s="5">
        <v>80.868539999999996</v>
      </c>
      <c r="CE201" s="5">
        <v>488.68</v>
      </c>
      <c r="CF201" s="5">
        <v>98.17</v>
      </c>
      <c r="CG201" s="5">
        <v>114.76</v>
      </c>
      <c r="CH201" s="5">
        <v>424.6</v>
      </c>
      <c r="CI201" s="5">
        <v>441.79</v>
      </c>
      <c r="CJ201" s="5">
        <v>456.32</v>
      </c>
      <c r="CK201" s="5">
        <v>478.54</v>
      </c>
      <c r="CL201" s="5">
        <v>477.41</v>
      </c>
      <c r="CM201" s="5">
        <v>475.27</v>
      </c>
      <c r="CN201" s="5">
        <v>345.04</v>
      </c>
      <c r="CO201" s="5">
        <v>29.19</v>
      </c>
      <c r="CP201" s="5">
        <v>501</v>
      </c>
      <c r="CQ201" s="5">
        <v>502.05</v>
      </c>
      <c r="CR201" s="5">
        <v>9</v>
      </c>
      <c r="CS201" s="5">
        <v>9</v>
      </c>
      <c r="CT201" s="5">
        <v>25.97</v>
      </c>
      <c r="CU201" s="5">
        <v>29.42</v>
      </c>
      <c r="CV201" s="5">
        <v>100.74</v>
      </c>
      <c r="CW201" s="5">
        <v>0.86415795927975425</v>
      </c>
      <c r="CX201" s="70">
        <v>1.5554843267035576</v>
      </c>
    </row>
    <row r="202" spans="1:102" x14ac:dyDescent="0.25">
      <c r="A202" s="5">
        <v>12</v>
      </c>
      <c r="B202" s="23">
        <v>41401.47267304398</v>
      </c>
      <c r="C202" s="5">
        <v>7</v>
      </c>
      <c r="D202" s="5">
        <v>15</v>
      </c>
      <c r="E202" s="5">
        <v>446</v>
      </c>
      <c r="F202" s="5">
        <v>446</v>
      </c>
      <c r="G202" s="5">
        <v>446.1</v>
      </c>
      <c r="H202" s="5">
        <v>91.7</v>
      </c>
      <c r="I202" s="5">
        <v>91.7</v>
      </c>
      <c r="J202" s="5">
        <v>1800</v>
      </c>
      <c r="K202" s="5">
        <v>9</v>
      </c>
      <c r="L202" s="5">
        <v>9</v>
      </c>
      <c r="M202" s="5">
        <v>0.14000000000000001</v>
      </c>
      <c r="N202" s="5">
        <v>0.13994999999999999</v>
      </c>
      <c r="O202" s="5">
        <v>1</v>
      </c>
      <c r="P202" s="5">
        <v>1.068883</v>
      </c>
      <c r="Q202" s="5">
        <v>-4.58</v>
      </c>
      <c r="R202" s="5">
        <v>-4.5812989999999996</v>
      </c>
      <c r="S202" s="5">
        <v>157.87</v>
      </c>
      <c r="T202" s="5">
        <v>157.875</v>
      </c>
      <c r="U202" s="5">
        <v>3.5</v>
      </c>
      <c r="V202" s="5">
        <v>3.5</v>
      </c>
      <c r="W202" s="5">
        <v>300</v>
      </c>
      <c r="X202" s="5">
        <v>300</v>
      </c>
      <c r="Y202" s="5">
        <v>3.5</v>
      </c>
      <c r="Z202" s="5">
        <v>3.5</v>
      </c>
      <c r="AA202" s="5">
        <v>300</v>
      </c>
      <c r="AB202" s="5">
        <v>300</v>
      </c>
      <c r="AC202" s="5">
        <v>0</v>
      </c>
      <c r="AD202" s="5">
        <v>101.94929999999999</v>
      </c>
      <c r="AE202" s="5">
        <v>0</v>
      </c>
      <c r="AF202" s="5">
        <v>101.94929999999999</v>
      </c>
      <c r="AG202" s="5">
        <v>34</v>
      </c>
      <c r="AH202" s="5">
        <v>0.2</v>
      </c>
      <c r="AI202" s="5">
        <v>58.79</v>
      </c>
      <c r="AJ202" s="5">
        <v>84.29</v>
      </c>
      <c r="AK202" s="5">
        <v>68.64</v>
      </c>
      <c r="AL202" s="5">
        <v>70.62</v>
      </c>
      <c r="AM202" s="5">
        <v>566.41999999999996</v>
      </c>
      <c r="AN202" s="5">
        <v>150.1593</v>
      </c>
      <c r="AO202" s="5">
        <v>49.05</v>
      </c>
      <c r="AP202" s="5">
        <v>83.9</v>
      </c>
      <c r="AQ202" s="5">
        <v>62.1</v>
      </c>
      <c r="AR202" s="5">
        <v>490.81</v>
      </c>
      <c r="AS202" s="5">
        <v>19.57</v>
      </c>
      <c r="AT202" s="5">
        <v>53.6</v>
      </c>
      <c r="AU202" s="5">
        <v>98</v>
      </c>
      <c r="AV202" s="5">
        <v>118.34</v>
      </c>
      <c r="AW202" s="5">
        <v>0.28399999999999997</v>
      </c>
      <c r="AX202" s="5">
        <v>4.07</v>
      </c>
      <c r="AY202" s="5">
        <v>10000000000</v>
      </c>
      <c r="AZ202" s="5">
        <v>152.94999999999999</v>
      </c>
      <c r="BA202" s="5">
        <v>36.99</v>
      </c>
      <c r="BB202" s="5">
        <v>8.7899999999999991</v>
      </c>
      <c r="BC202" s="5">
        <v>0.81</v>
      </c>
      <c r="BD202" s="5">
        <v>8.35</v>
      </c>
      <c r="BE202" s="5">
        <v>2.87</v>
      </c>
      <c r="BF202" s="5">
        <v>379.02</v>
      </c>
      <c r="BG202" s="5">
        <v>9.1999999999999993</v>
      </c>
      <c r="BH202" s="5">
        <v>10000000000</v>
      </c>
      <c r="BI202" s="5">
        <v>236.6</v>
      </c>
      <c r="BJ202" s="5">
        <v>24.7</v>
      </c>
      <c r="BK202" s="5">
        <v>87.1</v>
      </c>
      <c r="BL202" s="5">
        <v>49.7</v>
      </c>
      <c r="BM202" s="5">
        <v>1.64</v>
      </c>
      <c r="BN202" s="5">
        <v>29.7</v>
      </c>
      <c r="BO202" s="5">
        <v>36.92</v>
      </c>
      <c r="BP202" s="5">
        <v>510.58</v>
      </c>
      <c r="BQ202" s="5">
        <v>55.23516</v>
      </c>
      <c r="BR202" s="5">
        <v>170.37819999999999</v>
      </c>
      <c r="BS202" s="5">
        <v>51.673769999999998</v>
      </c>
      <c r="BT202" s="5">
        <v>40.278329999999997</v>
      </c>
      <c r="BU202" s="5">
        <v>40.285290000000003</v>
      </c>
      <c r="BV202" s="5">
        <v>0.104126</v>
      </c>
      <c r="BW202" s="5">
        <v>0.11096300000000001</v>
      </c>
      <c r="BX202" s="5">
        <v>61.320369999999997</v>
      </c>
      <c r="BY202" s="5">
        <v>18.995360000000002</v>
      </c>
      <c r="BZ202" s="5">
        <v>0</v>
      </c>
      <c r="CA202" s="5">
        <v>0.93077100000000002</v>
      </c>
      <c r="CB202" s="5">
        <v>559.22360000000003</v>
      </c>
      <c r="CC202" s="5">
        <v>577.27210000000002</v>
      </c>
      <c r="CD202" s="5">
        <v>68.320369999999997</v>
      </c>
      <c r="CE202" s="5">
        <v>476.32</v>
      </c>
      <c r="CF202" s="5">
        <v>79.56</v>
      </c>
      <c r="CG202" s="5">
        <v>92.87</v>
      </c>
      <c r="CH202" s="5">
        <v>460.9</v>
      </c>
      <c r="CI202" s="5">
        <v>479.83</v>
      </c>
      <c r="CJ202" s="5">
        <v>489.53</v>
      </c>
      <c r="CK202" s="5">
        <v>532.30999999999995</v>
      </c>
      <c r="CL202" s="5">
        <v>518</v>
      </c>
      <c r="CM202" s="5">
        <v>514.88</v>
      </c>
      <c r="CN202" s="5">
        <v>470.42</v>
      </c>
      <c r="CO202" s="5">
        <v>27.99</v>
      </c>
      <c r="CP202" s="5">
        <v>444.6</v>
      </c>
      <c r="CQ202" s="5">
        <v>446.05</v>
      </c>
      <c r="CR202" s="5">
        <v>8</v>
      </c>
      <c r="CS202" s="5">
        <v>8</v>
      </c>
      <c r="CT202" s="5">
        <v>24.74</v>
      </c>
      <c r="CU202" s="5">
        <v>38.47</v>
      </c>
      <c r="CV202" s="5">
        <v>100.83</v>
      </c>
      <c r="CW202" s="5">
        <v>0.86790735619508552</v>
      </c>
      <c r="CX202" s="70">
        <v>2.4908941122798955</v>
      </c>
    </row>
    <row r="203" spans="1:102" x14ac:dyDescent="0.25">
      <c r="A203" s="5">
        <v>4</v>
      </c>
      <c r="B203" s="23">
        <v>41401.424184467593</v>
      </c>
      <c r="C203" s="5">
        <v>7</v>
      </c>
      <c r="D203" s="5">
        <v>11</v>
      </c>
      <c r="E203" s="5">
        <v>436</v>
      </c>
      <c r="F203" s="5">
        <v>436</v>
      </c>
      <c r="G203" s="5">
        <v>436</v>
      </c>
      <c r="H203" s="5">
        <v>91.7</v>
      </c>
      <c r="I203" s="5">
        <v>91.7</v>
      </c>
      <c r="J203" s="5">
        <v>1800</v>
      </c>
      <c r="K203" s="5">
        <v>55</v>
      </c>
      <c r="L203" s="5">
        <v>55</v>
      </c>
      <c r="M203" s="5">
        <v>0.13</v>
      </c>
      <c r="N203" s="5">
        <v>0.12998100000000001</v>
      </c>
      <c r="O203" s="5">
        <v>1</v>
      </c>
      <c r="P203" s="5">
        <v>1.068829</v>
      </c>
      <c r="Q203" s="5">
        <v>-4.51</v>
      </c>
      <c r="R203" s="5">
        <v>-4.5153809999999996</v>
      </c>
      <c r="S203" s="5">
        <v>155.63999999999999</v>
      </c>
      <c r="T203" s="5">
        <v>155.64060000000001</v>
      </c>
      <c r="U203" s="5">
        <v>3.5</v>
      </c>
      <c r="V203" s="5">
        <v>3.5</v>
      </c>
      <c r="W203" s="5">
        <v>300</v>
      </c>
      <c r="X203" s="5">
        <v>300</v>
      </c>
      <c r="Y203" s="5">
        <v>3.5</v>
      </c>
      <c r="Z203" s="5">
        <v>3.5</v>
      </c>
      <c r="AA203" s="5">
        <v>300</v>
      </c>
      <c r="AB203" s="5">
        <v>300</v>
      </c>
      <c r="AC203" s="5">
        <v>0</v>
      </c>
      <c r="AD203" s="5">
        <v>149.02969999999999</v>
      </c>
      <c r="AE203" s="5">
        <v>0</v>
      </c>
      <c r="AF203" s="5">
        <v>142.54259999999999</v>
      </c>
      <c r="AG203" s="5">
        <v>34</v>
      </c>
      <c r="AH203" s="5">
        <v>0.2</v>
      </c>
      <c r="AI203" s="5">
        <v>84.92</v>
      </c>
      <c r="AJ203" s="5">
        <v>115.3</v>
      </c>
      <c r="AK203" s="5">
        <v>205.94</v>
      </c>
      <c r="AL203" s="5">
        <v>206.24</v>
      </c>
      <c r="AM203" s="5">
        <v>445.02</v>
      </c>
      <c r="AN203" s="5">
        <v>226.63759999999999</v>
      </c>
      <c r="AO203" s="5">
        <v>126.66</v>
      </c>
      <c r="AP203" s="5">
        <v>139.19</v>
      </c>
      <c r="AQ203" s="5">
        <v>143.99</v>
      </c>
      <c r="AR203" s="5">
        <v>651.63</v>
      </c>
      <c r="AS203" s="5">
        <v>79.290000000000006</v>
      </c>
      <c r="AT203" s="5">
        <v>64.72</v>
      </c>
      <c r="AU203" s="5">
        <v>108.58</v>
      </c>
      <c r="AV203" s="5">
        <v>119.45</v>
      </c>
      <c r="AW203" s="5">
        <v>8.3000000000000004E-2</v>
      </c>
      <c r="AX203" s="5">
        <v>1.1200000000000001</v>
      </c>
      <c r="AY203" s="5">
        <v>10000000000</v>
      </c>
      <c r="AZ203" s="5">
        <v>117.71</v>
      </c>
      <c r="BA203" s="5">
        <v>41.51</v>
      </c>
      <c r="BB203" s="5">
        <v>6.59</v>
      </c>
      <c r="BC203" s="5">
        <v>1.1200000000000001</v>
      </c>
      <c r="BD203" s="5">
        <v>11.42</v>
      </c>
      <c r="BE203" s="5">
        <v>2.85</v>
      </c>
      <c r="BF203" s="5">
        <v>266.04000000000002</v>
      </c>
      <c r="BG203" s="5">
        <v>16.93</v>
      </c>
      <c r="BH203" s="5">
        <v>10000000000</v>
      </c>
      <c r="BI203" s="5">
        <v>243.5</v>
      </c>
      <c r="BJ203" s="5">
        <v>32.6</v>
      </c>
      <c r="BK203" s="5">
        <v>85.3</v>
      </c>
      <c r="BL203" s="5">
        <v>132.87</v>
      </c>
      <c r="BM203" s="5">
        <v>2.4300000000000002</v>
      </c>
      <c r="BN203" s="5">
        <v>30</v>
      </c>
      <c r="BO203" s="5">
        <v>35.049999999999997</v>
      </c>
      <c r="BP203" s="5">
        <v>671.96</v>
      </c>
      <c r="BQ203" s="5">
        <v>65.063069999999996</v>
      </c>
      <c r="BR203" s="5">
        <v>303.80709999999999</v>
      </c>
      <c r="BS203" s="5">
        <v>51.848570000000002</v>
      </c>
      <c r="BT203" s="5">
        <v>60.862589999999997</v>
      </c>
      <c r="BU203" s="5">
        <v>59.345570000000002</v>
      </c>
      <c r="BV203" s="5">
        <v>0.10362</v>
      </c>
      <c r="BW203" s="5">
        <v>9.0694999999999998E-2</v>
      </c>
      <c r="BX203" s="5">
        <v>61.01</v>
      </c>
      <c r="BY203" s="5">
        <v>18.995360000000002</v>
      </c>
      <c r="BZ203" s="5">
        <v>0</v>
      </c>
      <c r="CA203" s="5">
        <v>0.93075699999999995</v>
      </c>
      <c r="CB203" s="5">
        <v>819.70429999999999</v>
      </c>
      <c r="CC203" s="5">
        <v>837.66819999999996</v>
      </c>
      <c r="CD203" s="5">
        <v>68.010000000000005</v>
      </c>
      <c r="CE203" s="5">
        <v>446.65</v>
      </c>
      <c r="CF203" s="5">
        <v>88.49</v>
      </c>
      <c r="CG203" s="5">
        <v>102.57</v>
      </c>
      <c r="CH203" s="5">
        <v>403.22</v>
      </c>
      <c r="CI203" s="5">
        <v>410.79</v>
      </c>
      <c r="CJ203" s="5">
        <v>418.87</v>
      </c>
      <c r="CK203" s="5">
        <v>439.32</v>
      </c>
      <c r="CL203" s="5">
        <v>438.81</v>
      </c>
      <c r="CM203" s="5">
        <v>440.86</v>
      </c>
      <c r="CN203" s="5">
        <v>310.08</v>
      </c>
      <c r="CO203" s="5">
        <v>28.21</v>
      </c>
      <c r="CP203" s="5">
        <v>434.3</v>
      </c>
      <c r="CQ203" s="5">
        <v>436.05</v>
      </c>
      <c r="CR203" s="5">
        <v>7.8</v>
      </c>
      <c r="CS203" s="5">
        <v>7.8</v>
      </c>
      <c r="CT203" s="5">
        <v>25.18</v>
      </c>
      <c r="CU203" s="5">
        <v>40.93</v>
      </c>
      <c r="CV203" s="5">
        <v>100.89</v>
      </c>
      <c r="CW203" s="5">
        <v>0.89405524335620945</v>
      </c>
      <c r="CX203" s="70">
        <v>2.548057443565197</v>
      </c>
    </row>
    <row r="204" spans="1:102" x14ac:dyDescent="0.25">
      <c r="A204" s="5">
        <v>2</v>
      </c>
      <c r="B204" s="23">
        <v>41401.413311319448</v>
      </c>
      <c r="C204" s="5">
        <v>7</v>
      </c>
      <c r="D204" s="5">
        <v>9</v>
      </c>
      <c r="E204" s="5">
        <v>427</v>
      </c>
      <c r="F204" s="5">
        <v>427</v>
      </c>
      <c r="G204" s="5">
        <v>427</v>
      </c>
      <c r="H204" s="5">
        <v>91.7</v>
      </c>
      <c r="I204" s="5">
        <v>91.7</v>
      </c>
      <c r="J204" s="5">
        <v>1800</v>
      </c>
      <c r="K204" s="5">
        <v>20</v>
      </c>
      <c r="L204" s="5">
        <v>20</v>
      </c>
      <c r="M204" s="5">
        <v>0.25</v>
      </c>
      <c r="N204" s="5">
        <v>0.25006699999999998</v>
      </c>
      <c r="O204" s="5">
        <v>1</v>
      </c>
      <c r="P204" s="5">
        <v>1.068864</v>
      </c>
      <c r="Q204" s="5">
        <v>-4.4400000000000004</v>
      </c>
      <c r="R204" s="5">
        <v>-4.4384769999999998</v>
      </c>
      <c r="S204" s="5">
        <v>153.63</v>
      </c>
      <c r="T204" s="5">
        <v>153.625</v>
      </c>
      <c r="U204" s="5">
        <v>3.5</v>
      </c>
      <c r="V204" s="5">
        <v>3.5</v>
      </c>
      <c r="W204" s="5">
        <v>300</v>
      </c>
      <c r="X204" s="5">
        <v>300</v>
      </c>
      <c r="Y204" s="5">
        <v>3.5</v>
      </c>
      <c r="Z204" s="5">
        <v>3.5</v>
      </c>
      <c r="AA204" s="5">
        <v>300</v>
      </c>
      <c r="AB204" s="5">
        <v>300</v>
      </c>
      <c r="AC204" s="5">
        <v>0</v>
      </c>
      <c r="AD204" s="5">
        <v>101.8446</v>
      </c>
      <c r="AE204" s="5">
        <v>0</v>
      </c>
      <c r="AF204" s="5">
        <v>101.8472</v>
      </c>
      <c r="AG204" s="5">
        <v>34</v>
      </c>
      <c r="AH204" s="5">
        <v>0.2</v>
      </c>
      <c r="AI204" s="5">
        <v>59.48</v>
      </c>
      <c r="AJ204" s="5">
        <v>85.05</v>
      </c>
      <c r="AK204" s="5">
        <v>70.069999999999993</v>
      </c>
      <c r="AL204" s="5">
        <v>70.89</v>
      </c>
      <c r="AM204" s="5">
        <v>549.02</v>
      </c>
      <c r="AN204" s="5">
        <v>153.00790000000001</v>
      </c>
      <c r="AO204" s="5">
        <v>52.81</v>
      </c>
      <c r="AP204" s="5">
        <v>91.14</v>
      </c>
      <c r="AQ204" s="5">
        <v>65.290000000000006</v>
      </c>
      <c r="AR204" s="5">
        <v>472.92</v>
      </c>
      <c r="AS204" s="5">
        <v>17.25</v>
      </c>
      <c r="AT204" s="5">
        <v>60.89</v>
      </c>
      <c r="AU204" s="5">
        <v>100.7</v>
      </c>
      <c r="AV204" s="5">
        <v>117.79</v>
      </c>
      <c r="AW204" s="5">
        <v>0.438</v>
      </c>
      <c r="AX204" s="5">
        <v>6.58</v>
      </c>
      <c r="AY204" s="5">
        <v>10000000000</v>
      </c>
      <c r="AZ204" s="5">
        <v>178.9</v>
      </c>
      <c r="BA204" s="5">
        <v>40.700000000000003</v>
      </c>
      <c r="BB204" s="5">
        <v>8.7799999999999994</v>
      </c>
      <c r="BC204" s="5">
        <v>1.25</v>
      </c>
      <c r="BD204" s="5">
        <v>8.3699999999999992</v>
      </c>
      <c r="BE204" s="5">
        <v>2.12</v>
      </c>
      <c r="BF204" s="5">
        <v>277.76</v>
      </c>
      <c r="BG204" s="5">
        <v>14.2</v>
      </c>
      <c r="BH204" s="5">
        <v>10000000000</v>
      </c>
      <c r="BI204" s="5">
        <v>237.4</v>
      </c>
      <c r="BJ204" s="5">
        <v>24.8</v>
      </c>
      <c r="BK204" s="5">
        <v>87.4</v>
      </c>
      <c r="BL204" s="5">
        <v>78.3</v>
      </c>
      <c r="BM204" s="5">
        <v>1.67</v>
      </c>
      <c r="BN204" s="5">
        <v>30.1</v>
      </c>
      <c r="BO204" s="5">
        <v>36.89</v>
      </c>
      <c r="BP204" s="5">
        <v>492.1</v>
      </c>
      <c r="BQ204" s="5">
        <v>61.795780000000001</v>
      </c>
      <c r="BR204" s="5">
        <v>168.6362</v>
      </c>
      <c r="BS204" s="5">
        <v>53.422420000000002</v>
      </c>
      <c r="BT204" s="5">
        <v>42.462829999999997</v>
      </c>
      <c r="BU204" s="5">
        <v>42.482030000000002</v>
      </c>
      <c r="BV204" s="5">
        <v>9.8843E-2</v>
      </c>
      <c r="BW204" s="5">
        <v>0.10499600000000001</v>
      </c>
      <c r="BX204" s="5">
        <v>58.163069999999998</v>
      </c>
      <c r="BY204" s="5">
        <v>18.995360000000002</v>
      </c>
      <c r="BZ204" s="5">
        <v>0</v>
      </c>
      <c r="CA204" s="5">
        <v>0.93076000000000003</v>
      </c>
      <c r="CB204" s="5">
        <v>558.77859999999998</v>
      </c>
      <c r="CC204" s="5">
        <v>575.98979999999995</v>
      </c>
      <c r="CD204" s="5">
        <v>65.165940000000006</v>
      </c>
      <c r="CE204" s="5">
        <v>499.03</v>
      </c>
      <c r="CF204" s="5">
        <v>81.83</v>
      </c>
      <c r="CG204" s="5">
        <v>94.23</v>
      </c>
      <c r="CH204" s="5">
        <v>447.94</v>
      </c>
      <c r="CI204" s="5">
        <v>463.43</v>
      </c>
      <c r="CJ204" s="5">
        <v>475.03</v>
      </c>
      <c r="CK204" s="5">
        <v>517.79</v>
      </c>
      <c r="CL204" s="5">
        <v>500.41</v>
      </c>
      <c r="CM204" s="5">
        <v>506.55</v>
      </c>
      <c r="CN204" s="5">
        <v>450.31</v>
      </c>
      <c r="CO204" s="5">
        <v>29.2</v>
      </c>
      <c r="CP204" s="5">
        <v>426.6</v>
      </c>
      <c r="CQ204" s="5">
        <v>427.04</v>
      </c>
      <c r="CR204" s="5">
        <v>7.6</v>
      </c>
      <c r="CS204" s="5">
        <v>7.7</v>
      </c>
      <c r="CT204" s="5">
        <v>25.29</v>
      </c>
      <c r="CU204" s="5">
        <v>27.04</v>
      </c>
      <c r="CV204" s="5">
        <v>100.91</v>
      </c>
      <c r="CW204" s="5">
        <v>0.83952299975290112</v>
      </c>
      <c r="CX204" s="70">
        <v>1.7797887594761506</v>
      </c>
    </row>
    <row r="205" spans="1:102" x14ac:dyDescent="0.25">
      <c r="A205" s="5">
        <v>12</v>
      </c>
      <c r="B205" s="23">
        <v>41397.705169687499</v>
      </c>
      <c r="C205" s="5">
        <v>7</v>
      </c>
      <c r="D205" s="5">
        <v>4</v>
      </c>
      <c r="E205" s="5">
        <v>408</v>
      </c>
      <c r="F205" s="5">
        <v>408</v>
      </c>
      <c r="G205" s="5">
        <v>408</v>
      </c>
      <c r="H205" s="5">
        <v>91.7</v>
      </c>
      <c r="I205" s="5">
        <v>91.7</v>
      </c>
      <c r="J205" s="5">
        <v>1800</v>
      </c>
      <c r="K205" s="5">
        <v>65</v>
      </c>
      <c r="L205" s="5">
        <v>65</v>
      </c>
      <c r="M205" s="5">
        <v>0.11</v>
      </c>
      <c r="N205" s="5">
        <v>0.109984</v>
      </c>
      <c r="O205" s="5">
        <v>1</v>
      </c>
      <c r="P205" s="5">
        <v>1.0690139999999999</v>
      </c>
      <c r="Q205" s="5">
        <v>-4.3</v>
      </c>
      <c r="R205" s="5">
        <v>-4.2956539999999999</v>
      </c>
      <c r="S205" s="5">
        <v>149.38999999999999</v>
      </c>
      <c r="T205" s="5">
        <v>149.39060000000001</v>
      </c>
      <c r="U205" s="5">
        <v>3.5</v>
      </c>
      <c r="V205" s="5">
        <v>3.5</v>
      </c>
      <c r="W205" s="5">
        <v>300</v>
      </c>
      <c r="X205" s="5">
        <v>300</v>
      </c>
      <c r="Y205" s="5">
        <v>3.5</v>
      </c>
      <c r="Z205" s="5">
        <v>3.5</v>
      </c>
      <c r="AA205" s="5">
        <v>300</v>
      </c>
      <c r="AB205" s="5">
        <v>300</v>
      </c>
      <c r="AC205" s="5">
        <v>0</v>
      </c>
      <c r="AD205" s="5">
        <v>170.9085</v>
      </c>
      <c r="AE205" s="5">
        <v>0</v>
      </c>
      <c r="AF205" s="5">
        <v>142.55080000000001</v>
      </c>
      <c r="AG205" s="5">
        <v>34</v>
      </c>
      <c r="AH205" s="5">
        <v>0.2</v>
      </c>
      <c r="AI205" s="5">
        <v>94.55</v>
      </c>
      <c r="AJ205" s="5">
        <v>124.11</v>
      </c>
      <c r="AK205" s="5">
        <v>301.17</v>
      </c>
      <c r="AL205" s="5">
        <v>301.35000000000002</v>
      </c>
      <c r="AM205" s="5">
        <v>437.81</v>
      </c>
      <c r="AN205" s="5">
        <v>256.69549999999998</v>
      </c>
      <c r="AO205" s="5">
        <v>156.15</v>
      </c>
      <c r="AP205" s="5">
        <v>155.44999999999999</v>
      </c>
      <c r="AQ205" s="5">
        <v>173.27</v>
      </c>
      <c r="AR205" s="5">
        <v>709.68</v>
      </c>
      <c r="AS205" s="5">
        <v>145.02000000000001</v>
      </c>
      <c r="AT205" s="5">
        <v>66.930000000000007</v>
      </c>
      <c r="AU205" s="5">
        <v>113.28</v>
      </c>
      <c r="AV205" s="5">
        <v>117.07</v>
      </c>
      <c r="AW205" s="5">
        <v>0.08</v>
      </c>
      <c r="AX205" s="5">
        <v>1.07</v>
      </c>
      <c r="AY205" s="5">
        <v>10000000000</v>
      </c>
      <c r="AZ205" s="5">
        <v>90.44</v>
      </c>
      <c r="BA205" s="5">
        <v>35.909999999999997</v>
      </c>
      <c r="BB205" s="5">
        <v>6.13</v>
      </c>
      <c r="BC205" s="5">
        <v>1.06</v>
      </c>
      <c r="BD205" s="5">
        <v>12.15</v>
      </c>
      <c r="BE205" s="5">
        <v>3.32</v>
      </c>
      <c r="BF205" s="5">
        <v>263.42</v>
      </c>
      <c r="BG205" s="5">
        <v>17.34</v>
      </c>
      <c r="BH205" s="5">
        <v>10000000000</v>
      </c>
      <c r="BI205" s="5">
        <v>263.10000000000002</v>
      </c>
      <c r="BJ205" s="5">
        <v>35.1</v>
      </c>
      <c r="BK205" s="5">
        <v>83.3</v>
      </c>
      <c r="BL205" s="5">
        <v>148.94</v>
      </c>
      <c r="BM205" s="5">
        <v>2.72</v>
      </c>
      <c r="BN205" s="5">
        <v>29.95</v>
      </c>
      <c r="BO205" s="5">
        <v>34.630000000000003</v>
      </c>
      <c r="BP205" s="5">
        <v>729.99</v>
      </c>
      <c r="BQ205" s="5">
        <v>66.979839999999996</v>
      </c>
      <c r="BR205" s="5">
        <v>400.29070000000002</v>
      </c>
      <c r="BS205" s="5">
        <v>51.209400000000002</v>
      </c>
      <c r="BT205" s="5">
        <v>68.612989999999996</v>
      </c>
      <c r="BU205" s="5">
        <v>65.559920000000005</v>
      </c>
      <c r="BV205" s="5">
        <v>0.10555100000000001</v>
      </c>
      <c r="BW205" s="5">
        <v>7.9834000000000002E-2</v>
      </c>
      <c r="BX205" s="5">
        <v>62.163589999999999</v>
      </c>
      <c r="BY205" s="5">
        <v>18.995360000000002</v>
      </c>
      <c r="BZ205" s="5">
        <v>0</v>
      </c>
      <c r="CA205" s="5">
        <v>0.93076199999999998</v>
      </c>
      <c r="CB205" s="5">
        <v>923.14290000000005</v>
      </c>
      <c r="CC205" s="5">
        <v>941.41480000000001</v>
      </c>
      <c r="CD205" s="5">
        <v>69.163600000000002</v>
      </c>
      <c r="CE205" s="5">
        <v>422.47</v>
      </c>
      <c r="CF205" s="5">
        <v>92.83</v>
      </c>
      <c r="CG205" s="5">
        <v>107.79</v>
      </c>
      <c r="CH205" s="5">
        <v>408.61</v>
      </c>
      <c r="CI205" s="5">
        <v>405.41</v>
      </c>
      <c r="CJ205" s="5">
        <v>416.47</v>
      </c>
      <c r="CK205" s="5">
        <v>432.78</v>
      </c>
      <c r="CL205" s="5">
        <v>423.73</v>
      </c>
      <c r="CM205" s="5">
        <v>428.13</v>
      </c>
      <c r="CN205" s="5">
        <v>286.02</v>
      </c>
      <c r="CO205" s="5">
        <v>27.85</v>
      </c>
      <c r="CP205" s="5">
        <v>405.9</v>
      </c>
      <c r="CQ205" s="5">
        <v>408.05</v>
      </c>
      <c r="CR205" s="5">
        <v>7.3</v>
      </c>
      <c r="CS205" s="5">
        <v>7.3</v>
      </c>
      <c r="CT205" s="5">
        <v>24.22</v>
      </c>
      <c r="CU205" s="5">
        <v>39.65</v>
      </c>
      <c r="CV205" s="5">
        <v>100.75</v>
      </c>
      <c r="CW205" s="5">
        <v>0.88883095771256537</v>
      </c>
      <c r="CX205" s="70">
        <v>2.9509187796057201</v>
      </c>
    </row>
    <row r="206" spans="1:102" x14ac:dyDescent="0.25">
      <c r="A206" s="5">
        <v>34</v>
      </c>
      <c r="B206" s="23">
        <v>41401.609320381947</v>
      </c>
      <c r="C206" s="5">
        <v>7</v>
      </c>
      <c r="D206" s="5">
        <v>35</v>
      </c>
      <c r="E206" s="5">
        <v>516</v>
      </c>
      <c r="F206" s="5">
        <v>516</v>
      </c>
      <c r="G206" s="5">
        <v>516.1</v>
      </c>
      <c r="H206" s="5">
        <v>91.7</v>
      </c>
      <c r="I206" s="5">
        <v>91.7</v>
      </c>
      <c r="J206" s="5">
        <v>1800</v>
      </c>
      <c r="K206" s="5">
        <v>15</v>
      </c>
      <c r="L206" s="5">
        <v>15</v>
      </c>
      <c r="M206" s="5">
        <v>0.21</v>
      </c>
      <c r="N206" s="5">
        <v>0.21004600000000001</v>
      </c>
      <c r="O206" s="5">
        <v>1</v>
      </c>
      <c r="P206" s="5">
        <v>1.068943</v>
      </c>
      <c r="Q206" s="5">
        <v>-4.7699999999999996</v>
      </c>
      <c r="R206" s="5">
        <v>-4.7680660000000001</v>
      </c>
      <c r="S206" s="5">
        <v>172.09</v>
      </c>
      <c r="T206" s="5">
        <v>172.09379999999999</v>
      </c>
      <c r="U206" s="5">
        <v>3.5</v>
      </c>
      <c r="V206" s="5">
        <v>3.5</v>
      </c>
      <c r="W206" s="5">
        <v>300</v>
      </c>
      <c r="X206" s="5">
        <v>300</v>
      </c>
      <c r="Y206" s="5">
        <v>0</v>
      </c>
      <c r="Z206" s="5">
        <v>0</v>
      </c>
      <c r="AA206" s="5">
        <v>300</v>
      </c>
      <c r="AB206" s="5">
        <v>300</v>
      </c>
      <c r="AC206" s="5">
        <v>0</v>
      </c>
      <c r="AD206" s="5">
        <v>111.8206</v>
      </c>
      <c r="AE206" s="5">
        <v>0</v>
      </c>
      <c r="AF206" s="5">
        <v>111.8206</v>
      </c>
      <c r="AG206" s="5">
        <v>34</v>
      </c>
      <c r="AH206" s="5">
        <v>0.2</v>
      </c>
      <c r="AI206" s="5">
        <v>64.94</v>
      </c>
      <c r="AJ206" s="5">
        <v>93.05</v>
      </c>
      <c r="AK206" s="5">
        <v>83.57</v>
      </c>
      <c r="AL206" s="5">
        <v>85.62</v>
      </c>
      <c r="AM206" s="5">
        <v>601.03</v>
      </c>
      <c r="AN206" s="5">
        <v>166.99520000000001</v>
      </c>
      <c r="AO206" s="5">
        <v>66.02</v>
      </c>
      <c r="AP206" s="5">
        <v>99.69</v>
      </c>
      <c r="AQ206" s="5">
        <v>80.14</v>
      </c>
      <c r="AR206" s="5">
        <v>529.13</v>
      </c>
      <c r="AS206" s="5">
        <v>17.579999999999998</v>
      </c>
      <c r="AT206" s="5">
        <v>57.39</v>
      </c>
      <c r="AU206" s="5">
        <v>100.01</v>
      </c>
      <c r="AV206" s="5">
        <v>111.38</v>
      </c>
      <c r="AW206" s="5">
        <v>0.64200000000000002</v>
      </c>
      <c r="AX206" s="5">
        <v>10.26</v>
      </c>
      <c r="AY206" s="5">
        <v>10000000000</v>
      </c>
      <c r="AZ206" s="5">
        <v>322.08</v>
      </c>
      <c r="BA206" s="5">
        <v>23.49</v>
      </c>
      <c r="BB206" s="5">
        <v>9.32</v>
      </c>
      <c r="BC206" s="5">
        <v>1</v>
      </c>
      <c r="BD206" s="5">
        <v>7.56</v>
      </c>
      <c r="BE206" s="5">
        <v>2.48</v>
      </c>
      <c r="BF206" s="5">
        <v>356.34</v>
      </c>
      <c r="BG206" s="5">
        <v>10.71</v>
      </c>
      <c r="BH206" s="5">
        <v>10000000000</v>
      </c>
      <c r="BI206" s="5">
        <v>234.8</v>
      </c>
      <c r="BJ206" s="5">
        <v>23.2</v>
      </c>
      <c r="BK206" s="5">
        <v>86.3</v>
      </c>
      <c r="BL206" s="5">
        <v>63.42</v>
      </c>
      <c r="BM206" s="5">
        <v>1.81</v>
      </c>
      <c r="BN206" s="5">
        <v>29.87</v>
      </c>
      <c r="BO206" s="5">
        <v>37.42</v>
      </c>
      <c r="BP206" s="5">
        <v>551.59</v>
      </c>
      <c r="BQ206" s="5">
        <v>58.505519999999997</v>
      </c>
      <c r="BR206" s="5">
        <v>183.89240000000001</v>
      </c>
      <c r="BS206" s="5">
        <v>47.151629999999997</v>
      </c>
      <c r="BT206" s="5">
        <v>36.57273</v>
      </c>
      <c r="BU206" s="5">
        <v>36.515569999999997</v>
      </c>
      <c r="BV206" s="5">
        <v>0.107061</v>
      </c>
      <c r="BW206" s="5">
        <v>0.112104</v>
      </c>
      <c r="BX206" s="5">
        <v>79.086879999999994</v>
      </c>
      <c r="BY206" s="5">
        <v>18.995360000000002</v>
      </c>
      <c r="BZ206" s="5">
        <v>0</v>
      </c>
      <c r="CA206" s="5">
        <v>0.92993099999999995</v>
      </c>
      <c r="CB206" s="5">
        <v>615.29</v>
      </c>
      <c r="CC206" s="5">
        <v>637.13289999999995</v>
      </c>
      <c r="CD206" s="5">
        <v>82.601560000000006</v>
      </c>
      <c r="CE206" s="5">
        <v>511.8</v>
      </c>
      <c r="CF206" s="5">
        <v>81.8</v>
      </c>
      <c r="CG206" s="5">
        <v>94.57</v>
      </c>
      <c r="CH206" s="5">
        <v>480.29</v>
      </c>
      <c r="CI206" s="5">
        <v>505.72</v>
      </c>
      <c r="CJ206" s="5">
        <v>520.04</v>
      </c>
      <c r="CK206" s="5">
        <v>552.72</v>
      </c>
      <c r="CL206" s="5">
        <v>540.03</v>
      </c>
      <c r="CM206" s="5">
        <v>537.66</v>
      </c>
      <c r="CN206" s="5">
        <v>488.57</v>
      </c>
      <c r="CO206" s="5">
        <v>29.93</v>
      </c>
      <c r="CP206" s="5">
        <v>515.1</v>
      </c>
      <c r="CQ206" s="5">
        <v>516.04999999999995</v>
      </c>
      <c r="CR206" s="5">
        <v>9.1999999999999993</v>
      </c>
      <c r="CS206" s="5">
        <v>9.1999999999999993</v>
      </c>
      <c r="CT206" s="5">
        <v>26.18</v>
      </c>
      <c r="CU206" s="5">
        <v>30.42</v>
      </c>
      <c r="CV206" s="5">
        <v>100.7</v>
      </c>
      <c r="CW206" s="5">
        <v>0.85856048689789566</v>
      </c>
      <c r="CX206" s="70">
        <v>2.1292300075067812</v>
      </c>
    </row>
    <row r="207" spans="1:102" x14ac:dyDescent="0.25">
      <c r="A207" s="5">
        <v>27</v>
      </c>
      <c r="B207" s="23">
        <v>41401.567535231479</v>
      </c>
      <c r="C207" s="5">
        <v>7</v>
      </c>
      <c r="D207" s="5">
        <v>30</v>
      </c>
      <c r="E207" s="5">
        <v>500</v>
      </c>
      <c r="F207" s="5">
        <v>500</v>
      </c>
      <c r="G207" s="5">
        <v>500</v>
      </c>
      <c r="H207" s="5">
        <v>91.7</v>
      </c>
      <c r="I207" s="5">
        <v>91.7</v>
      </c>
      <c r="J207" s="5">
        <v>1800</v>
      </c>
      <c r="K207" s="5">
        <v>9</v>
      </c>
      <c r="L207" s="5">
        <v>9</v>
      </c>
      <c r="M207" s="5">
        <v>0.18</v>
      </c>
      <c r="N207" s="5">
        <v>0.18002299999999999</v>
      </c>
      <c r="O207" s="5">
        <v>1</v>
      </c>
      <c r="P207" s="5">
        <v>1.0689040000000001</v>
      </c>
      <c r="Q207" s="5">
        <v>-4.99</v>
      </c>
      <c r="R207" s="5">
        <v>-4.9877929999999999</v>
      </c>
      <c r="S207" s="5">
        <v>169.95</v>
      </c>
      <c r="T207" s="5">
        <v>169.95310000000001</v>
      </c>
      <c r="U207" s="5">
        <v>3.5</v>
      </c>
      <c r="V207" s="5">
        <v>3.5</v>
      </c>
      <c r="W207" s="5">
        <v>300</v>
      </c>
      <c r="X207" s="5">
        <v>300</v>
      </c>
      <c r="Y207" s="5">
        <v>0</v>
      </c>
      <c r="Z207" s="5">
        <v>0</v>
      </c>
      <c r="AA207" s="5">
        <v>300</v>
      </c>
      <c r="AB207" s="5">
        <v>300</v>
      </c>
      <c r="AC207" s="5">
        <v>0</v>
      </c>
      <c r="AD207" s="5">
        <v>107.6378</v>
      </c>
      <c r="AE207" s="5">
        <v>0</v>
      </c>
      <c r="AF207" s="5">
        <v>107.6378</v>
      </c>
      <c r="AG207" s="5">
        <v>34</v>
      </c>
      <c r="AH207" s="5">
        <v>0.2</v>
      </c>
      <c r="AI207" s="5">
        <v>62.29</v>
      </c>
      <c r="AJ207" s="5">
        <v>89.49</v>
      </c>
      <c r="AK207" s="5">
        <v>76.27</v>
      </c>
      <c r="AL207" s="5">
        <v>78.47</v>
      </c>
      <c r="AM207" s="5">
        <v>608.83000000000004</v>
      </c>
      <c r="AN207" s="5">
        <v>159.5325</v>
      </c>
      <c r="AO207" s="5">
        <v>58.4</v>
      </c>
      <c r="AP207" s="5">
        <v>93.85</v>
      </c>
      <c r="AQ207" s="5">
        <v>72</v>
      </c>
      <c r="AR207" s="5">
        <v>512.07000000000005</v>
      </c>
      <c r="AS207" s="5">
        <v>17.88</v>
      </c>
      <c r="AT207" s="5">
        <v>55.15</v>
      </c>
      <c r="AU207" s="5">
        <v>99.04</v>
      </c>
      <c r="AV207" s="5">
        <v>113.12</v>
      </c>
      <c r="AW207" s="5">
        <v>0.73099999999999998</v>
      </c>
      <c r="AX207" s="5">
        <v>12.01</v>
      </c>
      <c r="AY207" s="5">
        <v>10000000000</v>
      </c>
      <c r="AZ207" s="5">
        <v>383.27</v>
      </c>
      <c r="BA207" s="5">
        <v>22.88</v>
      </c>
      <c r="BB207" s="5">
        <v>9.4499999999999993</v>
      </c>
      <c r="BC207" s="5">
        <v>0.94</v>
      </c>
      <c r="BD207" s="5">
        <v>7.35</v>
      </c>
      <c r="BE207" s="5">
        <v>2.5299999999999998</v>
      </c>
      <c r="BF207" s="5">
        <v>363.68</v>
      </c>
      <c r="BG207" s="5">
        <v>9.9499999999999993</v>
      </c>
      <c r="BH207" s="5">
        <v>10000000000</v>
      </c>
      <c r="BI207" s="5">
        <v>237.1</v>
      </c>
      <c r="BJ207" s="5">
        <v>22.9</v>
      </c>
      <c r="BK207" s="5">
        <v>86.3</v>
      </c>
      <c r="BL207" s="5">
        <v>56.56</v>
      </c>
      <c r="BM207" s="5">
        <v>1.74</v>
      </c>
      <c r="BN207" s="5">
        <v>29.82</v>
      </c>
      <c r="BO207" s="5">
        <v>37.51</v>
      </c>
      <c r="BP207" s="5">
        <v>534.30999999999995</v>
      </c>
      <c r="BQ207" s="5">
        <v>56.561360000000001</v>
      </c>
      <c r="BR207" s="5">
        <v>177.30709999999999</v>
      </c>
      <c r="BS207" s="5">
        <v>47.811239999999998</v>
      </c>
      <c r="BT207" s="5">
        <v>36.046210000000002</v>
      </c>
      <c r="BU207" s="5">
        <v>36.065489999999997</v>
      </c>
      <c r="BV207" s="5">
        <v>0.108388</v>
      </c>
      <c r="BW207" s="5">
        <v>0.114603</v>
      </c>
      <c r="BX207" s="5">
        <v>76.794529999999995</v>
      </c>
      <c r="BY207" s="5">
        <v>18.995360000000002</v>
      </c>
      <c r="BZ207" s="5">
        <v>0</v>
      </c>
      <c r="CA207" s="5">
        <v>0.93066700000000002</v>
      </c>
      <c r="CB207" s="5">
        <v>591.76729999999998</v>
      </c>
      <c r="CC207" s="5">
        <v>612.99839999999995</v>
      </c>
      <c r="CD207" s="5">
        <v>80.31438</v>
      </c>
      <c r="CE207" s="5">
        <v>506.01</v>
      </c>
      <c r="CF207" s="5">
        <v>79.569999999999993</v>
      </c>
      <c r="CG207" s="5">
        <v>93</v>
      </c>
      <c r="CH207" s="5">
        <v>487.28</v>
      </c>
      <c r="CI207" s="5">
        <v>511.12</v>
      </c>
      <c r="CJ207" s="5">
        <v>527.04</v>
      </c>
      <c r="CK207" s="5">
        <v>559.70000000000005</v>
      </c>
      <c r="CL207" s="5">
        <v>546.05999999999995</v>
      </c>
      <c r="CM207" s="5">
        <v>540.71</v>
      </c>
      <c r="CN207" s="5">
        <v>500.46</v>
      </c>
      <c r="CO207" s="5">
        <v>30.19</v>
      </c>
      <c r="CP207" s="5">
        <v>499.1</v>
      </c>
      <c r="CQ207" s="5">
        <v>500.05</v>
      </c>
      <c r="CR207" s="5">
        <v>8.9</v>
      </c>
      <c r="CS207" s="5">
        <v>9</v>
      </c>
      <c r="CT207" s="5">
        <v>26.34</v>
      </c>
      <c r="CU207" s="5">
        <v>29.21</v>
      </c>
      <c r="CV207" s="5">
        <v>100.74</v>
      </c>
      <c r="CW207" s="5">
        <v>0.85334373487567239</v>
      </c>
      <c r="CX207" s="70">
        <v>2.158959649235451</v>
      </c>
    </row>
    <row r="208" spans="1:102" x14ac:dyDescent="0.25">
      <c r="A208" s="5">
        <v>10</v>
      </c>
      <c r="B208" s="23">
        <v>41401.46179212963</v>
      </c>
      <c r="C208" s="5">
        <v>7</v>
      </c>
      <c r="D208" s="5">
        <v>13</v>
      </c>
      <c r="E208" s="5">
        <v>441</v>
      </c>
      <c r="F208" s="5">
        <v>441</v>
      </c>
      <c r="G208" s="5">
        <v>441</v>
      </c>
      <c r="H208" s="5">
        <v>91.7</v>
      </c>
      <c r="I208" s="5">
        <v>91.7</v>
      </c>
      <c r="J208" s="5">
        <v>1800</v>
      </c>
      <c r="K208" s="5">
        <v>48</v>
      </c>
      <c r="L208" s="5">
        <v>48</v>
      </c>
      <c r="M208" s="5">
        <v>0.12</v>
      </c>
      <c r="N208" s="5">
        <v>0.119909</v>
      </c>
      <c r="O208" s="5">
        <v>1</v>
      </c>
      <c r="P208" s="5">
        <v>1.0688329999999999</v>
      </c>
      <c r="Q208" s="5">
        <v>-4.54</v>
      </c>
      <c r="R208" s="5">
        <v>-4.5373539999999997</v>
      </c>
      <c r="S208" s="5">
        <v>156.75</v>
      </c>
      <c r="T208" s="5">
        <v>156.75</v>
      </c>
      <c r="U208" s="5">
        <v>3.5</v>
      </c>
      <c r="V208" s="5">
        <v>3.5</v>
      </c>
      <c r="W208" s="5">
        <v>300</v>
      </c>
      <c r="X208" s="5">
        <v>300</v>
      </c>
      <c r="Y208" s="5">
        <v>3.5</v>
      </c>
      <c r="Z208" s="5">
        <v>3.5</v>
      </c>
      <c r="AA208" s="5">
        <v>300</v>
      </c>
      <c r="AB208" s="5">
        <v>300</v>
      </c>
      <c r="AC208" s="5">
        <v>0</v>
      </c>
      <c r="AD208" s="5">
        <v>139.79769999999999</v>
      </c>
      <c r="AE208" s="5">
        <v>0</v>
      </c>
      <c r="AF208" s="5">
        <v>139.79769999999999</v>
      </c>
      <c r="AG208" s="5">
        <v>34</v>
      </c>
      <c r="AH208" s="5">
        <v>0.2</v>
      </c>
      <c r="AI208" s="5">
        <v>80.489999999999995</v>
      </c>
      <c r="AJ208" s="5">
        <v>111.72</v>
      </c>
      <c r="AK208" s="5">
        <v>170.33</v>
      </c>
      <c r="AL208" s="5">
        <v>171.41</v>
      </c>
      <c r="AM208" s="5">
        <v>456.64</v>
      </c>
      <c r="AN208" s="5">
        <v>212.19159999999999</v>
      </c>
      <c r="AO208" s="5">
        <v>111.61</v>
      </c>
      <c r="AP208" s="5">
        <v>131.43</v>
      </c>
      <c r="AQ208" s="5">
        <v>128.66</v>
      </c>
      <c r="AR208" s="5">
        <v>634.79</v>
      </c>
      <c r="AS208" s="5">
        <v>58.71</v>
      </c>
      <c r="AT208" s="5">
        <v>62.05</v>
      </c>
      <c r="AU208" s="5">
        <v>103.76</v>
      </c>
      <c r="AV208" s="5">
        <v>120.72</v>
      </c>
      <c r="AW208" s="5">
        <v>8.1000000000000003E-2</v>
      </c>
      <c r="AX208" s="5">
        <v>1.0900000000000001</v>
      </c>
      <c r="AY208" s="5">
        <v>10000000000</v>
      </c>
      <c r="AZ208" s="5">
        <v>101.44</v>
      </c>
      <c r="BA208" s="5">
        <v>39.119999999999997</v>
      </c>
      <c r="BB208" s="5">
        <v>6.7</v>
      </c>
      <c r="BC208" s="5">
        <v>0.89</v>
      </c>
      <c r="BD208" s="5">
        <v>11.33</v>
      </c>
      <c r="BE208" s="5">
        <v>3.31</v>
      </c>
      <c r="BF208" s="5">
        <v>321.63</v>
      </c>
      <c r="BG208" s="5">
        <v>13.31</v>
      </c>
      <c r="BH208" s="5">
        <v>10000000000</v>
      </c>
      <c r="BI208" s="5">
        <v>238</v>
      </c>
      <c r="BJ208" s="5">
        <v>32.1</v>
      </c>
      <c r="BK208" s="5">
        <v>85.1</v>
      </c>
      <c r="BL208" s="5">
        <v>97.4</v>
      </c>
      <c r="BM208" s="5">
        <v>2.27</v>
      </c>
      <c r="BN208" s="5">
        <v>29.79</v>
      </c>
      <c r="BO208" s="5">
        <v>35.14</v>
      </c>
      <c r="BP208" s="5">
        <v>654.25</v>
      </c>
      <c r="BQ208" s="5">
        <v>62.670520000000003</v>
      </c>
      <c r="BR208" s="5">
        <v>270.0104</v>
      </c>
      <c r="BS208" s="5">
        <v>52.211010000000002</v>
      </c>
      <c r="BT208" s="5">
        <v>57.83229</v>
      </c>
      <c r="BU208" s="5">
        <v>56.583979999999997</v>
      </c>
      <c r="BV208" s="5">
        <v>0.10250099999999999</v>
      </c>
      <c r="BW208" s="5">
        <v>9.2827999999999994E-2</v>
      </c>
      <c r="BX208" s="5">
        <v>60.350149999999999</v>
      </c>
      <c r="BY208" s="5">
        <v>18.995360000000002</v>
      </c>
      <c r="BZ208" s="5">
        <v>0</v>
      </c>
      <c r="CA208" s="5">
        <v>0.93076800000000004</v>
      </c>
      <c r="CB208" s="5">
        <v>772.82100000000003</v>
      </c>
      <c r="CC208" s="5">
        <v>790.60940000000005</v>
      </c>
      <c r="CD208" s="5">
        <v>67.350160000000002</v>
      </c>
      <c r="CE208" s="5">
        <v>440.51</v>
      </c>
      <c r="CF208" s="5">
        <v>84.3</v>
      </c>
      <c r="CG208" s="5">
        <v>97.15</v>
      </c>
      <c r="CH208" s="5">
        <v>399.56</v>
      </c>
      <c r="CI208" s="5">
        <v>409.92</v>
      </c>
      <c r="CJ208" s="5">
        <v>422.17</v>
      </c>
      <c r="CK208" s="5">
        <v>459.19</v>
      </c>
      <c r="CL208" s="5">
        <v>441.6</v>
      </c>
      <c r="CM208" s="5">
        <v>442.83</v>
      </c>
      <c r="CN208" s="5">
        <v>328.26</v>
      </c>
      <c r="CO208" s="5">
        <v>28.1</v>
      </c>
      <c r="CP208" s="5">
        <v>439.7</v>
      </c>
      <c r="CQ208" s="5">
        <v>441.04</v>
      </c>
      <c r="CR208" s="5">
        <v>7.9</v>
      </c>
      <c r="CS208" s="5">
        <v>7.9</v>
      </c>
      <c r="CT208" s="5">
        <v>25.48</v>
      </c>
      <c r="CU208" s="5">
        <v>37.729999999999997</v>
      </c>
      <c r="CV208" s="5">
        <v>100.84</v>
      </c>
      <c r="CW208" s="5">
        <v>0.88696269924031579</v>
      </c>
      <c r="CX208" s="70">
        <v>2.9358465344854454</v>
      </c>
    </row>
    <row r="209" spans="1:102" x14ac:dyDescent="0.25">
      <c r="A209" s="5">
        <v>41</v>
      </c>
      <c r="B209" s="23">
        <v>41401.657084467595</v>
      </c>
      <c r="C209" s="5">
        <v>7</v>
      </c>
      <c r="D209" s="5">
        <v>42</v>
      </c>
      <c r="E209" s="5">
        <v>539</v>
      </c>
      <c r="F209" s="5">
        <v>539</v>
      </c>
      <c r="G209" s="5">
        <v>539</v>
      </c>
      <c r="H209" s="5">
        <v>91.7</v>
      </c>
      <c r="I209" s="5">
        <v>91.7</v>
      </c>
      <c r="J209" s="5">
        <v>1800</v>
      </c>
      <c r="K209" s="5">
        <v>7</v>
      </c>
      <c r="L209" s="5">
        <v>7</v>
      </c>
      <c r="M209" s="5">
        <v>0.12</v>
      </c>
      <c r="N209" s="5">
        <v>0.119987</v>
      </c>
      <c r="O209" s="5">
        <v>1</v>
      </c>
      <c r="P209" s="5">
        <v>1.0689040000000001</v>
      </c>
      <c r="Q209" s="5">
        <v>-4.46</v>
      </c>
      <c r="R209" s="5">
        <v>-4.4604489999999997</v>
      </c>
      <c r="S209" s="5">
        <v>175.17</v>
      </c>
      <c r="T209" s="5">
        <v>175.17189999999999</v>
      </c>
      <c r="U209" s="5">
        <v>3.5</v>
      </c>
      <c r="V209" s="5">
        <v>3.5</v>
      </c>
      <c r="W209" s="5">
        <v>300</v>
      </c>
      <c r="X209" s="5">
        <v>300</v>
      </c>
      <c r="Y209" s="5">
        <v>0</v>
      </c>
      <c r="Z209" s="5">
        <v>0</v>
      </c>
      <c r="AA209" s="5">
        <v>300</v>
      </c>
      <c r="AB209" s="5">
        <v>300</v>
      </c>
      <c r="AC209" s="5">
        <v>0</v>
      </c>
      <c r="AD209" s="5">
        <v>111.7948</v>
      </c>
      <c r="AE209" s="5">
        <v>0</v>
      </c>
      <c r="AF209" s="5">
        <v>111.7949</v>
      </c>
      <c r="AG209" s="5">
        <v>34</v>
      </c>
      <c r="AH209" s="5">
        <v>0.2</v>
      </c>
      <c r="AI209" s="5">
        <v>64.73</v>
      </c>
      <c r="AJ209" s="5">
        <v>93.32</v>
      </c>
      <c r="AK209" s="5">
        <v>84.06</v>
      </c>
      <c r="AL209" s="5">
        <v>86.91</v>
      </c>
      <c r="AM209" s="5">
        <v>617.4</v>
      </c>
      <c r="AN209" s="5">
        <v>167.07480000000001</v>
      </c>
      <c r="AO209" s="5">
        <v>64.83</v>
      </c>
      <c r="AP209" s="5">
        <v>98.83</v>
      </c>
      <c r="AQ209" s="5">
        <v>78.34</v>
      </c>
      <c r="AR209" s="5">
        <v>542.30999999999995</v>
      </c>
      <c r="AS209" s="5">
        <v>19.2</v>
      </c>
      <c r="AT209" s="5">
        <v>57.61</v>
      </c>
      <c r="AU209" s="5">
        <v>98.15</v>
      </c>
      <c r="AV209" s="5">
        <v>115</v>
      </c>
      <c r="AW209" s="5">
        <v>0.44900000000000001</v>
      </c>
      <c r="AX209" s="5">
        <v>6.77</v>
      </c>
      <c r="AY209" s="5">
        <v>10000000000</v>
      </c>
      <c r="AZ209" s="5">
        <v>279.64</v>
      </c>
      <c r="BA209" s="5">
        <v>21.33</v>
      </c>
      <c r="BB209" s="5">
        <v>9.3699999999999992</v>
      </c>
      <c r="BC209" s="5">
        <v>0.68</v>
      </c>
      <c r="BD209" s="5">
        <v>7.41</v>
      </c>
      <c r="BE209" s="5">
        <v>3.32</v>
      </c>
      <c r="BF209" s="5">
        <v>486.04</v>
      </c>
      <c r="BG209" s="5">
        <v>7.21</v>
      </c>
      <c r="BH209" s="5">
        <v>10000000000</v>
      </c>
      <c r="BI209" s="5">
        <v>234</v>
      </c>
      <c r="BJ209" s="5">
        <v>22.8</v>
      </c>
      <c r="BK209" s="5">
        <v>86.7</v>
      </c>
      <c r="BL209" s="5">
        <v>42.14</v>
      </c>
      <c r="BM209" s="5">
        <v>1.78</v>
      </c>
      <c r="BN209" s="5">
        <v>29.59</v>
      </c>
      <c r="BO209" s="5">
        <v>37.54</v>
      </c>
      <c r="BP209" s="5">
        <v>566.28</v>
      </c>
      <c r="BQ209" s="5">
        <v>58.780160000000002</v>
      </c>
      <c r="BR209" s="5">
        <v>188.00489999999999</v>
      </c>
      <c r="BS209" s="5">
        <v>46.248040000000003</v>
      </c>
      <c r="BT209" s="5">
        <v>35.254829999999998</v>
      </c>
      <c r="BU209" s="5">
        <v>35.193959999999997</v>
      </c>
      <c r="BV209" s="5">
        <v>0.10523200000000001</v>
      </c>
      <c r="BW209" s="5">
        <v>0.110321</v>
      </c>
      <c r="BX209" s="5">
        <v>82.253749999999997</v>
      </c>
      <c r="BY209" s="5">
        <v>18.995360000000002</v>
      </c>
      <c r="BZ209" s="5">
        <v>0</v>
      </c>
      <c r="CA209" s="5">
        <v>0.92891100000000004</v>
      </c>
      <c r="CB209" s="5">
        <v>614.30349999999999</v>
      </c>
      <c r="CC209" s="5">
        <v>636.9769</v>
      </c>
      <c r="CD209" s="5">
        <v>85.746979999999994</v>
      </c>
      <c r="CE209" s="5">
        <v>479.06</v>
      </c>
      <c r="CF209" s="5">
        <v>80.95</v>
      </c>
      <c r="CG209" s="5">
        <v>94.64</v>
      </c>
      <c r="CH209" s="5">
        <v>498.43</v>
      </c>
      <c r="CI209" s="5">
        <v>522.59</v>
      </c>
      <c r="CJ209" s="5">
        <v>537.79999999999995</v>
      </c>
      <c r="CK209" s="5">
        <v>567.48</v>
      </c>
      <c r="CL209" s="5">
        <v>557.09</v>
      </c>
      <c r="CM209" s="5">
        <v>547.08000000000004</v>
      </c>
      <c r="CN209" s="5">
        <v>506.59</v>
      </c>
      <c r="CO209" s="5">
        <v>30.29</v>
      </c>
      <c r="CP209" s="5">
        <v>538</v>
      </c>
      <c r="CQ209" s="5">
        <v>539.04999999999995</v>
      </c>
      <c r="CR209" s="5">
        <v>9.6</v>
      </c>
      <c r="CS209" s="5">
        <v>9.6999999999999993</v>
      </c>
      <c r="CT209" s="5">
        <v>26.38</v>
      </c>
      <c r="CU209" s="5">
        <v>29.25</v>
      </c>
      <c r="CV209" s="5">
        <v>100.64</v>
      </c>
      <c r="CW209" s="5">
        <v>0.85821447246227966</v>
      </c>
      <c r="CX209" s="70">
        <v>2.8492720485747682</v>
      </c>
    </row>
    <row r="210" spans="1:102" x14ac:dyDescent="0.25">
      <c r="A210" s="5">
        <v>11</v>
      </c>
      <c r="B210" s="23">
        <v>41401.46723091435</v>
      </c>
      <c r="C210" s="5">
        <v>7</v>
      </c>
      <c r="D210" s="5">
        <v>14</v>
      </c>
      <c r="E210" s="5">
        <v>443</v>
      </c>
      <c r="F210" s="5">
        <v>443</v>
      </c>
      <c r="G210" s="5">
        <v>443.1</v>
      </c>
      <c r="H210" s="5">
        <v>91.7</v>
      </c>
      <c r="I210" s="5">
        <v>91.7</v>
      </c>
      <c r="J210" s="5">
        <v>1800</v>
      </c>
      <c r="K210" s="5">
        <v>61</v>
      </c>
      <c r="L210" s="5">
        <v>61</v>
      </c>
      <c r="M210" s="5">
        <v>0.23</v>
      </c>
      <c r="N210" s="5">
        <v>0.23000499999999999</v>
      </c>
      <c r="O210" s="5">
        <v>1</v>
      </c>
      <c r="P210" s="5">
        <v>1.0688709999999999</v>
      </c>
      <c r="Q210" s="5">
        <v>-4.5599999999999996</v>
      </c>
      <c r="R210" s="5">
        <v>-4.5593260000000004</v>
      </c>
      <c r="S210" s="5">
        <v>157.19999999999999</v>
      </c>
      <c r="T210" s="5">
        <v>157.20310000000001</v>
      </c>
      <c r="U210" s="5">
        <v>3.5</v>
      </c>
      <c r="V210" s="5">
        <v>3.5</v>
      </c>
      <c r="W210" s="5">
        <v>300</v>
      </c>
      <c r="X210" s="5">
        <v>300</v>
      </c>
      <c r="Y210" s="5">
        <v>3.5</v>
      </c>
      <c r="Z210" s="5">
        <v>3.5</v>
      </c>
      <c r="AA210" s="5">
        <v>300</v>
      </c>
      <c r="AB210" s="5">
        <v>300</v>
      </c>
      <c r="AC210" s="5">
        <v>0</v>
      </c>
      <c r="AD210" s="5">
        <v>142.49850000000001</v>
      </c>
      <c r="AE210" s="5">
        <v>0</v>
      </c>
      <c r="AF210" s="5">
        <v>142.36850000000001</v>
      </c>
      <c r="AG210" s="5">
        <v>34</v>
      </c>
      <c r="AH210" s="5">
        <v>0.2</v>
      </c>
      <c r="AI210" s="5">
        <v>83.45</v>
      </c>
      <c r="AJ210" s="5">
        <v>111.38</v>
      </c>
      <c r="AK210" s="5">
        <v>199.57</v>
      </c>
      <c r="AL210" s="5">
        <v>197.69</v>
      </c>
      <c r="AM210" s="5">
        <v>475.54</v>
      </c>
      <c r="AN210" s="5">
        <v>224.77979999999999</v>
      </c>
      <c r="AO210" s="5">
        <v>125.31</v>
      </c>
      <c r="AP210" s="5">
        <v>138.53</v>
      </c>
      <c r="AQ210" s="5">
        <v>139.69999999999999</v>
      </c>
      <c r="AR210" s="5">
        <v>553.23</v>
      </c>
      <c r="AS210" s="5">
        <v>74.28</v>
      </c>
      <c r="AT210" s="5">
        <v>78.150000000000006</v>
      </c>
      <c r="AU210" s="5">
        <v>133.35</v>
      </c>
      <c r="AV210" s="5">
        <v>121.03</v>
      </c>
      <c r="AW210" s="5">
        <v>0.45500000000000002</v>
      </c>
      <c r="AX210" s="5">
        <v>6.87</v>
      </c>
      <c r="AY210" s="5">
        <v>10000000000</v>
      </c>
      <c r="AZ210" s="5">
        <v>193.23</v>
      </c>
      <c r="BA210" s="5">
        <v>49.88</v>
      </c>
      <c r="BB210" s="5">
        <v>7.98</v>
      </c>
      <c r="BC210" s="5">
        <v>2.17</v>
      </c>
      <c r="BD210" s="5">
        <v>9.49</v>
      </c>
      <c r="BE210" s="5">
        <v>1.1599999999999999</v>
      </c>
      <c r="BF210" s="5">
        <v>133.63999999999999</v>
      </c>
      <c r="BG210" s="5">
        <v>27.19</v>
      </c>
      <c r="BH210" s="5">
        <v>10000000000</v>
      </c>
      <c r="BI210" s="5">
        <v>246.6</v>
      </c>
      <c r="BJ210" s="5">
        <v>26.9</v>
      </c>
      <c r="BK210" s="5">
        <v>83.7</v>
      </c>
      <c r="BL210" s="5">
        <v>206.56</v>
      </c>
      <c r="BM210" s="5">
        <v>2.4</v>
      </c>
      <c r="BN210" s="5">
        <v>30.96</v>
      </c>
      <c r="BO210" s="5">
        <v>36.29</v>
      </c>
      <c r="BP210" s="5">
        <v>573.82000000000005</v>
      </c>
      <c r="BQ210" s="5">
        <v>76.154269999999997</v>
      </c>
      <c r="BR210" s="5">
        <v>290.11259999999999</v>
      </c>
      <c r="BS210" s="5">
        <v>50.61786</v>
      </c>
      <c r="BT210" s="5">
        <v>55.996729999999999</v>
      </c>
      <c r="BU210" s="5">
        <v>54.779870000000003</v>
      </c>
      <c r="BV210" s="5">
        <v>0.107012</v>
      </c>
      <c r="BW210" s="5">
        <v>9.7217999999999999E-2</v>
      </c>
      <c r="BX210" s="5">
        <v>63.459899999999998</v>
      </c>
      <c r="BY210" s="5">
        <v>18.995360000000002</v>
      </c>
      <c r="BZ210" s="5">
        <v>0</v>
      </c>
      <c r="CA210" s="5">
        <v>0.93077600000000005</v>
      </c>
      <c r="CB210" s="5">
        <v>787.01459999999997</v>
      </c>
      <c r="CC210" s="5">
        <v>805.62249999999995</v>
      </c>
      <c r="CD210" s="5">
        <v>70.449740000000006</v>
      </c>
      <c r="CE210" s="5">
        <v>485.32</v>
      </c>
      <c r="CF210" s="5">
        <v>108.25</v>
      </c>
      <c r="CG210" s="5">
        <v>127.03</v>
      </c>
      <c r="CH210" s="5">
        <v>421.06</v>
      </c>
      <c r="CI210" s="5">
        <v>434.9</v>
      </c>
      <c r="CJ210" s="5">
        <v>446.26</v>
      </c>
      <c r="CK210" s="5">
        <v>479.76</v>
      </c>
      <c r="CL210" s="5">
        <v>471.31</v>
      </c>
      <c r="CM210" s="5">
        <v>472.08</v>
      </c>
      <c r="CN210" s="5">
        <v>334.85</v>
      </c>
      <c r="CO210" s="5">
        <v>28.28</v>
      </c>
      <c r="CP210" s="5">
        <v>441.6</v>
      </c>
      <c r="CQ210" s="5">
        <v>443.05</v>
      </c>
      <c r="CR210" s="5">
        <v>7.9</v>
      </c>
      <c r="CS210" s="5">
        <v>7.9</v>
      </c>
      <c r="CT210" s="5">
        <v>24.85</v>
      </c>
      <c r="CU210" s="5">
        <v>38.07</v>
      </c>
      <c r="CV210" s="5">
        <v>100.84</v>
      </c>
      <c r="CW210" s="5">
        <v>0.87317071032761051</v>
      </c>
      <c r="CX210" s="70">
        <v>1.0128780239800281</v>
      </c>
    </row>
    <row r="211" spans="1:102" x14ac:dyDescent="0.25">
      <c r="A211" s="5">
        <v>37</v>
      </c>
      <c r="B211" s="23">
        <v>41401.62562259259</v>
      </c>
      <c r="C211" s="5">
        <v>7</v>
      </c>
      <c r="D211" s="5">
        <v>38</v>
      </c>
      <c r="E211" s="5">
        <v>525</v>
      </c>
      <c r="F211" s="5">
        <v>525</v>
      </c>
      <c r="G211" s="5">
        <v>525</v>
      </c>
      <c r="H211" s="5">
        <v>91.7</v>
      </c>
      <c r="I211" s="5">
        <v>91.7</v>
      </c>
      <c r="J211" s="5">
        <v>1800</v>
      </c>
      <c r="K211" s="5">
        <v>54</v>
      </c>
      <c r="L211" s="5">
        <v>54</v>
      </c>
      <c r="M211" s="5">
        <v>0.1</v>
      </c>
      <c r="N211" s="5">
        <v>9.9888000000000005E-2</v>
      </c>
      <c r="O211" s="5">
        <v>1</v>
      </c>
      <c r="P211" s="5">
        <v>1.068908</v>
      </c>
      <c r="Q211" s="5">
        <v>-4.6500000000000004</v>
      </c>
      <c r="R211" s="5">
        <v>-4.6472170000000004</v>
      </c>
      <c r="S211" s="5">
        <v>173.29</v>
      </c>
      <c r="T211" s="5">
        <v>173.29689999999999</v>
      </c>
      <c r="U211" s="5">
        <v>3.5</v>
      </c>
      <c r="V211" s="5">
        <v>3.5</v>
      </c>
      <c r="W211" s="5">
        <v>300</v>
      </c>
      <c r="X211" s="5">
        <v>300</v>
      </c>
      <c r="Y211" s="5">
        <v>0</v>
      </c>
      <c r="Z211" s="5">
        <v>0</v>
      </c>
      <c r="AA211" s="5">
        <v>300</v>
      </c>
      <c r="AB211" s="5">
        <v>300</v>
      </c>
      <c r="AC211" s="5">
        <v>0</v>
      </c>
      <c r="AD211" s="5">
        <v>168.4933</v>
      </c>
      <c r="AE211" s="5">
        <v>0</v>
      </c>
      <c r="AF211" s="5">
        <v>142.5437</v>
      </c>
      <c r="AG211" s="5">
        <v>34</v>
      </c>
      <c r="AH211" s="5">
        <v>0.2</v>
      </c>
      <c r="AI211" s="5">
        <v>93.52</v>
      </c>
      <c r="AJ211" s="5">
        <v>126.29</v>
      </c>
      <c r="AK211" s="5">
        <v>246.27</v>
      </c>
      <c r="AL211" s="5">
        <v>247.19</v>
      </c>
      <c r="AM211" s="5">
        <v>481.12</v>
      </c>
      <c r="AN211" s="5">
        <v>250.8021</v>
      </c>
      <c r="AO211" s="5">
        <v>150.26</v>
      </c>
      <c r="AP211" s="5">
        <v>161.28</v>
      </c>
      <c r="AQ211" s="5">
        <v>169.92</v>
      </c>
      <c r="AR211" s="5">
        <v>752.92</v>
      </c>
      <c r="AS211" s="5">
        <v>95.98</v>
      </c>
      <c r="AT211" s="5">
        <v>63.06</v>
      </c>
      <c r="AU211" s="5">
        <v>106.2</v>
      </c>
      <c r="AV211" s="5">
        <v>117.39</v>
      </c>
      <c r="AW211" s="5">
        <v>9.0999999999999998E-2</v>
      </c>
      <c r="AX211" s="5">
        <v>1.22</v>
      </c>
      <c r="AY211" s="5">
        <v>10000000000</v>
      </c>
      <c r="AZ211" s="5">
        <v>50.01</v>
      </c>
      <c r="BA211" s="5">
        <v>20.92</v>
      </c>
      <c r="BB211" s="5">
        <v>6.82</v>
      </c>
      <c r="BC211" s="5">
        <v>0.9</v>
      </c>
      <c r="BD211" s="5">
        <v>11.06</v>
      </c>
      <c r="BE211" s="5">
        <v>3.61</v>
      </c>
      <c r="BF211" s="5">
        <v>352.5</v>
      </c>
      <c r="BG211" s="5">
        <v>13.19</v>
      </c>
      <c r="BH211" s="5">
        <v>10000000000</v>
      </c>
      <c r="BI211" s="5">
        <v>239.4</v>
      </c>
      <c r="BJ211" s="5">
        <v>31.8</v>
      </c>
      <c r="BK211" s="5">
        <v>85.6</v>
      </c>
      <c r="BL211" s="5">
        <v>114.3</v>
      </c>
      <c r="BM211" s="5">
        <v>2.67</v>
      </c>
      <c r="BN211" s="5">
        <v>29.79</v>
      </c>
      <c r="BO211" s="5">
        <v>35.200000000000003</v>
      </c>
      <c r="BP211" s="5">
        <v>776.29</v>
      </c>
      <c r="BQ211" s="5">
        <v>63.549370000000003</v>
      </c>
      <c r="BR211" s="5">
        <v>346.13639999999998</v>
      </c>
      <c r="BS211" s="5">
        <v>46.436900000000001</v>
      </c>
      <c r="BT211" s="5">
        <v>53.755899999999997</v>
      </c>
      <c r="BU211" s="5">
        <v>52.473309999999998</v>
      </c>
      <c r="BV211" s="5">
        <v>0.105639</v>
      </c>
      <c r="BW211" s="5">
        <v>9.5224000000000003E-2</v>
      </c>
      <c r="BX211" s="5">
        <v>81.612080000000006</v>
      </c>
      <c r="BY211" s="5">
        <v>18.995360000000002</v>
      </c>
      <c r="BZ211" s="5">
        <v>0</v>
      </c>
      <c r="CA211" s="5">
        <v>0.92909900000000001</v>
      </c>
      <c r="CB211" s="5">
        <v>909.58979999999997</v>
      </c>
      <c r="CC211" s="5">
        <v>932.10040000000004</v>
      </c>
      <c r="CD211" s="5">
        <v>85.108379999999997</v>
      </c>
      <c r="CE211" s="5">
        <v>464.4</v>
      </c>
      <c r="CF211" s="5">
        <v>87.12</v>
      </c>
      <c r="CG211" s="5">
        <v>99.99</v>
      </c>
      <c r="CH211" s="5">
        <v>427.88</v>
      </c>
      <c r="CI211" s="5">
        <v>440.76</v>
      </c>
      <c r="CJ211" s="5">
        <v>454.86</v>
      </c>
      <c r="CK211" s="5">
        <v>471.89</v>
      </c>
      <c r="CL211" s="5">
        <v>469.93</v>
      </c>
      <c r="CM211" s="5">
        <v>467.31</v>
      </c>
      <c r="CN211" s="5">
        <v>324.54000000000002</v>
      </c>
      <c r="CO211" s="5">
        <v>29.24</v>
      </c>
      <c r="CP211" s="5">
        <v>523.9</v>
      </c>
      <c r="CQ211" s="5">
        <v>525.04999999999995</v>
      </c>
      <c r="CR211" s="5">
        <v>9.4</v>
      </c>
      <c r="CS211" s="5">
        <v>9.4</v>
      </c>
      <c r="CT211" s="5">
        <v>25.96</v>
      </c>
      <c r="CU211" s="5">
        <v>30.29</v>
      </c>
      <c r="CV211" s="5">
        <v>100.68</v>
      </c>
      <c r="CW211" s="5">
        <v>0.87551625168764757</v>
      </c>
      <c r="CX211" s="70">
        <v>3.1606136685924078</v>
      </c>
    </row>
    <row r="212" spans="1:102" x14ac:dyDescent="0.25">
      <c r="A212" s="5">
        <v>25</v>
      </c>
      <c r="B212" s="23">
        <v>41401.556664629628</v>
      </c>
      <c r="C212" s="5">
        <v>7</v>
      </c>
      <c r="D212" s="5">
        <v>28</v>
      </c>
      <c r="E212" s="5">
        <v>493</v>
      </c>
      <c r="F212" s="5">
        <v>493</v>
      </c>
      <c r="G212" s="5">
        <v>493.1</v>
      </c>
      <c r="H212" s="5">
        <v>91.7</v>
      </c>
      <c r="I212" s="5">
        <v>91.7</v>
      </c>
      <c r="J212" s="5">
        <v>1800</v>
      </c>
      <c r="K212" s="5">
        <v>43</v>
      </c>
      <c r="L212" s="5">
        <v>43</v>
      </c>
      <c r="M212" s="5">
        <v>0.11</v>
      </c>
      <c r="N212" s="5">
        <v>0.11002099999999999</v>
      </c>
      <c r="O212" s="5">
        <v>1</v>
      </c>
      <c r="P212" s="5">
        <v>1.068967</v>
      </c>
      <c r="Q212" s="5">
        <v>-4.9400000000000004</v>
      </c>
      <c r="R212" s="5">
        <v>-4.943848</v>
      </c>
      <c r="S212" s="5">
        <v>168.38</v>
      </c>
      <c r="T212" s="5">
        <v>168.375</v>
      </c>
      <c r="U212" s="5">
        <v>3.5</v>
      </c>
      <c r="V212" s="5">
        <v>3.5</v>
      </c>
      <c r="W212" s="5">
        <v>300</v>
      </c>
      <c r="X212" s="5">
        <v>300</v>
      </c>
      <c r="Y212" s="5">
        <v>3.5</v>
      </c>
      <c r="Z212" s="5">
        <v>3.5</v>
      </c>
      <c r="AA212" s="5">
        <v>300</v>
      </c>
      <c r="AB212" s="5">
        <v>300</v>
      </c>
      <c r="AC212" s="5">
        <v>0</v>
      </c>
      <c r="AD212" s="5">
        <v>141.1542</v>
      </c>
      <c r="AE212" s="5">
        <v>0</v>
      </c>
      <c r="AF212" s="5">
        <v>141.1542</v>
      </c>
      <c r="AG212" s="5">
        <v>34</v>
      </c>
      <c r="AH212" s="5">
        <v>0.2</v>
      </c>
      <c r="AI212" s="5">
        <v>80.8</v>
      </c>
      <c r="AJ212" s="5">
        <v>113.13</v>
      </c>
      <c r="AK212" s="5">
        <v>164.44</v>
      </c>
      <c r="AL212" s="5">
        <v>166.14</v>
      </c>
      <c r="AM212" s="5">
        <v>487.65</v>
      </c>
      <c r="AN212" s="5">
        <v>213.4092</v>
      </c>
      <c r="AO212" s="5">
        <v>112.5</v>
      </c>
      <c r="AP212" s="5">
        <v>135.05000000000001</v>
      </c>
      <c r="AQ212" s="5">
        <v>130.16</v>
      </c>
      <c r="AR212" s="5">
        <v>659.68</v>
      </c>
      <c r="AS212" s="5">
        <v>51.95</v>
      </c>
      <c r="AT212" s="5">
        <v>60.77</v>
      </c>
      <c r="AU212" s="5">
        <v>102.07</v>
      </c>
      <c r="AV212" s="5">
        <v>115.36</v>
      </c>
      <c r="AW212" s="5">
        <v>6.5000000000000002E-2</v>
      </c>
      <c r="AX212" s="5">
        <v>0.87</v>
      </c>
      <c r="AY212" s="5">
        <v>10000000000</v>
      </c>
      <c r="AZ212" s="5">
        <v>107.09</v>
      </c>
      <c r="BA212" s="5">
        <v>36.31</v>
      </c>
      <c r="BB212" s="5">
        <v>7.08</v>
      </c>
      <c r="BC212" s="5">
        <v>0.83</v>
      </c>
      <c r="BD212" s="5">
        <v>10.71</v>
      </c>
      <c r="BE212" s="5">
        <v>3.42</v>
      </c>
      <c r="BF212" s="5">
        <v>359.26</v>
      </c>
      <c r="BG212" s="5">
        <v>11.71</v>
      </c>
      <c r="BH212" s="5">
        <v>10000000000</v>
      </c>
      <c r="BI212" s="5">
        <v>234.2</v>
      </c>
      <c r="BJ212" s="5">
        <v>30.3</v>
      </c>
      <c r="BK212" s="5">
        <v>86.4</v>
      </c>
      <c r="BL212" s="5">
        <v>87.53</v>
      </c>
      <c r="BM212" s="5">
        <v>2.2799999999999998</v>
      </c>
      <c r="BN212" s="5">
        <v>29.73</v>
      </c>
      <c r="BO212" s="5">
        <v>35.49</v>
      </c>
      <c r="BP212" s="5">
        <v>681.63</v>
      </c>
      <c r="BQ212" s="5">
        <v>61.443489999999997</v>
      </c>
      <c r="BR212" s="5">
        <v>264.91739999999999</v>
      </c>
      <c r="BS212" s="5">
        <v>49.286549999999998</v>
      </c>
      <c r="BT212" s="5">
        <v>51.788119999999999</v>
      </c>
      <c r="BU212" s="5">
        <v>50.869579999999999</v>
      </c>
      <c r="BV212" s="5">
        <v>0.107775</v>
      </c>
      <c r="BW212" s="5">
        <v>0.100434</v>
      </c>
      <c r="BX212" s="5">
        <v>68.117189999999994</v>
      </c>
      <c r="BY212" s="5">
        <v>18.995360000000002</v>
      </c>
      <c r="BZ212" s="5">
        <v>0</v>
      </c>
      <c r="CA212" s="5">
        <v>0.93077200000000004</v>
      </c>
      <c r="CB212" s="5">
        <v>780.09389999999996</v>
      </c>
      <c r="CC212" s="5">
        <v>799.94309999999996</v>
      </c>
      <c r="CD212" s="5">
        <v>75.116560000000007</v>
      </c>
      <c r="CE212" s="5">
        <v>461.71</v>
      </c>
      <c r="CF212" s="5">
        <v>82.53</v>
      </c>
      <c r="CG212" s="5">
        <v>96.38</v>
      </c>
      <c r="CH212" s="5">
        <v>418.64</v>
      </c>
      <c r="CI212" s="5">
        <v>431.05</v>
      </c>
      <c r="CJ212" s="5">
        <v>442.17</v>
      </c>
      <c r="CK212" s="5">
        <v>474.12</v>
      </c>
      <c r="CL212" s="5">
        <v>470.66</v>
      </c>
      <c r="CM212" s="5">
        <v>475.29</v>
      </c>
      <c r="CN212" s="5">
        <v>355.91</v>
      </c>
      <c r="CO212" s="5">
        <v>28.94</v>
      </c>
      <c r="CP212" s="5">
        <v>492</v>
      </c>
      <c r="CQ212" s="5">
        <v>493.05</v>
      </c>
      <c r="CR212" s="5">
        <v>8.8000000000000007</v>
      </c>
      <c r="CS212" s="5">
        <v>8.8000000000000007</v>
      </c>
      <c r="CT212" s="5">
        <v>26.04</v>
      </c>
      <c r="CU212" s="5">
        <v>30.9</v>
      </c>
      <c r="CV212" s="5">
        <v>100.75</v>
      </c>
      <c r="CW212" s="5">
        <v>0.87261906371555265</v>
      </c>
      <c r="CX212" s="70">
        <v>2.9843571979071899</v>
      </c>
    </row>
    <row r="213" spans="1:102" x14ac:dyDescent="0.25">
      <c r="A213" s="5">
        <v>14</v>
      </c>
      <c r="B213" s="23">
        <v>41397.716012546298</v>
      </c>
      <c r="C213" s="5">
        <v>7</v>
      </c>
      <c r="D213" s="5">
        <v>6</v>
      </c>
      <c r="E213" s="5">
        <v>418</v>
      </c>
      <c r="F213" s="5">
        <v>418</v>
      </c>
      <c r="G213" s="5">
        <v>418</v>
      </c>
      <c r="H213" s="5">
        <v>91.7</v>
      </c>
      <c r="I213" s="5">
        <v>91.7</v>
      </c>
      <c r="J213" s="5">
        <v>1800</v>
      </c>
      <c r="K213" s="5">
        <v>9</v>
      </c>
      <c r="L213" s="5">
        <v>9</v>
      </c>
      <c r="M213" s="5">
        <v>0.21</v>
      </c>
      <c r="N213" s="5">
        <v>0.20999699999999999</v>
      </c>
      <c r="O213" s="5">
        <v>1</v>
      </c>
      <c r="P213" s="5">
        <v>1.068983</v>
      </c>
      <c r="Q213" s="5">
        <v>-4.37</v>
      </c>
      <c r="R213" s="5">
        <v>-4.3725589999999999</v>
      </c>
      <c r="S213" s="5">
        <v>151.62</v>
      </c>
      <c r="T213" s="5">
        <v>151.625</v>
      </c>
      <c r="U213" s="5">
        <v>3.5</v>
      </c>
      <c r="V213" s="5">
        <v>3.5</v>
      </c>
      <c r="W213" s="5">
        <v>300</v>
      </c>
      <c r="X213" s="5">
        <v>300</v>
      </c>
      <c r="Y213" s="5">
        <v>3.5</v>
      </c>
      <c r="Z213" s="5">
        <v>3.5</v>
      </c>
      <c r="AA213" s="5">
        <v>300</v>
      </c>
      <c r="AB213" s="5">
        <v>300</v>
      </c>
      <c r="AC213" s="5">
        <v>0</v>
      </c>
      <c r="AD213" s="5">
        <v>99.289270000000002</v>
      </c>
      <c r="AE213" s="5">
        <v>0</v>
      </c>
      <c r="AF213" s="5">
        <v>99.289270000000002</v>
      </c>
      <c r="AG213" s="5">
        <v>34</v>
      </c>
      <c r="AH213" s="5">
        <v>0.2</v>
      </c>
      <c r="AI213" s="5">
        <v>56.47</v>
      </c>
      <c r="AJ213" s="5">
        <v>79.069999999999993</v>
      </c>
      <c r="AK213" s="5">
        <v>60.31</v>
      </c>
      <c r="AL213" s="5">
        <v>61.83</v>
      </c>
      <c r="AM213" s="5">
        <v>554.04999999999995</v>
      </c>
      <c r="AN213" s="5">
        <v>145.26990000000001</v>
      </c>
      <c r="AO213" s="5">
        <v>43.27</v>
      </c>
      <c r="AP213" s="5">
        <v>74.77</v>
      </c>
      <c r="AQ213" s="5">
        <v>54.26</v>
      </c>
      <c r="AR213" s="5">
        <v>454.7</v>
      </c>
      <c r="AS213" s="5">
        <v>17.04</v>
      </c>
      <c r="AT213" s="5">
        <v>51.68</v>
      </c>
      <c r="AU213" s="5">
        <v>99.06</v>
      </c>
      <c r="AV213" s="5">
        <v>115.38</v>
      </c>
      <c r="AW213" s="5">
        <v>0.44900000000000001</v>
      </c>
      <c r="AX213" s="5">
        <v>6.77</v>
      </c>
      <c r="AY213" s="5">
        <v>10000000000</v>
      </c>
      <c r="AZ213" s="5">
        <v>183.21</v>
      </c>
      <c r="BA213" s="5">
        <v>41.14</v>
      </c>
      <c r="BB213" s="5">
        <v>8.89</v>
      </c>
      <c r="BC213" s="5">
        <v>1.0900000000000001</v>
      </c>
      <c r="BD213" s="5">
        <v>8.27</v>
      </c>
      <c r="BE213" s="5">
        <v>2.25</v>
      </c>
      <c r="BF213" s="5">
        <v>301.88</v>
      </c>
      <c r="BG213" s="5">
        <v>12.27</v>
      </c>
      <c r="BH213" s="5">
        <v>10000000000</v>
      </c>
      <c r="BI213" s="5">
        <v>237.7</v>
      </c>
      <c r="BJ213" s="5">
        <v>24.3</v>
      </c>
      <c r="BK213" s="5">
        <v>85.6</v>
      </c>
      <c r="BL213" s="5">
        <v>63.57</v>
      </c>
      <c r="BM213" s="5">
        <v>1.6</v>
      </c>
      <c r="BN213" s="5">
        <v>29.96</v>
      </c>
      <c r="BO213" s="5">
        <v>37.049999999999997</v>
      </c>
      <c r="BP213" s="5">
        <v>473.31</v>
      </c>
      <c r="BQ213" s="5">
        <v>53.352029999999999</v>
      </c>
      <c r="BR213" s="5">
        <v>161.017</v>
      </c>
      <c r="BS213" s="5">
        <v>54.305810000000001</v>
      </c>
      <c r="BT213" s="5">
        <v>42.563960000000002</v>
      </c>
      <c r="BU213" s="5">
        <v>42.563020000000002</v>
      </c>
      <c r="BV213" s="5">
        <v>9.6140000000000003E-2</v>
      </c>
      <c r="BW213" s="5">
        <v>0.103016</v>
      </c>
      <c r="BX213" s="5">
        <v>56.562080000000002</v>
      </c>
      <c r="BY213" s="5">
        <v>18.995360000000002</v>
      </c>
      <c r="BZ213" s="5">
        <v>0</v>
      </c>
      <c r="CA213" s="5">
        <v>0.93076800000000004</v>
      </c>
      <c r="CB213" s="5">
        <v>544.14290000000005</v>
      </c>
      <c r="CC213" s="5">
        <v>560.92790000000002</v>
      </c>
      <c r="CD213" s="5">
        <v>63.562080000000002</v>
      </c>
      <c r="CE213" s="5">
        <v>489.93</v>
      </c>
      <c r="CF213" s="5">
        <v>79.02</v>
      </c>
      <c r="CG213" s="5">
        <v>92.12</v>
      </c>
      <c r="CH213" s="5">
        <v>451.27</v>
      </c>
      <c r="CI213" s="5">
        <v>466.52</v>
      </c>
      <c r="CJ213" s="5">
        <v>479.54</v>
      </c>
      <c r="CK213" s="5">
        <v>520.30999999999995</v>
      </c>
      <c r="CL213" s="5">
        <v>496.6</v>
      </c>
      <c r="CM213" s="5">
        <v>506.34</v>
      </c>
      <c r="CN213" s="5">
        <v>463.32</v>
      </c>
      <c r="CO213" s="5">
        <v>27</v>
      </c>
      <c r="CP213" s="5">
        <v>416</v>
      </c>
      <c r="CQ213" s="5">
        <v>418.05</v>
      </c>
      <c r="CR213" s="5">
        <v>7.5</v>
      </c>
      <c r="CS213" s="5">
        <v>7.5</v>
      </c>
      <c r="CT213" s="5">
        <v>25.31</v>
      </c>
      <c r="CU213" s="5">
        <v>39.909999999999997</v>
      </c>
      <c r="CV213" s="5">
        <v>100.74</v>
      </c>
      <c r="CW213" s="5">
        <v>0.87119344687030398</v>
      </c>
      <c r="CX213" s="70">
        <v>1.960185255458184</v>
      </c>
    </row>
    <row r="214" spans="1:102" x14ac:dyDescent="0.25">
      <c r="A214" s="5">
        <v>39</v>
      </c>
      <c r="B214" s="23">
        <v>41401.636469016201</v>
      </c>
      <c r="C214" s="5">
        <v>7</v>
      </c>
      <c r="D214" s="5">
        <v>40</v>
      </c>
      <c r="E214" s="5">
        <v>535</v>
      </c>
      <c r="F214" s="5">
        <v>535</v>
      </c>
      <c r="G214" s="5">
        <v>535</v>
      </c>
      <c r="H214" s="5">
        <v>91.7</v>
      </c>
      <c r="I214" s="5">
        <v>91.7</v>
      </c>
      <c r="J214" s="5">
        <v>1800</v>
      </c>
      <c r="K214" s="5">
        <v>34</v>
      </c>
      <c r="L214" s="5">
        <v>34</v>
      </c>
      <c r="M214" s="5">
        <v>0.14000000000000001</v>
      </c>
      <c r="N214" s="5">
        <v>0.14002300000000001</v>
      </c>
      <c r="O214" s="5">
        <v>1</v>
      </c>
      <c r="P214" s="5">
        <v>1.0688690000000001</v>
      </c>
      <c r="Q214" s="5">
        <v>-4.51</v>
      </c>
      <c r="R214" s="5">
        <v>-4.5153809999999996</v>
      </c>
      <c r="S214" s="5">
        <v>174.63</v>
      </c>
      <c r="T214" s="5">
        <v>174.625</v>
      </c>
      <c r="U214" s="5">
        <v>3.5</v>
      </c>
      <c r="V214" s="5">
        <v>3.5</v>
      </c>
      <c r="W214" s="5">
        <v>300</v>
      </c>
      <c r="X214" s="5">
        <v>300</v>
      </c>
      <c r="Y214" s="5">
        <v>0</v>
      </c>
      <c r="Z214" s="5">
        <v>0</v>
      </c>
      <c r="AA214" s="5">
        <v>300</v>
      </c>
      <c r="AB214" s="5">
        <v>300</v>
      </c>
      <c r="AC214" s="5">
        <v>0</v>
      </c>
      <c r="AD214" s="5">
        <v>133.59119999999999</v>
      </c>
      <c r="AE214" s="5">
        <v>0</v>
      </c>
      <c r="AF214" s="5">
        <v>133.59119999999999</v>
      </c>
      <c r="AG214" s="5">
        <v>34</v>
      </c>
      <c r="AH214" s="5">
        <v>0.2</v>
      </c>
      <c r="AI214" s="5">
        <v>76.94</v>
      </c>
      <c r="AJ214" s="5">
        <v>108.8</v>
      </c>
      <c r="AK214" s="5">
        <v>133.97999999999999</v>
      </c>
      <c r="AL214" s="5">
        <v>136.05000000000001</v>
      </c>
      <c r="AM214" s="5">
        <v>532.05999999999995</v>
      </c>
      <c r="AN214" s="5">
        <v>202.00819999999999</v>
      </c>
      <c r="AO214" s="5">
        <v>101.2</v>
      </c>
      <c r="AP214" s="5">
        <v>126.25</v>
      </c>
      <c r="AQ214" s="5">
        <v>118.04</v>
      </c>
      <c r="AR214" s="5">
        <v>634.69000000000005</v>
      </c>
      <c r="AS214" s="5">
        <v>32.74</v>
      </c>
      <c r="AT214" s="5">
        <v>60.34</v>
      </c>
      <c r="AU214" s="5">
        <v>101.63</v>
      </c>
      <c r="AV214" s="5">
        <v>117.43</v>
      </c>
      <c r="AW214" s="5">
        <v>0.14799999999999999</v>
      </c>
      <c r="AX214" s="5">
        <v>2.0299999999999998</v>
      </c>
      <c r="AY214" s="5">
        <v>10000000000</v>
      </c>
      <c r="AZ214" s="5">
        <v>90.17</v>
      </c>
      <c r="BA214" s="5">
        <v>25.74</v>
      </c>
      <c r="BB214" s="5">
        <v>7.84</v>
      </c>
      <c r="BC214" s="5">
        <v>0.88</v>
      </c>
      <c r="BD214" s="5">
        <v>9.61</v>
      </c>
      <c r="BE214" s="5">
        <v>3.21</v>
      </c>
      <c r="BF214" s="5">
        <v>386.16</v>
      </c>
      <c r="BG214" s="5">
        <v>11.26</v>
      </c>
      <c r="BH214" s="5">
        <v>10000000000</v>
      </c>
      <c r="BI214" s="5">
        <v>229.5</v>
      </c>
      <c r="BJ214" s="5">
        <v>27.4</v>
      </c>
      <c r="BK214" s="5">
        <v>87.1</v>
      </c>
      <c r="BL214" s="5">
        <v>80.510000000000005</v>
      </c>
      <c r="BM214" s="5">
        <v>2.17</v>
      </c>
      <c r="BN214" s="5">
        <v>29.78</v>
      </c>
      <c r="BO214" s="5">
        <v>36.15</v>
      </c>
      <c r="BP214" s="5">
        <v>657.83</v>
      </c>
      <c r="BQ214" s="5">
        <v>61.073070000000001</v>
      </c>
      <c r="BR214" s="5">
        <v>234.3373</v>
      </c>
      <c r="BS214" s="5">
        <v>46.887889999999999</v>
      </c>
      <c r="BT214" s="5">
        <v>43.824759999999998</v>
      </c>
      <c r="BU214" s="5">
        <v>43.362470000000002</v>
      </c>
      <c r="BV214" s="5">
        <v>0.106527</v>
      </c>
      <c r="BW214" s="5">
        <v>0.104738</v>
      </c>
      <c r="BX214" s="5">
        <v>80.01979</v>
      </c>
      <c r="BY214" s="5">
        <v>18.995360000000002</v>
      </c>
      <c r="BZ214" s="5">
        <v>0</v>
      </c>
      <c r="CA214" s="5">
        <v>0.92963300000000004</v>
      </c>
      <c r="CB214" s="5">
        <v>738.32870000000003</v>
      </c>
      <c r="CC214" s="5">
        <v>760.41560000000004</v>
      </c>
      <c r="CD214" s="5">
        <v>83.51979</v>
      </c>
      <c r="CE214" s="5">
        <v>475.2</v>
      </c>
      <c r="CF214" s="5">
        <v>83.04</v>
      </c>
      <c r="CG214" s="5">
        <v>95.87</v>
      </c>
      <c r="CH214" s="5">
        <v>439.27</v>
      </c>
      <c r="CI214" s="5">
        <v>458.97</v>
      </c>
      <c r="CJ214" s="5">
        <v>472.25</v>
      </c>
      <c r="CK214" s="5">
        <v>493.78</v>
      </c>
      <c r="CL214" s="5">
        <v>493.41</v>
      </c>
      <c r="CM214" s="5">
        <v>490.74</v>
      </c>
      <c r="CN214" s="5">
        <v>404.31</v>
      </c>
      <c r="CO214" s="5">
        <v>29.59</v>
      </c>
      <c r="CP214" s="5">
        <v>534</v>
      </c>
      <c r="CQ214" s="5">
        <v>535.04999999999995</v>
      </c>
      <c r="CR214" s="5">
        <v>9.6</v>
      </c>
      <c r="CS214" s="5">
        <v>9.6</v>
      </c>
      <c r="CT214" s="5">
        <v>26.12</v>
      </c>
      <c r="CU214" s="5">
        <v>30.31</v>
      </c>
      <c r="CV214" s="5">
        <v>100.66</v>
      </c>
      <c r="CW214" s="5">
        <v>0.8694175993274299</v>
      </c>
      <c r="CX214" s="70">
        <v>2.79083049384105</v>
      </c>
    </row>
    <row r="215" spans="1:102" x14ac:dyDescent="0.25">
      <c r="A215" s="5">
        <v>1</v>
      </c>
      <c r="B215" s="23">
        <v>41401.407877986108</v>
      </c>
      <c r="C215" s="5">
        <v>7</v>
      </c>
      <c r="D215" s="5">
        <v>8</v>
      </c>
      <c r="E215" s="5">
        <v>425</v>
      </c>
      <c r="F215" s="5">
        <v>425</v>
      </c>
      <c r="G215" s="5">
        <v>425</v>
      </c>
      <c r="H215" s="5">
        <v>91.7</v>
      </c>
      <c r="I215" s="5">
        <v>91.7</v>
      </c>
      <c r="J215" s="5">
        <v>1800</v>
      </c>
      <c r="K215" s="5">
        <v>34</v>
      </c>
      <c r="L215" s="5">
        <v>34</v>
      </c>
      <c r="M215" s="5">
        <v>0.1</v>
      </c>
      <c r="N215" s="5">
        <v>9.9949999999999997E-2</v>
      </c>
      <c r="O215" s="5">
        <v>1</v>
      </c>
      <c r="P215" s="5">
        <v>1.068962</v>
      </c>
      <c r="Q215" s="5">
        <v>-4.43</v>
      </c>
      <c r="R215" s="5">
        <v>-4.4274899999999997</v>
      </c>
      <c r="S215" s="5">
        <v>153.19</v>
      </c>
      <c r="T215" s="5">
        <v>153.1875</v>
      </c>
      <c r="U215" s="5">
        <v>3.5</v>
      </c>
      <c r="V215" s="5">
        <v>3.5</v>
      </c>
      <c r="W215" s="5">
        <v>300</v>
      </c>
      <c r="X215" s="5">
        <v>300</v>
      </c>
      <c r="Y215" s="5">
        <v>3.5</v>
      </c>
      <c r="Z215" s="5">
        <v>3.5</v>
      </c>
      <c r="AA215" s="5">
        <v>300</v>
      </c>
      <c r="AB215" s="5">
        <v>300</v>
      </c>
      <c r="AC215" s="5">
        <v>0</v>
      </c>
      <c r="AD215" s="5">
        <v>119.9971</v>
      </c>
      <c r="AE215" s="5">
        <v>0</v>
      </c>
      <c r="AF215" s="5">
        <v>119.9962</v>
      </c>
      <c r="AG215" s="5">
        <v>34</v>
      </c>
      <c r="AH215" s="5">
        <v>0.2</v>
      </c>
      <c r="AI215" s="5">
        <v>68.989999999999995</v>
      </c>
      <c r="AJ215" s="5">
        <v>99.32</v>
      </c>
      <c r="AK215" s="5">
        <v>112.46</v>
      </c>
      <c r="AL215" s="5">
        <v>114.04</v>
      </c>
      <c r="AM215" s="5">
        <v>479.33</v>
      </c>
      <c r="AN215" s="5">
        <v>179.36330000000001</v>
      </c>
      <c r="AO215" s="5">
        <v>77.91</v>
      </c>
      <c r="AP215" s="5">
        <v>109.31</v>
      </c>
      <c r="AQ215" s="5">
        <v>93.36</v>
      </c>
      <c r="AR215" s="5">
        <v>577.17999999999995</v>
      </c>
      <c r="AS215" s="5">
        <v>34.56</v>
      </c>
      <c r="AT215" s="5">
        <v>57.05</v>
      </c>
      <c r="AU215" s="5">
        <v>97.69</v>
      </c>
      <c r="AV215" s="5">
        <v>118.8</v>
      </c>
      <c r="AW215" s="5">
        <v>0.1</v>
      </c>
      <c r="AX215" s="5">
        <v>1.35</v>
      </c>
      <c r="AY215" s="5">
        <v>10000000000</v>
      </c>
      <c r="AZ215" s="5">
        <v>110.02</v>
      </c>
      <c r="BA215" s="5">
        <v>40.44</v>
      </c>
      <c r="BB215" s="5">
        <v>7.06</v>
      </c>
      <c r="BC215" s="5">
        <v>0.66</v>
      </c>
      <c r="BD215" s="5">
        <v>10.83</v>
      </c>
      <c r="BE215" s="5">
        <v>3.84</v>
      </c>
      <c r="BF215" s="5">
        <v>397.51</v>
      </c>
      <c r="BG215" s="5">
        <v>9.3800000000000008</v>
      </c>
      <c r="BH215" s="5">
        <v>10000000000</v>
      </c>
      <c r="BI215" s="5">
        <v>234.7</v>
      </c>
      <c r="BJ215" s="5">
        <v>30.7</v>
      </c>
      <c r="BK215" s="5">
        <v>87.3</v>
      </c>
      <c r="BL215" s="5">
        <v>59.75</v>
      </c>
      <c r="BM215" s="5">
        <v>1.93</v>
      </c>
      <c r="BN215" s="5">
        <v>29.57</v>
      </c>
      <c r="BO215" s="5">
        <v>35.409999999999997</v>
      </c>
      <c r="BP215" s="5">
        <v>596.27</v>
      </c>
      <c r="BQ215" s="5">
        <v>58.140259999999998</v>
      </c>
      <c r="BR215" s="5">
        <v>214.24950000000001</v>
      </c>
      <c r="BS215" s="5">
        <v>54.283279999999998</v>
      </c>
      <c r="BT215" s="5">
        <v>52.354219999999998</v>
      </c>
      <c r="BU215" s="5">
        <v>51.753570000000003</v>
      </c>
      <c r="BV215" s="5">
        <v>9.6214999999999995E-2</v>
      </c>
      <c r="BW215" s="5">
        <v>9.4056000000000001E-2</v>
      </c>
      <c r="BX215" s="5">
        <v>56.60239</v>
      </c>
      <c r="BY215" s="5">
        <v>18.995360000000002</v>
      </c>
      <c r="BZ215" s="5">
        <v>0</v>
      </c>
      <c r="CA215" s="5">
        <v>0.93076199999999998</v>
      </c>
      <c r="CB215" s="5">
        <v>662.22519999999997</v>
      </c>
      <c r="CC215" s="5">
        <v>679.03629999999998</v>
      </c>
      <c r="CD215" s="5">
        <v>63.603859999999997</v>
      </c>
      <c r="CE215" s="5">
        <v>421.03</v>
      </c>
      <c r="CF215" s="5">
        <v>73.37</v>
      </c>
      <c r="CG215" s="5">
        <v>88.96</v>
      </c>
      <c r="CH215" s="5">
        <v>406.82</v>
      </c>
      <c r="CI215" s="5">
        <v>418.62</v>
      </c>
      <c r="CJ215" s="5">
        <v>430.21</v>
      </c>
      <c r="CK215" s="5">
        <v>461.8</v>
      </c>
      <c r="CL215" s="5">
        <v>453.4</v>
      </c>
      <c r="CM215" s="5">
        <v>453.34</v>
      </c>
      <c r="CN215" s="5">
        <v>368.73</v>
      </c>
      <c r="CO215" s="5">
        <v>28.15</v>
      </c>
      <c r="CP215" s="5">
        <v>424.2</v>
      </c>
      <c r="CQ215" s="5">
        <v>425.05</v>
      </c>
      <c r="CR215" s="5">
        <v>7.6</v>
      </c>
      <c r="CS215" s="5">
        <v>7.6</v>
      </c>
      <c r="CT215" s="5">
        <v>24.18</v>
      </c>
      <c r="CU215" s="5">
        <v>29.65</v>
      </c>
      <c r="CV215" s="5">
        <v>100.93</v>
      </c>
      <c r="CW215" s="5">
        <v>0.85598830521116609</v>
      </c>
      <c r="CX215" s="70">
        <v>3.2869950920108777</v>
      </c>
    </row>
    <row r="216" spans="1:102" x14ac:dyDescent="0.25">
      <c r="A216" s="5">
        <v>16</v>
      </c>
      <c r="B216" s="23">
        <v>41401.496539386571</v>
      </c>
      <c r="C216" s="5">
        <v>7</v>
      </c>
      <c r="D216" s="5">
        <v>20</v>
      </c>
      <c r="E216" s="5">
        <v>464</v>
      </c>
      <c r="F216" s="5">
        <v>464</v>
      </c>
      <c r="G216" s="5">
        <v>464</v>
      </c>
      <c r="H216" s="5">
        <v>91.7</v>
      </c>
      <c r="I216" s="5">
        <v>91.7</v>
      </c>
      <c r="J216" s="5">
        <v>1800</v>
      </c>
      <c r="K216" s="5">
        <v>41</v>
      </c>
      <c r="L216" s="5">
        <v>41</v>
      </c>
      <c r="M216" s="5">
        <v>0.24</v>
      </c>
      <c r="N216" s="5">
        <v>0.24002399999999999</v>
      </c>
      <c r="O216" s="5">
        <v>1</v>
      </c>
      <c r="P216" s="5">
        <v>1.068843</v>
      </c>
      <c r="Q216" s="5">
        <v>-4.72</v>
      </c>
      <c r="R216" s="5">
        <v>-4.7241210000000002</v>
      </c>
      <c r="S216" s="5">
        <v>161.88999999999999</v>
      </c>
      <c r="T216" s="5">
        <v>161.89060000000001</v>
      </c>
      <c r="U216" s="5">
        <v>3.5</v>
      </c>
      <c r="V216" s="5">
        <v>3.5</v>
      </c>
      <c r="W216" s="5">
        <v>300</v>
      </c>
      <c r="X216" s="5">
        <v>300</v>
      </c>
      <c r="Y216" s="5">
        <v>3.5</v>
      </c>
      <c r="Z216" s="5">
        <v>3.5</v>
      </c>
      <c r="AA216" s="5">
        <v>300</v>
      </c>
      <c r="AB216" s="5">
        <v>300</v>
      </c>
      <c r="AC216" s="5">
        <v>0</v>
      </c>
      <c r="AD216" s="5">
        <v>125.1521</v>
      </c>
      <c r="AE216" s="5">
        <v>0</v>
      </c>
      <c r="AF216" s="5">
        <v>125.1521</v>
      </c>
      <c r="AG216" s="5">
        <v>34</v>
      </c>
      <c r="AH216" s="5">
        <v>0.2</v>
      </c>
      <c r="AI216" s="5">
        <v>72.930000000000007</v>
      </c>
      <c r="AJ216" s="5">
        <v>101.93</v>
      </c>
      <c r="AK216" s="5">
        <v>122.71</v>
      </c>
      <c r="AL216" s="5">
        <v>123</v>
      </c>
      <c r="AM216" s="5">
        <v>503</v>
      </c>
      <c r="AN216" s="5">
        <v>191.9016</v>
      </c>
      <c r="AO216" s="5">
        <v>91.29</v>
      </c>
      <c r="AP216" s="5">
        <v>116.97</v>
      </c>
      <c r="AQ216" s="5">
        <v>105.98</v>
      </c>
      <c r="AR216" s="5">
        <v>551.41999999999996</v>
      </c>
      <c r="AS216" s="5">
        <v>31.41</v>
      </c>
      <c r="AT216" s="5">
        <v>65.81</v>
      </c>
      <c r="AU216" s="5">
        <v>111.39</v>
      </c>
      <c r="AV216" s="5">
        <v>113.56</v>
      </c>
      <c r="AW216" s="5">
        <v>0.23799999999999999</v>
      </c>
      <c r="AX216" s="5">
        <v>3.36</v>
      </c>
      <c r="AY216" s="5">
        <v>10000000000</v>
      </c>
      <c r="AZ216" s="5">
        <v>154.56</v>
      </c>
      <c r="BA216" s="5">
        <v>40.29</v>
      </c>
      <c r="BB216" s="5">
        <v>8.0399999999999991</v>
      </c>
      <c r="BC216" s="5">
        <v>1.47</v>
      </c>
      <c r="BD216" s="5">
        <v>9.4499999999999993</v>
      </c>
      <c r="BE216" s="5">
        <v>1.93</v>
      </c>
      <c r="BF216" s="5">
        <v>233.3</v>
      </c>
      <c r="BG216" s="5">
        <v>18.22</v>
      </c>
      <c r="BH216" s="5">
        <v>10000000000</v>
      </c>
      <c r="BI216" s="5">
        <v>233.8</v>
      </c>
      <c r="BJ216" s="5">
        <v>26.9</v>
      </c>
      <c r="BK216" s="5">
        <v>86.1</v>
      </c>
      <c r="BL216" s="5">
        <v>122.77</v>
      </c>
      <c r="BM216" s="5">
        <v>2.0699999999999998</v>
      </c>
      <c r="BN216" s="5">
        <v>30.3</v>
      </c>
      <c r="BO216" s="5">
        <v>36.270000000000003</v>
      </c>
      <c r="BP216" s="5">
        <v>571.42999999999995</v>
      </c>
      <c r="BQ216" s="5">
        <v>66.04177</v>
      </c>
      <c r="BR216" s="5">
        <v>218.67599999999999</v>
      </c>
      <c r="BS216" s="5">
        <v>50.949860000000001</v>
      </c>
      <c r="BT216" s="5">
        <v>49.379600000000003</v>
      </c>
      <c r="BU216" s="5">
        <v>48.763309999999997</v>
      </c>
      <c r="BV216" s="5">
        <v>0.106321</v>
      </c>
      <c r="BW216" s="5">
        <v>0.10324999999999999</v>
      </c>
      <c r="BX216" s="5">
        <v>62.628799999999998</v>
      </c>
      <c r="BY216" s="5">
        <v>18.995360000000002</v>
      </c>
      <c r="BZ216" s="5">
        <v>0</v>
      </c>
      <c r="CA216" s="5">
        <v>0.93076999999999999</v>
      </c>
      <c r="CB216" s="5">
        <v>691.96460000000002</v>
      </c>
      <c r="CC216" s="5">
        <v>710.35919999999999</v>
      </c>
      <c r="CD216" s="5">
        <v>69.642650000000003</v>
      </c>
      <c r="CE216" s="5">
        <v>483.84</v>
      </c>
      <c r="CF216" s="5">
        <v>89.88</v>
      </c>
      <c r="CG216" s="5">
        <v>104.57</v>
      </c>
      <c r="CH216" s="5">
        <v>421.02</v>
      </c>
      <c r="CI216" s="5">
        <v>435.47</v>
      </c>
      <c r="CJ216" s="5">
        <v>447.1</v>
      </c>
      <c r="CK216" s="5">
        <v>482.75</v>
      </c>
      <c r="CL216" s="5">
        <v>475.23</v>
      </c>
      <c r="CM216" s="5">
        <v>476.23</v>
      </c>
      <c r="CN216" s="5">
        <v>380.01</v>
      </c>
      <c r="CO216" s="5">
        <v>28.83</v>
      </c>
      <c r="CP216" s="5">
        <v>463.1</v>
      </c>
      <c r="CQ216" s="5">
        <v>464.05</v>
      </c>
      <c r="CR216" s="5">
        <v>8.3000000000000007</v>
      </c>
      <c r="CS216" s="5">
        <v>8.3000000000000007</v>
      </c>
      <c r="CT216" s="5">
        <v>25.69</v>
      </c>
      <c r="CU216" s="5">
        <v>31.78</v>
      </c>
      <c r="CV216" s="5">
        <v>100.81</v>
      </c>
      <c r="CW216" s="5">
        <v>0.8638058550971448</v>
      </c>
      <c r="CX216" s="70">
        <v>1.6671453003374894</v>
      </c>
    </row>
    <row r="217" spans="1:102" x14ac:dyDescent="0.25">
      <c r="A217" s="5">
        <v>20</v>
      </c>
      <c r="B217" s="23">
        <v>41401.526663807868</v>
      </c>
      <c r="C217" s="5">
        <v>7</v>
      </c>
      <c r="D217" s="5">
        <v>17</v>
      </c>
      <c r="E217" s="5">
        <v>455</v>
      </c>
      <c r="F217" s="5">
        <v>455</v>
      </c>
      <c r="G217" s="5">
        <v>455</v>
      </c>
      <c r="H217" s="5">
        <v>91.7</v>
      </c>
      <c r="I217" s="5">
        <v>91.7</v>
      </c>
      <c r="J217" s="5">
        <v>1800</v>
      </c>
      <c r="K217" s="5">
        <v>60</v>
      </c>
      <c r="L217" s="5">
        <v>60</v>
      </c>
      <c r="M217" s="5">
        <v>0.27</v>
      </c>
      <c r="N217" s="5">
        <v>0.27007999999999999</v>
      </c>
      <c r="O217" s="5">
        <v>1</v>
      </c>
      <c r="P217" s="5">
        <v>1.068983</v>
      </c>
      <c r="Q217" s="5">
        <v>-4.6500000000000004</v>
      </c>
      <c r="R217" s="5">
        <v>-4.6472170000000004</v>
      </c>
      <c r="S217" s="5">
        <v>159.88</v>
      </c>
      <c r="T217" s="5">
        <v>159.875</v>
      </c>
      <c r="U217" s="5">
        <v>3.5</v>
      </c>
      <c r="V217" s="5">
        <v>3.5</v>
      </c>
      <c r="W217" s="5">
        <v>300</v>
      </c>
      <c r="X217" s="5">
        <v>300</v>
      </c>
      <c r="Y217" s="5">
        <v>3.5</v>
      </c>
      <c r="Z217" s="5">
        <v>3.5</v>
      </c>
      <c r="AA217" s="5">
        <v>300</v>
      </c>
      <c r="AB217" s="5">
        <v>300</v>
      </c>
      <c r="AC217" s="5">
        <v>0</v>
      </c>
      <c r="AD217" s="5">
        <v>137.88130000000001</v>
      </c>
      <c r="AE217" s="5">
        <v>0</v>
      </c>
      <c r="AF217" s="5">
        <v>137.88130000000001</v>
      </c>
      <c r="AG217" s="5">
        <v>34</v>
      </c>
      <c r="AH217" s="5">
        <v>0.2</v>
      </c>
      <c r="AI217" s="5">
        <v>80.92</v>
      </c>
      <c r="AJ217" s="5">
        <v>109.12</v>
      </c>
      <c r="AK217" s="5">
        <v>185.47</v>
      </c>
      <c r="AL217" s="5">
        <v>182.96</v>
      </c>
      <c r="AM217" s="5">
        <v>491.98</v>
      </c>
      <c r="AN217" s="5">
        <v>219.03620000000001</v>
      </c>
      <c r="AO217" s="5">
        <v>119.52</v>
      </c>
      <c r="AP217" s="5">
        <v>135.08000000000001</v>
      </c>
      <c r="AQ217" s="5">
        <v>133.32</v>
      </c>
      <c r="AR217" s="5">
        <v>524.70000000000005</v>
      </c>
      <c r="AS217" s="5">
        <v>65.94</v>
      </c>
      <c r="AT217" s="5">
        <v>81.180000000000007</v>
      </c>
      <c r="AU217" s="5">
        <v>137.54</v>
      </c>
      <c r="AV217" s="5">
        <v>116.93</v>
      </c>
      <c r="AW217" s="5">
        <v>0.85799999999999998</v>
      </c>
      <c r="AX217" s="5">
        <v>14.66</v>
      </c>
      <c r="AY217" s="5">
        <v>10000000000</v>
      </c>
      <c r="AZ217" s="5">
        <v>271.62</v>
      </c>
      <c r="BA217" s="5">
        <v>57.86</v>
      </c>
      <c r="BB217" s="5">
        <v>8.6</v>
      </c>
      <c r="BC217" s="5">
        <v>2.52</v>
      </c>
      <c r="BD217" s="5">
        <v>8.64</v>
      </c>
      <c r="BE217" s="5">
        <v>0.87</v>
      </c>
      <c r="BF217" s="5">
        <v>109.83</v>
      </c>
      <c r="BG217" s="5">
        <v>29.35</v>
      </c>
      <c r="BH217" s="5">
        <v>10000000000</v>
      </c>
      <c r="BI217" s="5">
        <v>245.8</v>
      </c>
      <c r="BJ217" s="5">
        <v>24.9</v>
      </c>
      <c r="BK217" s="5">
        <v>83.9</v>
      </c>
      <c r="BL217" s="5">
        <v>218.2</v>
      </c>
      <c r="BM217" s="5">
        <v>2.34</v>
      </c>
      <c r="BN217" s="5">
        <v>31.28</v>
      </c>
      <c r="BO217" s="5">
        <v>36.840000000000003</v>
      </c>
      <c r="BP217" s="5">
        <v>546.29</v>
      </c>
      <c r="BQ217" s="5">
        <v>78.226200000000006</v>
      </c>
      <c r="BR217" s="5">
        <v>274.18180000000001</v>
      </c>
      <c r="BS217" s="5">
        <v>49.996670000000002</v>
      </c>
      <c r="BT217" s="5">
        <v>52.407550000000001</v>
      </c>
      <c r="BU217" s="5">
        <v>51.448700000000002</v>
      </c>
      <c r="BV217" s="5">
        <v>0.10736800000000001</v>
      </c>
      <c r="BW217" s="5">
        <v>0.10018100000000001</v>
      </c>
      <c r="BX217" s="5">
        <v>65.624219999999994</v>
      </c>
      <c r="BY217" s="5">
        <v>18.995360000000002</v>
      </c>
      <c r="BZ217" s="5">
        <v>0</v>
      </c>
      <c r="CA217" s="5">
        <v>0.93077299999999996</v>
      </c>
      <c r="CB217" s="5">
        <v>762.39940000000001</v>
      </c>
      <c r="CC217" s="5">
        <v>781.59</v>
      </c>
      <c r="CD217" s="5">
        <v>72.625519999999995</v>
      </c>
      <c r="CE217" s="5">
        <v>503.65</v>
      </c>
      <c r="CF217" s="5">
        <v>109.49</v>
      </c>
      <c r="CG217" s="5">
        <v>131.04</v>
      </c>
      <c r="CH217" s="5">
        <v>432.16</v>
      </c>
      <c r="CI217" s="5">
        <v>447.98</v>
      </c>
      <c r="CJ217" s="5">
        <v>457.7</v>
      </c>
      <c r="CK217" s="5">
        <v>483.84</v>
      </c>
      <c r="CL217" s="5">
        <v>490.3</v>
      </c>
      <c r="CM217" s="5">
        <v>490.69</v>
      </c>
      <c r="CN217" s="5">
        <v>349.28</v>
      </c>
      <c r="CO217" s="5">
        <v>28.53</v>
      </c>
      <c r="CP217" s="5">
        <v>454</v>
      </c>
      <c r="CQ217" s="5">
        <v>455.05</v>
      </c>
      <c r="CR217" s="5">
        <v>8.1</v>
      </c>
      <c r="CS217" s="5">
        <v>8.1999999999999993</v>
      </c>
      <c r="CT217" s="5">
        <v>25.12</v>
      </c>
      <c r="CU217" s="5">
        <v>31.86</v>
      </c>
      <c r="CV217" s="5">
        <v>100.79</v>
      </c>
      <c r="CW217" s="5">
        <v>0.85476520296463976</v>
      </c>
      <c r="CX217" s="70">
        <v>0.74364572657923655</v>
      </c>
    </row>
    <row r="218" spans="1:102" x14ac:dyDescent="0.25">
      <c r="A218" s="5">
        <v>30</v>
      </c>
      <c r="B218" s="23">
        <v>41401.583848310183</v>
      </c>
      <c r="C218" s="5">
        <v>7</v>
      </c>
      <c r="D218" s="5">
        <v>33</v>
      </c>
      <c r="E218" s="5">
        <v>511</v>
      </c>
      <c r="F218" s="5">
        <v>511</v>
      </c>
      <c r="G218" s="5">
        <v>511</v>
      </c>
      <c r="H218" s="5">
        <v>91.7</v>
      </c>
      <c r="I218" s="5">
        <v>91.7</v>
      </c>
      <c r="J218" s="5">
        <v>1800</v>
      </c>
      <c r="K218" s="5">
        <v>19</v>
      </c>
      <c r="L218" s="5">
        <v>19</v>
      </c>
      <c r="M218" s="5">
        <v>0.23</v>
      </c>
      <c r="N218" s="5">
        <v>0.229904</v>
      </c>
      <c r="O218" s="5">
        <v>1</v>
      </c>
      <c r="P218" s="5">
        <v>1.068981</v>
      </c>
      <c r="Q218" s="5">
        <v>-4.84</v>
      </c>
      <c r="R218" s="5">
        <v>-4.8449710000000001</v>
      </c>
      <c r="S218" s="5">
        <v>171.42</v>
      </c>
      <c r="T218" s="5">
        <v>171.42189999999999</v>
      </c>
      <c r="U218" s="5">
        <v>3.5</v>
      </c>
      <c r="V218" s="5">
        <v>3.5</v>
      </c>
      <c r="W218" s="5">
        <v>300</v>
      </c>
      <c r="X218" s="5">
        <v>300</v>
      </c>
      <c r="Y218" s="5">
        <v>0</v>
      </c>
      <c r="Z218" s="5">
        <v>0</v>
      </c>
      <c r="AA218" s="5">
        <v>300</v>
      </c>
      <c r="AB218" s="5">
        <v>300</v>
      </c>
      <c r="AC218" s="5">
        <v>0</v>
      </c>
      <c r="AD218" s="5">
        <v>114.58280000000001</v>
      </c>
      <c r="AE218" s="5">
        <v>0</v>
      </c>
      <c r="AF218" s="5">
        <v>114.58280000000001</v>
      </c>
      <c r="AG218" s="5">
        <v>34</v>
      </c>
      <c r="AH218" s="5">
        <v>0.2</v>
      </c>
      <c r="AI218" s="5">
        <v>66.36</v>
      </c>
      <c r="AJ218" s="5">
        <v>95.06</v>
      </c>
      <c r="AK218" s="5">
        <v>88.9</v>
      </c>
      <c r="AL218" s="5">
        <v>90.71</v>
      </c>
      <c r="AM218" s="5">
        <v>584.66999999999996</v>
      </c>
      <c r="AN218" s="5">
        <v>172.0102</v>
      </c>
      <c r="AO218" s="5">
        <v>70.92</v>
      </c>
      <c r="AP218" s="5">
        <v>103.21</v>
      </c>
      <c r="AQ218" s="5">
        <v>85.25</v>
      </c>
      <c r="AR218" s="5">
        <v>533.98</v>
      </c>
      <c r="AS218" s="5">
        <v>17.96</v>
      </c>
      <c r="AT218" s="5">
        <v>59.19</v>
      </c>
      <c r="AU218" s="5">
        <v>101.26</v>
      </c>
      <c r="AV218" s="5">
        <v>115.42</v>
      </c>
      <c r="AW218" s="5">
        <v>0.53500000000000003</v>
      </c>
      <c r="AX218" s="5">
        <v>8.2799999999999994</v>
      </c>
      <c r="AY218" s="5">
        <v>10000000000</v>
      </c>
      <c r="AZ218" s="5">
        <v>257.22000000000003</v>
      </c>
      <c r="BA218" s="5">
        <v>25.33</v>
      </c>
      <c r="BB218" s="5">
        <v>9.0299999999999994</v>
      </c>
      <c r="BC218" s="5">
        <v>1.08</v>
      </c>
      <c r="BD218" s="5">
        <v>7.95</v>
      </c>
      <c r="BE218" s="5">
        <v>2.35</v>
      </c>
      <c r="BF218" s="5">
        <v>329.36</v>
      </c>
      <c r="BG218" s="5">
        <v>11.97</v>
      </c>
      <c r="BH218" s="5">
        <v>10000000000</v>
      </c>
      <c r="BI218" s="5">
        <v>234</v>
      </c>
      <c r="BJ218" s="5">
        <v>23.7</v>
      </c>
      <c r="BK218" s="5">
        <v>86</v>
      </c>
      <c r="BL218" s="5">
        <v>72.56</v>
      </c>
      <c r="BM218" s="5">
        <v>1.86</v>
      </c>
      <c r="BN218" s="5">
        <v>29.96</v>
      </c>
      <c r="BO218" s="5">
        <v>37.24</v>
      </c>
      <c r="BP218" s="5">
        <v>556.35</v>
      </c>
      <c r="BQ218" s="5">
        <v>60.026820000000001</v>
      </c>
      <c r="BR218" s="5">
        <v>188.62020000000001</v>
      </c>
      <c r="BS218" s="5">
        <v>47.642110000000002</v>
      </c>
      <c r="BT218" s="5">
        <v>38.279620000000001</v>
      </c>
      <c r="BU218" s="5">
        <v>38.20391</v>
      </c>
      <c r="BV218" s="5">
        <v>0.10806200000000001</v>
      </c>
      <c r="BW218" s="5">
        <v>0.11233799999999999</v>
      </c>
      <c r="BX218" s="5">
        <v>77.400890000000004</v>
      </c>
      <c r="BY218" s="5">
        <v>18.995360000000002</v>
      </c>
      <c r="BZ218" s="5">
        <v>0</v>
      </c>
      <c r="CA218" s="5">
        <v>0.93047500000000005</v>
      </c>
      <c r="CB218" s="5">
        <v>631.32439999999997</v>
      </c>
      <c r="CC218" s="5">
        <v>652.71169999999995</v>
      </c>
      <c r="CD218" s="5">
        <v>80.890940000000001</v>
      </c>
      <c r="CE218" s="5">
        <v>507.97</v>
      </c>
      <c r="CF218" s="5">
        <v>83.24</v>
      </c>
      <c r="CG218" s="5">
        <v>95.85</v>
      </c>
      <c r="CH218" s="5">
        <v>468.79</v>
      </c>
      <c r="CI218" s="5">
        <v>492.79</v>
      </c>
      <c r="CJ218" s="5">
        <v>507.16</v>
      </c>
      <c r="CK218" s="5">
        <v>537.94000000000005</v>
      </c>
      <c r="CL218" s="5">
        <v>526.52</v>
      </c>
      <c r="CM218" s="5">
        <v>524.67999999999995</v>
      </c>
      <c r="CN218" s="5">
        <v>470.19</v>
      </c>
      <c r="CO218" s="5">
        <v>29.65</v>
      </c>
      <c r="CP218" s="5">
        <v>510</v>
      </c>
      <c r="CQ218" s="5">
        <v>511.05</v>
      </c>
      <c r="CR218" s="5">
        <v>9.1</v>
      </c>
      <c r="CS218" s="5">
        <v>9.1999999999999993</v>
      </c>
      <c r="CT218" s="5">
        <v>25.99</v>
      </c>
      <c r="CU218" s="5">
        <v>31.79</v>
      </c>
      <c r="CV218" s="5">
        <v>100.73</v>
      </c>
      <c r="CW218" s="5">
        <v>0.8622489912658855</v>
      </c>
      <c r="CX218" s="70">
        <v>2.026285129474831</v>
      </c>
    </row>
    <row r="219" spans="1:102" x14ac:dyDescent="0.25">
      <c r="A219" s="5">
        <v>17</v>
      </c>
      <c r="B219" s="23">
        <v>41401.501981168978</v>
      </c>
      <c r="C219" s="5">
        <v>7</v>
      </c>
      <c r="D219" s="5">
        <v>21</v>
      </c>
      <c r="E219" s="5">
        <v>469</v>
      </c>
      <c r="F219" s="5">
        <v>469</v>
      </c>
      <c r="G219" s="5">
        <v>469</v>
      </c>
      <c r="H219" s="5">
        <v>91.7</v>
      </c>
      <c r="I219" s="5">
        <v>91.7</v>
      </c>
      <c r="J219" s="5">
        <v>1800</v>
      </c>
      <c r="K219" s="5">
        <v>61</v>
      </c>
      <c r="L219" s="5">
        <v>61</v>
      </c>
      <c r="M219" s="5">
        <v>0.16</v>
      </c>
      <c r="N219" s="5">
        <v>0.15996299999999999</v>
      </c>
      <c r="O219" s="5">
        <v>1</v>
      </c>
      <c r="P219" s="5">
        <v>1.0688789999999999</v>
      </c>
      <c r="Q219" s="5">
        <v>-4.75</v>
      </c>
      <c r="R219" s="5">
        <v>-4.7460940000000003</v>
      </c>
      <c r="S219" s="5">
        <v>163.01</v>
      </c>
      <c r="T219" s="5">
        <v>163.01560000000001</v>
      </c>
      <c r="U219" s="5">
        <v>3.5</v>
      </c>
      <c r="V219" s="5">
        <v>3.5</v>
      </c>
      <c r="W219" s="5">
        <v>300</v>
      </c>
      <c r="X219" s="5">
        <v>300</v>
      </c>
      <c r="Y219" s="5">
        <v>3.5</v>
      </c>
      <c r="Z219" s="5">
        <v>3.5</v>
      </c>
      <c r="AA219" s="5">
        <v>300</v>
      </c>
      <c r="AB219" s="5">
        <v>300</v>
      </c>
      <c r="AC219" s="5">
        <v>0</v>
      </c>
      <c r="AD219" s="5">
        <v>158.5051</v>
      </c>
      <c r="AE219" s="5">
        <v>0</v>
      </c>
      <c r="AF219" s="5">
        <v>142.5401</v>
      </c>
      <c r="AG219" s="5">
        <v>34</v>
      </c>
      <c r="AH219" s="5">
        <v>0.2</v>
      </c>
      <c r="AI219" s="5">
        <v>89.99</v>
      </c>
      <c r="AJ219" s="5">
        <v>119.72</v>
      </c>
      <c r="AK219" s="5">
        <v>240.79</v>
      </c>
      <c r="AL219" s="5">
        <v>239.94</v>
      </c>
      <c r="AM219" s="5">
        <v>465.84</v>
      </c>
      <c r="AN219" s="5">
        <v>243.29230000000001</v>
      </c>
      <c r="AO219" s="5">
        <v>143.61000000000001</v>
      </c>
      <c r="AP219" s="5">
        <v>151.83000000000001</v>
      </c>
      <c r="AQ219" s="5">
        <v>160.53</v>
      </c>
      <c r="AR219" s="5">
        <v>646.62</v>
      </c>
      <c r="AS219" s="5">
        <v>97.21</v>
      </c>
      <c r="AT219" s="5">
        <v>71.64</v>
      </c>
      <c r="AU219" s="5">
        <v>124.69</v>
      </c>
      <c r="AV219" s="5">
        <v>115.8</v>
      </c>
      <c r="AW219" s="5">
        <v>0.13800000000000001</v>
      </c>
      <c r="AX219" s="5">
        <v>1.89</v>
      </c>
      <c r="AY219" s="5">
        <v>10000000000</v>
      </c>
      <c r="AZ219" s="5">
        <v>134.71</v>
      </c>
      <c r="BA219" s="5">
        <v>40.21</v>
      </c>
      <c r="BB219" s="5">
        <v>7.19</v>
      </c>
      <c r="BC219" s="5">
        <v>1.58</v>
      </c>
      <c r="BD219" s="5">
        <v>10.58</v>
      </c>
      <c r="BE219" s="5">
        <v>1.93</v>
      </c>
      <c r="BF219" s="5">
        <v>197.67</v>
      </c>
      <c r="BG219" s="5">
        <v>22</v>
      </c>
      <c r="BH219" s="5">
        <v>10000000000</v>
      </c>
      <c r="BI219" s="5">
        <v>246.4</v>
      </c>
      <c r="BJ219" s="5">
        <v>29.7</v>
      </c>
      <c r="BK219" s="5">
        <v>84.4</v>
      </c>
      <c r="BL219" s="5">
        <v>182.45</v>
      </c>
      <c r="BM219" s="5">
        <v>2.59</v>
      </c>
      <c r="BN219" s="5">
        <v>30.43</v>
      </c>
      <c r="BO219" s="5">
        <v>35.619999999999997</v>
      </c>
      <c r="BP219" s="5">
        <v>668.49</v>
      </c>
      <c r="BQ219" s="5">
        <v>70.767240000000001</v>
      </c>
      <c r="BR219" s="5">
        <v>335.06939999999997</v>
      </c>
      <c r="BS219" s="5">
        <v>49.420270000000002</v>
      </c>
      <c r="BT219" s="5">
        <v>58.248370000000001</v>
      </c>
      <c r="BU219" s="5">
        <v>56.772869999999998</v>
      </c>
      <c r="BV219" s="5">
        <v>0.10771600000000001</v>
      </c>
      <c r="BW219" s="5">
        <v>9.4338000000000005E-2</v>
      </c>
      <c r="BX219" s="5">
        <v>67.655000000000001</v>
      </c>
      <c r="BY219" s="5">
        <v>18.995360000000002</v>
      </c>
      <c r="BZ219" s="5">
        <v>0</v>
      </c>
      <c r="CA219" s="5">
        <v>0.93075600000000003</v>
      </c>
      <c r="CB219" s="5">
        <v>865.49459999999999</v>
      </c>
      <c r="CC219" s="5">
        <v>885.22389999999996</v>
      </c>
      <c r="CD219" s="5">
        <v>74.661299999999997</v>
      </c>
      <c r="CE219" s="5">
        <v>476.37</v>
      </c>
      <c r="CF219" s="5">
        <v>100.24</v>
      </c>
      <c r="CG219" s="5">
        <v>118.24</v>
      </c>
      <c r="CH219" s="5">
        <v>424.23</v>
      </c>
      <c r="CI219" s="5">
        <v>434.22</v>
      </c>
      <c r="CJ219" s="5">
        <v>440.89</v>
      </c>
      <c r="CK219" s="5">
        <v>460.68</v>
      </c>
      <c r="CL219" s="5">
        <v>465.48</v>
      </c>
      <c r="CM219" s="5">
        <v>466.63</v>
      </c>
      <c r="CN219" s="5">
        <v>316.11</v>
      </c>
      <c r="CO219" s="5">
        <v>27.74</v>
      </c>
      <c r="CP219" s="5">
        <v>467.6</v>
      </c>
      <c r="CQ219" s="5">
        <v>469.05</v>
      </c>
      <c r="CR219" s="5">
        <v>8.4</v>
      </c>
      <c r="CS219" s="5">
        <v>8.4</v>
      </c>
      <c r="CT219" s="5">
        <v>25.01</v>
      </c>
      <c r="CU219" s="5">
        <v>34.79</v>
      </c>
      <c r="CV219" s="5">
        <v>100.82</v>
      </c>
      <c r="CW219" s="5">
        <v>0.87460424831659378</v>
      </c>
      <c r="CX219" s="70">
        <v>1.6879861992510259</v>
      </c>
    </row>
    <row r="220" spans="1:102" x14ac:dyDescent="0.25">
      <c r="A220" s="5">
        <v>36</v>
      </c>
      <c r="B220" s="23">
        <v>41401.620191805552</v>
      </c>
      <c r="C220" s="5">
        <v>7</v>
      </c>
      <c r="D220" s="5">
        <v>37</v>
      </c>
      <c r="E220" s="5">
        <v>521</v>
      </c>
      <c r="F220" s="5">
        <v>521</v>
      </c>
      <c r="G220" s="5">
        <v>521</v>
      </c>
      <c r="H220" s="5">
        <v>91.7</v>
      </c>
      <c r="I220" s="5">
        <v>91.7</v>
      </c>
      <c r="J220" s="5">
        <v>1800</v>
      </c>
      <c r="K220" s="5">
        <v>48</v>
      </c>
      <c r="L220" s="5">
        <v>48</v>
      </c>
      <c r="M220" s="5">
        <v>0.28000000000000003</v>
      </c>
      <c r="N220" s="5">
        <v>0.28008499999999997</v>
      </c>
      <c r="O220" s="5">
        <v>1</v>
      </c>
      <c r="P220" s="5">
        <v>1.068883</v>
      </c>
      <c r="Q220" s="5">
        <v>-4.7</v>
      </c>
      <c r="R220" s="5">
        <v>-4.7021480000000002</v>
      </c>
      <c r="S220" s="5">
        <v>172.76</v>
      </c>
      <c r="T220" s="5">
        <v>172.76560000000001</v>
      </c>
      <c r="U220" s="5">
        <v>3.5</v>
      </c>
      <c r="V220" s="5">
        <v>3.5</v>
      </c>
      <c r="W220" s="5">
        <v>300</v>
      </c>
      <c r="X220" s="5">
        <v>300</v>
      </c>
      <c r="Y220" s="5">
        <v>0</v>
      </c>
      <c r="Z220" s="5">
        <v>0</v>
      </c>
      <c r="AA220" s="5">
        <v>300</v>
      </c>
      <c r="AB220" s="5">
        <v>300</v>
      </c>
      <c r="AC220" s="5">
        <v>0</v>
      </c>
      <c r="AD220" s="5">
        <v>140.2741</v>
      </c>
      <c r="AE220" s="5">
        <v>0</v>
      </c>
      <c r="AF220" s="5">
        <v>140.2741</v>
      </c>
      <c r="AG220" s="5">
        <v>34</v>
      </c>
      <c r="AH220" s="5">
        <v>0.2</v>
      </c>
      <c r="AI220" s="5">
        <v>81.58</v>
      </c>
      <c r="AJ220" s="5">
        <v>111.15</v>
      </c>
      <c r="AK220" s="5">
        <v>157.43</v>
      </c>
      <c r="AL220" s="5">
        <v>156.86000000000001</v>
      </c>
      <c r="AM220" s="5">
        <v>519.66999999999996</v>
      </c>
      <c r="AN220" s="5">
        <v>217.3605</v>
      </c>
      <c r="AO220" s="5">
        <v>117.47</v>
      </c>
      <c r="AP220" s="5">
        <v>135.65</v>
      </c>
      <c r="AQ220" s="5">
        <v>132.74</v>
      </c>
      <c r="AR220" s="5">
        <v>576.91999999999996</v>
      </c>
      <c r="AS220" s="5">
        <v>40</v>
      </c>
      <c r="AT220" s="5">
        <v>70.790000000000006</v>
      </c>
      <c r="AU220" s="5">
        <v>122.75</v>
      </c>
      <c r="AV220" s="5">
        <v>114.08</v>
      </c>
      <c r="AW220" s="5">
        <v>0.48</v>
      </c>
      <c r="AX220" s="5">
        <v>7.3</v>
      </c>
      <c r="AY220" s="5">
        <v>10000000000</v>
      </c>
      <c r="AZ220" s="5">
        <v>143.72</v>
      </c>
      <c r="BA220" s="5">
        <v>26.5</v>
      </c>
      <c r="BB220" s="5">
        <v>8.42</v>
      </c>
      <c r="BC220" s="5">
        <v>1.84</v>
      </c>
      <c r="BD220" s="5">
        <v>8.7899999999999991</v>
      </c>
      <c r="BE220" s="5">
        <v>1.41</v>
      </c>
      <c r="BF220" s="5">
        <v>184.07</v>
      </c>
      <c r="BG220" s="5">
        <v>21.86</v>
      </c>
      <c r="BH220" s="5">
        <v>10000000000</v>
      </c>
      <c r="BI220" s="5">
        <v>233.8</v>
      </c>
      <c r="BJ220" s="5">
        <v>25.1</v>
      </c>
      <c r="BK220" s="5">
        <v>83.2</v>
      </c>
      <c r="BL220" s="5">
        <v>161.29</v>
      </c>
      <c r="BM220" s="5">
        <v>2.34</v>
      </c>
      <c r="BN220" s="5">
        <v>30.68</v>
      </c>
      <c r="BO220" s="5">
        <v>36.78</v>
      </c>
      <c r="BP220" s="5">
        <v>599.63</v>
      </c>
      <c r="BQ220" s="5">
        <v>69.887140000000002</v>
      </c>
      <c r="BR220" s="5">
        <v>250.4187</v>
      </c>
      <c r="BS220" s="5">
        <v>47.108580000000003</v>
      </c>
      <c r="BT220" s="5">
        <v>46.485100000000003</v>
      </c>
      <c r="BU220" s="5">
        <v>45.867060000000002</v>
      </c>
      <c r="BV220" s="5">
        <v>0.106988</v>
      </c>
      <c r="BW220" s="5">
        <v>0.102726</v>
      </c>
      <c r="BX220" s="5">
        <v>79.256100000000004</v>
      </c>
      <c r="BY220" s="5">
        <v>18.995360000000002</v>
      </c>
      <c r="BZ220" s="5">
        <v>0</v>
      </c>
      <c r="CA220" s="5">
        <v>0.92986400000000002</v>
      </c>
      <c r="CB220" s="5">
        <v>774.39359999999999</v>
      </c>
      <c r="CC220" s="5">
        <v>796.27520000000004</v>
      </c>
      <c r="CD220" s="5">
        <v>82.771510000000006</v>
      </c>
      <c r="CE220" s="5">
        <v>500.94</v>
      </c>
      <c r="CF220" s="5">
        <v>99.33</v>
      </c>
      <c r="CG220" s="5">
        <v>117.19</v>
      </c>
      <c r="CH220" s="5">
        <v>432.64</v>
      </c>
      <c r="CI220" s="5">
        <v>453.25</v>
      </c>
      <c r="CJ220" s="5">
        <v>468.07</v>
      </c>
      <c r="CK220" s="5">
        <v>500.65</v>
      </c>
      <c r="CL220" s="5">
        <v>491.43</v>
      </c>
      <c r="CM220" s="5">
        <v>488.98</v>
      </c>
      <c r="CN220" s="5">
        <v>378.24</v>
      </c>
      <c r="CO220" s="5">
        <v>29.22</v>
      </c>
      <c r="CP220" s="5">
        <v>519.9</v>
      </c>
      <c r="CQ220" s="5">
        <v>521.04999999999995</v>
      </c>
      <c r="CR220" s="5">
        <v>9.3000000000000007</v>
      </c>
      <c r="CS220" s="5">
        <v>9.3000000000000007</v>
      </c>
      <c r="CT220" s="5">
        <v>25.96</v>
      </c>
      <c r="CU220" s="5">
        <v>30.73</v>
      </c>
      <c r="CV220" s="5">
        <v>100.68</v>
      </c>
      <c r="CW220" s="5">
        <v>0.86387825332184143</v>
      </c>
      <c r="CX220" s="70">
        <v>1.2180683371837964</v>
      </c>
    </row>
    <row r="221" spans="1:102" x14ac:dyDescent="0.25">
      <c r="A221" s="5">
        <v>13</v>
      </c>
      <c r="B221" s="23">
        <v>41397.710590949071</v>
      </c>
      <c r="C221" s="5">
        <v>7</v>
      </c>
      <c r="D221" s="5">
        <v>5</v>
      </c>
      <c r="E221" s="5">
        <v>413</v>
      </c>
      <c r="F221" s="5">
        <v>413</v>
      </c>
      <c r="G221" s="5">
        <v>413</v>
      </c>
      <c r="H221" s="5">
        <v>91.7</v>
      </c>
      <c r="I221" s="5">
        <v>91.7</v>
      </c>
      <c r="J221" s="5">
        <v>1800</v>
      </c>
      <c r="K221" s="5">
        <v>45</v>
      </c>
      <c r="L221" s="5">
        <v>45</v>
      </c>
      <c r="M221" s="5">
        <v>0.23</v>
      </c>
      <c r="N221" s="5">
        <v>0.23011699999999999</v>
      </c>
      <c r="O221" s="5">
        <v>1</v>
      </c>
      <c r="P221" s="5">
        <v>1.069042</v>
      </c>
      <c r="Q221" s="5">
        <v>-4.34</v>
      </c>
      <c r="R221" s="5">
        <v>-4.3395999999999999</v>
      </c>
      <c r="S221" s="5">
        <v>150.51</v>
      </c>
      <c r="T221" s="5">
        <v>150.51560000000001</v>
      </c>
      <c r="U221" s="5">
        <v>3.5</v>
      </c>
      <c r="V221" s="5">
        <v>3.5</v>
      </c>
      <c r="W221" s="5">
        <v>300</v>
      </c>
      <c r="X221" s="5">
        <v>300</v>
      </c>
      <c r="Y221" s="5">
        <v>3.5</v>
      </c>
      <c r="Z221" s="5">
        <v>3.5</v>
      </c>
      <c r="AA221" s="5">
        <v>300</v>
      </c>
      <c r="AB221" s="5">
        <v>300</v>
      </c>
      <c r="AC221" s="5">
        <v>0</v>
      </c>
      <c r="AD221" s="5">
        <v>122.6781</v>
      </c>
      <c r="AE221" s="5">
        <v>0</v>
      </c>
      <c r="AF221" s="5">
        <v>122.6781</v>
      </c>
      <c r="AG221" s="5">
        <v>34</v>
      </c>
      <c r="AH221" s="5">
        <v>0.2</v>
      </c>
      <c r="AI221" s="5">
        <v>71.55</v>
      </c>
      <c r="AJ221" s="5">
        <v>98.26</v>
      </c>
      <c r="AK221" s="5">
        <v>120.59</v>
      </c>
      <c r="AL221" s="5">
        <v>120.78</v>
      </c>
      <c r="AM221" s="5">
        <v>470.02</v>
      </c>
      <c r="AN221" s="5">
        <v>187.95609999999999</v>
      </c>
      <c r="AO221" s="5">
        <v>86.99</v>
      </c>
      <c r="AP221" s="5">
        <v>107.65</v>
      </c>
      <c r="AQ221" s="5">
        <v>99.84</v>
      </c>
      <c r="AR221" s="5">
        <v>527.38</v>
      </c>
      <c r="AS221" s="5">
        <v>33.590000000000003</v>
      </c>
      <c r="AT221" s="5">
        <v>65.72</v>
      </c>
      <c r="AU221" s="5">
        <v>110.5</v>
      </c>
      <c r="AV221" s="5">
        <v>117.36</v>
      </c>
      <c r="AW221" s="5">
        <v>0.249</v>
      </c>
      <c r="AX221" s="5">
        <v>3.53</v>
      </c>
      <c r="AY221" s="5">
        <v>10000000000</v>
      </c>
      <c r="AZ221" s="5">
        <v>153.37</v>
      </c>
      <c r="BA221" s="5">
        <v>46.67</v>
      </c>
      <c r="BB221" s="5">
        <v>7.55</v>
      </c>
      <c r="BC221" s="5">
        <v>1.44</v>
      </c>
      <c r="BD221" s="5">
        <v>10.130000000000001</v>
      </c>
      <c r="BE221" s="5">
        <v>2.02</v>
      </c>
      <c r="BF221" s="5">
        <v>224.65</v>
      </c>
      <c r="BG221" s="5">
        <v>19.11</v>
      </c>
      <c r="BH221" s="5">
        <v>10000000000</v>
      </c>
      <c r="BI221" s="5">
        <v>237</v>
      </c>
      <c r="BJ221" s="5">
        <v>28.6</v>
      </c>
      <c r="BK221" s="5">
        <v>85.3</v>
      </c>
      <c r="BL221" s="5">
        <v>124.59</v>
      </c>
      <c r="BM221" s="5">
        <v>2.02</v>
      </c>
      <c r="BN221" s="5">
        <v>30.29</v>
      </c>
      <c r="BO221" s="5">
        <v>35.869999999999997</v>
      </c>
      <c r="BP221" s="5">
        <v>545.88</v>
      </c>
      <c r="BQ221" s="5">
        <v>65.979740000000007</v>
      </c>
      <c r="BR221" s="5">
        <v>217.3398</v>
      </c>
      <c r="BS221" s="5">
        <v>55.072769999999998</v>
      </c>
      <c r="BT221" s="5">
        <v>55.145359999999997</v>
      </c>
      <c r="BU221" s="5">
        <v>54.368259999999999</v>
      </c>
      <c r="BV221" s="5">
        <v>9.3817999999999999E-2</v>
      </c>
      <c r="BW221" s="5">
        <v>8.9818999999999996E-2</v>
      </c>
      <c r="BX221" s="5">
        <v>55.178069999999998</v>
      </c>
      <c r="BY221" s="5">
        <v>18.995360000000002</v>
      </c>
      <c r="BZ221" s="5">
        <v>0</v>
      </c>
      <c r="CA221" s="5">
        <v>0.93076300000000001</v>
      </c>
      <c r="CB221" s="5">
        <v>677.8981</v>
      </c>
      <c r="CC221" s="5">
        <v>694.31370000000004</v>
      </c>
      <c r="CD221" s="5">
        <v>62.174790000000002</v>
      </c>
      <c r="CE221" s="5">
        <v>459.21</v>
      </c>
      <c r="CF221" s="5">
        <v>89.84</v>
      </c>
      <c r="CG221" s="5">
        <v>103.66</v>
      </c>
      <c r="CH221" s="5">
        <v>398.3</v>
      </c>
      <c r="CI221" s="5">
        <v>410.28</v>
      </c>
      <c r="CJ221" s="5">
        <v>425.51</v>
      </c>
      <c r="CK221" s="5">
        <v>466.29</v>
      </c>
      <c r="CL221" s="5">
        <v>443.35</v>
      </c>
      <c r="CM221" s="5">
        <v>450.93</v>
      </c>
      <c r="CN221" s="5">
        <v>354.78</v>
      </c>
      <c r="CO221" s="5">
        <v>26.88</v>
      </c>
      <c r="CP221" s="5">
        <v>411.1</v>
      </c>
      <c r="CQ221" s="5">
        <v>413.05</v>
      </c>
      <c r="CR221" s="5">
        <v>7.4</v>
      </c>
      <c r="CS221" s="5">
        <v>7.4</v>
      </c>
      <c r="CT221" s="5">
        <v>24.56</v>
      </c>
      <c r="CU221" s="5">
        <v>40.049999999999997</v>
      </c>
      <c r="CV221" s="5">
        <v>100.75</v>
      </c>
      <c r="CW221" s="5">
        <v>0.87910276155984479</v>
      </c>
      <c r="CX221" s="70">
        <v>1.7757875783508865</v>
      </c>
    </row>
    <row r="222" spans="1:102" x14ac:dyDescent="0.25">
      <c r="A222" s="5">
        <v>13</v>
      </c>
      <c r="B222" s="23">
        <v>41401.478098622683</v>
      </c>
      <c r="C222" s="5">
        <v>7</v>
      </c>
      <c r="D222" s="5">
        <v>16</v>
      </c>
      <c r="E222" s="5">
        <v>450</v>
      </c>
      <c r="F222" s="5">
        <v>450</v>
      </c>
      <c r="G222" s="5">
        <v>450.1</v>
      </c>
      <c r="H222" s="5">
        <v>91.7</v>
      </c>
      <c r="I222" s="5">
        <v>91.7</v>
      </c>
      <c r="J222" s="5">
        <v>1800</v>
      </c>
      <c r="K222" s="5">
        <v>20</v>
      </c>
      <c r="L222" s="5">
        <v>20</v>
      </c>
      <c r="M222" s="5">
        <v>0.18</v>
      </c>
      <c r="N222" s="5">
        <v>0.18001300000000001</v>
      </c>
      <c r="O222" s="5">
        <v>1</v>
      </c>
      <c r="P222" s="5">
        <v>1.0689010000000001</v>
      </c>
      <c r="Q222" s="5">
        <v>-4.6100000000000003</v>
      </c>
      <c r="R222" s="5">
        <v>-4.6142580000000004</v>
      </c>
      <c r="S222" s="5">
        <v>158.76</v>
      </c>
      <c r="T222" s="5">
        <v>158.76560000000001</v>
      </c>
      <c r="U222" s="5">
        <v>3.5</v>
      </c>
      <c r="V222" s="5">
        <v>3.5</v>
      </c>
      <c r="W222" s="5">
        <v>300</v>
      </c>
      <c r="X222" s="5">
        <v>300</v>
      </c>
      <c r="Y222" s="5">
        <v>3.5</v>
      </c>
      <c r="Z222" s="5">
        <v>3.5</v>
      </c>
      <c r="AA222" s="5">
        <v>300</v>
      </c>
      <c r="AB222" s="5">
        <v>300</v>
      </c>
      <c r="AC222" s="5">
        <v>0</v>
      </c>
      <c r="AD222" s="5">
        <v>108.1031</v>
      </c>
      <c r="AE222" s="5">
        <v>0</v>
      </c>
      <c r="AF222" s="5">
        <v>108.1031</v>
      </c>
      <c r="AG222" s="5">
        <v>34</v>
      </c>
      <c r="AH222" s="5">
        <v>0.2</v>
      </c>
      <c r="AI222" s="5">
        <v>62.7</v>
      </c>
      <c r="AJ222" s="5">
        <v>89.56</v>
      </c>
      <c r="AK222" s="5">
        <v>79.98</v>
      </c>
      <c r="AL222" s="5">
        <v>81.63</v>
      </c>
      <c r="AM222" s="5">
        <v>543.98</v>
      </c>
      <c r="AN222" s="5">
        <v>161.16480000000001</v>
      </c>
      <c r="AO222" s="5">
        <v>60.18</v>
      </c>
      <c r="AP222" s="5">
        <v>92</v>
      </c>
      <c r="AQ222" s="5">
        <v>73.81</v>
      </c>
      <c r="AR222" s="5">
        <v>504.48</v>
      </c>
      <c r="AS222" s="5">
        <v>19.82</v>
      </c>
      <c r="AT222" s="5">
        <v>57.17</v>
      </c>
      <c r="AU222" s="5">
        <v>99.35</v>
      </c>
      <c r="AV222" s="5">
        <v>116.55</v>
      </c>
      <c r="AW222" s="5">
        <v>0.245</v>
      </c>
      <c r="AX222" s="5">
        <v>3.47</v>
      </c>
      <c r="AY222" s="5">
        <v>10000000000</v>
      </c>
      <c r="AZ222" s="5">
        <v>139.5</v>
      </c>
      <c r="BA222" s="5">
        <v>38</v>
      </c>
      <c r="BB222" s="5">
        <v>8.39</v>
      </c>
      <c r="BC222" s="5">
        <v>0.94</v>
      </c>
      <c r="BD222" s="5">
        <v>8.93</v>
      </c>
      <c r="BE222" s="5">
        <v>2.65</v>
      </c>
      <c r="BF222" s="5">
        <v>341.55</v>
      </c>
      <c r="BG222" s="5">
        <v>11.24</v>
      </c>
      <c r="BH222" s="5">
        <v>10000000000</v>
      </c>
      <c r="BI222" s="5">
        <v>234.4</v>
      </c>
      <c r="BJ222" s="5">
        <v>25.4</v>
      </c>
      <c r="BK222" s="5">
        <v>85.8</v>
      </c>
      <c r="BL222" s="5">
        <v>63.88</v>
      </c>
      <c r="BM222" s="5">
        <v>1.75</v>
      </c>
      <c r="BN222" s="5">
        <v>29.84</v>
      </c>
      <c r="BO222" s="5">
        <v>36.71</v>
      </c>
      <c r="BP222" s="5">
        <v>524.46</v>
      </c>
      <c r="BQ222" s="5">
        <v>58.331510000000002</v>
      </c>
      <c r="BR222" s="5">
        <v>180.4195</v>
      </c>
      <c r="BS222" s="5">
        <v>51.881779999999999</v>
      </c>
      <c r="BT222" s="5">
        <v>43.241079999999997</v>
      </c>
      <c r="BU222" s="5">
        <v>43.102789999999999</v>
      </c>
      <c r="BV222" s="5">
        <v>0.103504</v>
      </c>
      <c r="BW222" s="5">
        <v>0.10755099999999999</v>
      </c>
      <c r="BX222" s="5">
        <v>60.943899999999999</v>
      </c>
      <c r="BY222" s="5">
        <v>18.995360000000002</v>
      </c>
      <c r="BZ222" s="5">
        <v>0</v>
      </c>
      <c r="CA222" s="5">
        <v>0.93076700000000001</v>
      </c>
      <c r="CB222" s="5">
        <v>594.65210000000002</v>
      </c>
      <c r="CC222" s="5">
        <v>612.59730000000002</v>
      </c>
      <c r="CD222" s="5">
        <v>67.946399999999997</v>
      </c>
      <c r="CE222" s="5">
        <v>481.32</v>
      </c>
      <c r="CF222" s="5">
        <v>79.63</v>
      </c>
      <c r="CG222" s="5">
        <v>92.56</v>
      </c>
      <c r="CH222" s="5">
        <v>444.2</v>
      </c>
      <c r="CI222" s="5">
        <v>461.31</v>
      </c>
      <c r="CJ222" s="5">
        <v>471.37</v>
      </c>
      <c r="CK222" s="5">
        <v>516.20000000000005</v>
      </c>
      <c r="CL222" s="5">
        <v>497.87</v>
      </c>
      <c r="CM222" s="5">
        <v>500.89</v>
      </c>
      <c r="CN222" s="5">
        <v>441.61</v>
      </c>
      <c r="CO222" s="5">
        <v>27.64</v>
      </c>
      <c r="CP222" s="5">
        <v>448.6</v>
      </c>
      <c r="CQ222" s="5">
        <v>450.05</v>
      </c>
      <c r="CR222" s="5">
        <v>8</v>
      </c>
      <c r="CS222" s="5">
        <v>8.1</v>
      </c>
      <c r="CT222" s="5">
        <v>24.55</v>
      </c>
      <c r="CU222" s="5">
        <v>37.83</v>
      </c>
      <c r="CV222" s="5">
        <v>100.83</v>
      </c>
      <c r="CW222" s="5">
        <v>0.8677351837067182</v>
      </c>
      <c r="CX222" s="70">
        <v>2.299498236822803</v>
      </c>
    </row>
    <row r="223" spans="1:102" x14ac:dyDescent="0.25">
      <c r="A223" s="5">
        <v>43</v>
      </c>
      <c r="B223" s="23">
        <v>41401.695151504631</v>
      </c>
      <c r="C223" s="5">
        <v>7</v>
      </c>
      <c r="D223" s="5">
        <v>44</v>
      </c>
      <c r="E223" s="5">
        <v>549</v>
      </c>
      <c r="F223" s="5">
        <v>537</v>
      </c>
      <c r="G223" s="5">
        <v>537</v>
      </c>
      <c r="H223" s="5">
        <v>91.7</v>
      </c>
      <c r="I223" s="5">
        <v>91.7</v>
      </c>
      <c r="J223" s="5">
        <v>1800</v>
      </c>
      <c r="K223" s="5">
        <v>55</v>
      </c>
      <c r="L223" s="5">
        <v>55</v>
      </c>
      <c r="M223" s="5">
        <v>0.22</v>
      </c>
      <c r="N223" s="5">
        <v>0.21999199999999999</v>
      </c>
      <c r="O223" s="5">
        <v>1</v>
      </c>
      <c r="P223" s="5">
        <v>1.068899</v>
      </c>
      <c r="Q223" s="5">
        <v>-4.32</v>
      </c>
      <c r="R223" s="5">
        <v>-4.3176269999999999</v>
      </c>
      <c r="S223" s="5">
        <v>176.51</v>
      </c>
      <c r="T223" s="5">
        <v>176.51560000000001</v>
      </c>
      <c r="U223" s="5">
        <v>3.5</v>
      </c>
      <c r="V223" s="5">
        <v>3.5</v>
      </c>
      <c r="W223" s="5">
        <v>300</v>
      </c>
      <c r="X223" s="5">
        <v>300</v>
      </c>
      <c r="Y223" s="5">
        <v>0</v>
      </c>
      <c r="Z223" s="5">
        <v>0</v>
      </c>
      <c r="AA223" s="5">
        <v>300</v>
      </c>
      <c r="AB223" s="5">
        <v>300</v>
      </c>
      <c r="AC223" s="5">
        <v>0</v>
      </c>
      <c r="AD223" s="5">
        <v>155.47470000000001</v>
      </c>
      <c r="AE223" s="5">
        <v>0</v>
      </c>
      <c r="AF223" s="5">
        <v>142.5335</v>
      </c>
      <c r="AG223" s="5">
        <v>34</v>
      </c>
      <c r="AH223" s="5">
        <v>0.2</v>
      </c>
      <c r="AI223" s="5">
        <v>88.86</v>
      </c>
      <c r="AJ223" s="5">
        <v>117.81</v>
      </c>
      <c r="AK223" s="5">
        <v>205.61</v>
      </c>
      <c r="AL223" s="5">
        <v>204.49</v>
      </c>
      <c r="AM223" s="5">
        <v>504.08</v>
      </c>
      <c r="AN223" s="5">
        <v>240.7157</v>
      </c>
      <c r="AO223" s="5">
        <v>140.04</v>
      </c>
      <c r="AP223" s="5">
        <v>150.47999999999999</v>
      </c>
      <c r="AQ223" s="5">
        <v>156.43</v>
      </c>
      <c r="AR223" s="5">
        <v>627.28</v>
      </c>
      <c r="AS223" s="5">
        <v>65.56</v>
      </c>
      <c r="AT223" s="5">
        <v>73.89</v>
      </c>
      <c r="AU223" s="5">
        <v>127.66</v>
      </c>
      <c r="AV223" s="5">
        <v>118.28</v>
      </c>
      <c r="AW223" s="5">
        <v>0.374</v>
      </c>
      <c r="AX223" s="5">
        <v>5.51</v>
      </c>
      <c r="AY223" s="5">
        <v>10000000000</v>
      </c>
      <c r="AZ223" s="5">
        <v>113.38</v>
      </c>
      <c r="BA223" s="5">
        <v>23.08</v>
      </c>
      <c r="BB223" s="5">
        <v>8.1999999999999993</v>
      </c>
      <c r="BC223" s="5">
        <v>1.92</v>
      </c>
      <c r="BD223" s="5">
        <v>9.17</v>
      </c>
      <c r="BE223" s="5">
        <v>1.48</v>
      </c>
      <c r="BF223" s="5">
        <v>182.39</v>
      </c>
      <c r="BG223" s="5">
        <v>23.43</v>
      </c>
      <c r="BH223" s="5">
        <v>10000000000</v>
      </c>
      <c r="BI223" s="5">
        <v>236.6</v>
      </c>
      <c r="BJ223" s="5">
        <v>26.2</v>
      </c>
      <c r="BK223" s="5">
        <v>84.5</v>
      </c>
      <c r="BL223" s="5">
        <v>192.06</v>
      </c>
      <c r="BM223" s="5">
        <v>2.56</v>
      </c>
      <c r="BN223" s="5">
        <v>30.73</v>
      </c>
      <c r="BO223" s="5">
        <v>36.47</v>
      </c>
      <c r="BP223" s="5">
        <v>651.64</v>
      </c>
      <c r="BQ223" s="5">
        <v>72.620570000000001</v>
      </c>
      <c r="BR223" s="5">
        <v>298.16340000000002</v>
      </c>
      <c r="BS223" s="5">
        <v>46.18759</v>
      </c>
      <c r="BT223" s="5">
        <v>49.497790000000002</v>
      </c>
      <c r="BU223" s="5">
        <v>48.558720000000001</v>
      </c>
      <c r="BV223" s="5">
        <v>0.10513699999999999</v>
      </c>
      <c r="BW223" s="5">
        <v>9.6849000000000005E-2</v>
      </c>
      <c r="BX223" s="5">
        <v>82.483639999999994</v>
      </c>
      <c r="BY223" s="5">
        <v>18.995360000000002</v>
      </c>
      <c r="BZ223" s="5">
        <v>0</v>
      </c>
      <c r="CA223" s="5">
        <v>0.92881599999999997</v>
      </c>
      <c r="CB223" s="5">
        <v>849.84209999999996</v>
      </c>
      <c r="CC223" s="5">
        <v>872.57960000000003</v>
      </c>
      <c r="CD223" s="5">
        <v>85.981039999999993</v>
      </c>
      <c r="CE223" s="5">
        <v>503.47</v>
      </c>
      <c r="CF223" s="5">
        <v>103.45</v>
      </c>
      <c r="CG223" s="5">
        <v>121.69</v>
      </c>
      <c r="CH223" s="5">
        <v>436.55</v>
      </c>
      <c r="CI223" s="5">
        <v>452.97</v>
      </c>
      <c r="CJ223" s="5">
        <v>468.24</v>
      </c>
      <c r="CK223" s="5">
        <v>485.77</v>
      </c>
      <c r="CL223" s="5">
        <v>492.3</v>
      </c>
      <c r="CM223" s="5">
        <v>489.09</v>
      </c>
      <c r="CN223" s="5">
        <v>351.59</v>
      </c>
      <c r="CO223" s="5">
        <v>29.46</v>
      </c>
      <c r="CP223" s="5">
        <v>535.9</v>
      </c>
      <c r="CQ223" s="5">
        <v>537.04</v>
      </c>
      <c r="CR223" s="5">
        <v>9.6</v>
      </c>
      <c r="CS223" s="5">
        <v>9.6</v>
      </c>
      <c r="CT223" s="5">
        <v>26.12</v>
      </c>
      <c r="CU223" s="5">
        <v>28.65</v>
      </c>
      <c r="CV223" s="5">
        <v>100.57</v>
      </c>
      <c r="CW223" s="5">
        <v>0.86376282203818966</v>
      </c>
      <c r="CX223" s="70">
        <v>1.2783689766165207</v>
      </c>
    </row>
    <row r="224" spans="1:102" x14ac:dyDescent="0.25">
      <c r="A224" s="5">
        <v>44</v>
      </c>
      <c r="B224" s="23">
        <v>41402.670369618056</v>
      </c>
      <c r="C224" s="5">
        <v>8</v>
      </c>
      <c r="D224" s="5">
        <v>40</v>
      </c>
      <c r="E224" s="5">
        <v>739</v>
      </c>
      <c r="F224" s="5">
        <v>739</v>
      </c>
      <c r="G224" s="5">
        <v>739.1</v>
      </c>
      <c r="H224" s="5">
        <v>91.7</v>
      </c>
      <c r="I224" s="5">
        <v>91.7</v>
      </c>
      <c r="J224" s="5">
        <v>1800</v>
      </c>
      <c r="K224" s="5">
        <v>32</v>
      </c>
      <c r="L224" s="5">
        <v>32</v>
      </c>
      <c r="M224" s="5">
        <v>0.13</v>
      </c>
      <c r="N224" s="5">
        <v>0.13000700000000001</v>
      </c>
      <c r="O224" s="5">
        <v>1</v>
      </c>
      <c r="P224" s="5">
        <v>1.069369</v>
      </c>
      <c r="Q224" s="5">
        <v>0.81</v>
      </c>
      <c r="R224" s="5">
        <v>0.81298800000000004</v>
      </c>
      <c r="S224" s="5">
        <v>183.99</v>
      </c>
      <c r="T224" s="5">
        <v>183.98439999999999</v>
      </c>
      <c r="U224" s="5">
        <v>3.5</v>
      </c>
      <c r="V224" s="5">
        <v>3.5</v>
      </c>
      <c r="W224" s="5">
        <v>300</v>
      </c>
      <c r="X224" s="5">
        <v>300</v>
      </c>
      <c r="Y224" s="5">
        <v>0</v>
      </c>
      <c r="Z224" s="5">
        <v>0</v>
      </c>
      <c r="AA224" s="5">
        <v>300</v>
      </c>
      <c r="AB224" s="5">
        <v>300</v>
      </c>
      <c r="AC224" s="5">
        <v>0</v>
      </c>
      <c r="AD224" s="5">
        <v>158.11259999999999</v>
      </c>
      <c r="AE224" s="5">
        <v>0</v>
      </c>
      <c r="AF224" s="5">
        <v>142.52090000000001</v>
      </c>
      <c r="AG224" s="5">
        <v>35</v>
      </c>
      <c r="AH224" s="5">
        <v>0.2</v>
      </c>
      <c r="AI224" s="5">
        <v>90.82</v>
      </c>
      <c r="AJ224" s="5">
        <v>122.5</v>
      </c>
      <c r="AK224" s="5">
        <v>174.57</v>
      </c>
      <c r="AL224" s="5">
        <v>177.05</v>
      </c>
      <c r="AM224" s="5">
        <v>563.14</v>
      </c>
      <c r="AN224" s="5">
        <v>236.53030000000001</v>
      </c>
      <c r="AO224" s="5">
        <v>137.03</v>
      </c>
      <c r="AP224" s="5">
        <v>149.29</v>
      </c>
      <c r="AQ224" s="5">
        <v>156.66</v>
      </c>
      <c r="AR224" s="5">
        <v>733.89</v>
      </c>
      <c r="AS224" s="5">
        <v>37.549999999999997</v>
      </c>
      <c r="AT224" s="5">
        <v>61.1</v>
      </c>
      <c r="AU224" s="5">
        <v>102.23</v>
      </c>
      <c r="AV224" s="5">
        <v>110.21</v>
      </c>
      <c r="AW224" s="5">
        <v>0.11600000000000001</v>
      </c>
      <c r="AX224" s="5">
        <v>1.58</v>
      </c>
      <c r="AY224" s="5">
        <v>10000000000</v>
      </c>
      <c r="AZ224" s="5">
        <v>50.22</v>
      </c>
      <c r="BA224" s="5">
        <v>17.34</v>
      </c>
      <c r="BB224" s="5">
        <v>8.7200000000000006</v>
      </c>
      <c r="BC224" s="5">
        <v>0.9</v>
      </c>
      <c r="BD224" s="5">
        <v>8.52</v>
      </c>
      <c r="BE224" s="5">
        <v>4.34</v>
      </c>
      <c r="BF224" s="5">
        <v>635.19000000000005</v>
      </c>
      <c r="BG224" s="5">
        <v>10.3</v>
      </c>
      <c r="BH224" s="5">
        <v>10000000000</v>
      </c>
      <c r="BI224" s="5">
        <v>214.4</v>
      </c>
      <c r="BJ224" s="5">
        <v>24.6</v>
      </c>
      <c r="BK224" s="5">
        <v>85.2</v>
      </c>
      <c r="BL224" s="5">
        <v>84.24</v>
      </c>
      <c r="BM224" s="5">
        <v>2.5299999999999998</v>
      </c>
      <c r="BN224" s="5">
        <v>29.79</v>
      </c>
      <c r="BO224" s="5">
        <v>36.950000000000003</v>
      </c>
      <c r="BP224" s="5">
        <v>763.81</v>
      </c>
      <c r="BQ224" s="5">
        <v>61.800780000000003</v>
      </c>
      <c r="BR224" s="5">
        <v>275.46899999999999</v>
      </c>
      <c r="BS224" s="5">
        <v>42.695819999999998</v>
      </c>
      <c r="BT224" s="5">
        <v>39.893090000000001</v>
      </c>
      <c r="BU224" s="5">
        <v>39.420780000000001</v>
      </c>
      <c r="BV224" s="5">
        <v>9.6367999999999995E-2</v>
      </c>
      <c r="BW224" s="5">
        <v>9.5745999999999998E-2</v>
      </c>
      <c r="BX224" s="5">
        <v>104.20440000000001</v>
      </c>
      <c r="BY224" s="5">
        <v>18.995360000000002</v>
      </c>
      <c r="BZ224" s="5">
        <v>0</v>
      </c>
      <c r="CA224" s="5">
        <v>0.92115599999999997</v>
      </c>
      <c r="CB224" s="5">
        <v>854.92899999999997</v>
      </c>
      <c r="CC224" s="5">
        <v>883.42650000000003</v>
      </c>
      <c r="CD224" s="5">
        <v>107.70440000000001</v>
      </c>
      <c r="CE224" s="5">
        <v>500.78</v>
      </c>
      <c r="CF224" s="5">
        <v>84.95</v>
      </c>
      <c r="CG224" s="5">
        <v>98.2</v>
      </c>
      <c r="CH224" s="5">
        <v>466.81</v>
      </c>
      <c r="CI224" s="5">
        <v>488.61</v>
      </c>
      <c r="CJ224" s="5">
        <v>505.04</v>
      </c>
      <c r="CK224" s="5">
        <v>527.94000000000005</v>
      </c>
      <c r="CL224" s="5">
        <v>525.89</v>
      </c>
      <c r="CM224" s="5">
        <v>523.58000000000004</v>
      </c>
      <c r="CN224" s="5">
        <v>416.2</v>
      </c>
      <c r="CO224" s="5">
        <v>29.42</v>
      </c>
      <c r="CP224" s="5">
        <v>737.4</v>
      </c>
      <c r="CQ224" s="5">
        <v>739.05</v>
      </c>
      <c r="CR224" s="5">
        <v>13.2</v>
      </c>
      <c r="CS224" s="5">
        <v>13.2</v>
      </c>
      <c r="CT224" s="5">
        <v>24.71</v>
      </c>
      <c r="CU224" s="5">
        <v>44.18</v>
      </c>
      <c r="CV224" s="5">
        <v>99.41</v>
      </c>
      <c r="CW224" s="5">
        <v>0.89918864832659895</v>
      </c>
      <c r="CX224" s="5">
        <v>3.9024787337374391</v>
      </c>
    </row>
    <row r="225" spans="1:102" x14ac:dyDescent="0.25">
      <c r="A225" s="5">
        <v>22</v>
      </c>
      <c r="B225" s="23">
        <v>41402.514857662034</v>
      </c>
      <c r="C225" s="5">
        <v>8</v>
      </c>
      <c r="D225" s="5">
        <v>21</v>
      </c>
      <c r="E225" s="5">
        <v>671</v>
      </c>
      <c r="F225" s="5">
        <v>671</v>
      </c>
      <c r="G225" s="5">
        <v>671.1</v>
      </c>
      <c r="H225" s="5">
        <v>91.7</v>
      </c>
      <c r="I225" s="5">
        <v>91.7</v>
      </c>
      <c r="J225" s="5">
        <v>1800</v>
      </c>
      <c r="K225" s="5">
        <v>51</v>
      </c>
      <c r="L225" s="5">
        <v>51</v>
      </c>
      <c r="M225" s="5">
        <v>0.16</v>
      </c>
      <c r="N225" s="5">
        <v>0.159994</v>
      </c>
      <c r="O225" s="5">
        <v>1</v>
      </c>
      <c r="P225" s="5">
        <v>1.0695190000000001</v>
      </c>
      <c r="Q225" s="5">
        <v>-1.43</v>
      </c>
      <c r="R225" s="5">
        <v>-1.428223</v>
      </c>
      <c r="S225" s="5">
        <v>182.92</v>
      </c>
      <c r="T225" s="5">
        <v>182.92189999999999</v>
      </c>
      <c r="U225" s="5">
        <v>3.5</v>
      </c>
      <c r="V225" s="5">
        <v>3.5</v>
      </c>
      <c r="W225" s="5">
        <v>300</v>
      </c>
      <c r="X225" s="5">
        <v>300</v>
      </c>
      <c r="Y225" s="5">
        <v>0</v>
      </c>
      <c r="Z225" s="5">
        <v>0</v>
      </c>
      <c r="AA225" s="5">
        <v>300</v>
      </c>
      <c r="AB225" s="5">
        <v>300</v>
      </c>
      <c r="AC225" s="5">
        <v>0</v>
      </c>
      <c r="AD225" s="5">
        <v>177.26009999999999</v>
      </c>
      <c r="AE225" s="5">
        <v>0</v>
      </c>
      <c r="AF225" s="5">
        <v>142.51929999999999</v>
      </c>
      <c r="AG225" s="5">
        <v>35</v>
      </c>
      <c r="AH225" s="5">
        <v>0.2</v>
      </c>
      <c r="AI225" s="5">
        <v>99.65</v>
      </c>
      <c r="AJ225" s="5">
        <v>128.74</v>
      </c>
      <c r="AK225" s="5">
        <v>245.45</v>
      </c>
      <c r="AL225" s="5">
        <v>245.47</v>
      </c>
      <c r="AM225" s="5">
        <v>522.77</v>
      </c>
      <c r="AN225" s="5">
        <v>267.11219999999997</v>
      </c>
      <c r="AO225" s="5">
        <v>167.55</v>
      </c>
      <c r="AP225" s="5">
        <v>164.71</v>
      </c>
      <c r="AQ225" s="5">
        <v>186.89</v>
      </c>
      <c r="AR225" s="5">
        <v>733.4</v>
      </c>
      <c r="AS225" s="5">
        <v>77.900000000000006</v>
      </c>
      <c r="AT225" s="5">
        <v>68.319999999999993</v>
      </c>
      <c r="AU225" s="5">
        <v>118.72</v>
      </c>
      <c r="AV225" s="5">
        <v>111.88</v>
      </c>
      <c r="AW225" s="5">
        <v>0.154</v>
      </c>
      <c r="AX225" s="5">
        <v>2.12</v>
      </c>
      <c r="AY225" s="5">
        <v>10000000000</v>
      </c>
      <c r="AZ225" s="5">
        <v>56.24</v>
      </c>
      <c r="BA225" s="5">
        <v>16.66</v>
      </c>
      <c r="BB225" s="5">
        <v>8.26</v>
      </c>
      <c r="BC225" s="5">
        <v>1.49</v>
      </c>
      <c r="BD225" s="5">
        <v>9.1300000000000008</v>
      </c>
      <c r="BE225" s="5">
        <v>2.34</v>
      </c>
      <c r="BF225" s="5">
        <v>309.17</v>
      </c>
      <c r="BG225" s="5">
        <v>18.079999999999998</v>
      </c>
      <c r="BH225" s="5">
        <v>10000000000</v>
      </c>
      <c r="BI225" s="5">
        <v>225.5</v>
      </c>
      <c r="BJ225" s="5">
        <v>25.7</v>
      </c>
      <c r="BK225" s="5">
        <v>82.8</v>
      </c>
      <c r="BL225" s="5">
        <v>161.94999999999999</v>
      </c>
      <c r="BM225" s="5">
        <v>2.85</v>
      </c>
      <c r="BN225" s="5">
        <v>30.35</v>
      </c>
      <c r="BO225" s="5">
        <v>36.6</v>
      </c>
      <c r="BP225" s="5">
        <v>762.24</v>
      </c>
      <c r="BQ225" s="5">
        <v>68.128439999999998</v>
      </c>
      <c r="BR225" s="5">
        <v>340.86939999999998</v>
      </c>
      <c r="BS225" s="5">
        <v>43.244970000000002</v>
      </c>
      <c r="BT225" s="5">
        <v>46.798769999999998</v>
      </c>
      <c r="BU225" s="5">
        <v>45.909399999999998</v>
      </c>
      <c r="BV225" s="5">
        <v>9.7506999999999996E-2</v>
      </c>
      <c r="BW225" s="5">
        <v>9.0977000000000002E-2</v>
      </c>
      <c r="BX225" s="5">
        <v>99.089070000000007</v>
      </c>
      <c r="BY225" s="5">
        <v>18.995360000000002</v>
      </c>
      <c r="BZ225" s="5">
        <v>0</v>
      </c>
      <c r="CA225" s="5">
        <v>0.92321699999999995</v>
      </c>
      <c r="CB225" s="5">
        <v>949.70540000000005</v>
      </c>
      <c r="CC225" s="5">
        <v>976.85630000000003</v>
      </c>
      <c r="CD225" s="5">
        <v>102.58880000000001</v>
      </c>
      <c r="CE225" s="5">
        <v>515.55999999999995</v>
      </c>
      <c r="CF225" s="5">
        <v>97.47</v>
      </c>
      <c r="CG225" s="5">
        <v>114.13</v>
      </c>
      <c r="CH225" s="5">
        <v>454.4</v>
      </c>
      <c r="CI225" s="5">
        <v>470.76</v>
      </c>
      <c r="CJ225" s="5">
        <v>486.23</v>
      </c>
      <c r="CK225" s="5">
        <v>503.67</v>
      </c>
      <c r="CL225" s="5">
        <v>506.46</v>
      </c>
      <c r="CM225" s="5">
        <v>505.3</v>
      </c>
      <c r="CN225" s="5">
        <v>358.55</v>
      </c>
      <c r="CO225" s="5">
        <v>28.41</v>
      </c>
      <c r="CP225" s="5">
        <v>669.1</v>
      </c>
      <c r="CQ225" s="5">
        <v>671.06</v>
      </c>
      <c r="CR225" s="5">
        <v>12</v>
      </c>
      <c r="CS225" s="5">
        <v>12</v>
      </c>
      <c r="CT225" s="5">
        <v>23.91</v>
      </c>
      <c r="CU225" s="5">
        <v>57.63</v>
      </c>
      <c r="CV225" s="5">
        <v>99.47</v>
      </c>
      <c r="CW225" s="5">
        <v>0.9206817728872787</v>
      </c>
      <c r="CX225" s="5">
        <v>2.1543953485562319</v>
      </c>
    </row>
    <row r="226" spans="1:102" x14ac:dyDescent="0.25">
      <c r="A226" s="5">
        <v>15</v>
      </c>
      <c r="B226" s="23">
        <v>41402.476858807873</v>
      </c>
      <c r="C226" s="5">
        <v>8</v>
      </c>
      <c r="D226" s="5">
        <v>14</v>
      </c>
      <c r="E226" s="5">
        <v>645</v>
      </c>
      <c r="F226" s="5">
        <v>645</v>
      </c>
      <c r="G226" s="5">
        <v>645.1</v>
      </c>
      <c r="H226" s="5">
        <v>91.7</v>
      </c>
      <c r="I226" s="5">
        <v>91.7</v>
      </c>
      <c r="J226" s="5">
        <v>1800</v>
      </c>
      <c r="K226" s="5">
        <v>52</v>
      </c>
      <c r="L226" s="5">
        <v>52</v>
      </c>
      <c r="M226" s="5">
        <v>0.28000000000000003</v>
      </c>
      <c r="N226" s="5">
        <v>0.27995599999999998</v>
      </c>
      <c r="O226" s="5">
        <v>1</v>
      </c>
      <c r="P226" s="5">
        <v>1.0695840000000001</v>
      </c>
      <c r="Q226" s="5">
        <v>-2.2400000000000002</v>
      </c>
      <c r="R226" s="5">
        <v>-2.2412109999999998</v>
      </c>
      <c r="S226" s="5">
        <v>183.1</v>
      </c>
      <c r="T226" s="5">
        <v>183.09379999999999</v>
      </c>
      <c r="U226" s="5">
        <v>3.5</v>
      </c>
      <c r="V226" s="5">
        <v>3.5</v>
      </c>
      <c r="W226" s="5">
        <v>300</v>
      </c>
      <c r="X226" s="5">
        <v>300</v>
      </c>
      <c r="Y226" s="5">
        <v>0</v>
      </c>
      <c r="Z226" s="5">
        <v>0</v>
      </c>
      <c r="AA226" s="5">
        <v>300</v>
      </c>
      <c r="AB226" s="5">
        <v>300</v>
      </c>
      <c r="AC226" s="5">
        <v>0</v>
      </c>
      <c r="AD226" s="5">
        <v>166.17959999999999</v>
      </c>
      <c r="AE226" s="5">
        <v>0</v>
      </c>
      <c r="AF226" s="5">
        <v>142.55109999999999</v>
      </c>
      <c r="AG226" s="5">
        <v>35</v>
      </c>
      <c r="AH226" s="5">
        <v>0.2</v>
      </c>
      <c r="AI226" s="5">
        <v>94.8</v>
      </c>
      <c r="AJ226" s="5">
        <v>122.11</v>
      </c>
      <c r="AK226" s="5">
        <v>212.39</v>
      </c>
      <c r="AL226" s="5">
        <v>211.09</v>
      </c>
      <c r="AM226" s="5">
        <v>537.16</v>
      </c>
      <c r="AN226" s="5">
        <v>256.29969999999997</v>
      </c>
      <c r="AO226" s="5">
        <v>157.38</v>
      </c>
      <c r="AP226" s="5">
        <v>154.19</v>
      </c>
      <c r="AQ226" s="5">
        <v>174.32</v>
      </c>
      <c r="AR226" s="5">
        <v>638.82000000000005</v>
      </c>
      <c r="AS226" s="5">
        <v>55.02</v>
      </c>
      <c r="AT226" s="5">
        <v>76.849999999999994</v>
      </c>
      <c r="AU226" s="5">
        <v>133.61000000000001</v>
      </c>
      <c r="AV226" s="5">
        <v>110.32</v>
      </c>
      <c r="AW226" s="5">
        <v>0.66600000000000004</v>
      </c>
      <c r="AX226" s="5">
        <v>10.72</v>
      </c>
      <c r="AY226" s="5">
        <v>10000000000</v>
      </c>
      <c r="AZ226" s="5">
        <v>140.66</v>
      </c>
      <c r="BA226" s="5">
        <v>19.239999999999998</v>
      </c>
      <c r="BB226" s="5">
        <v>9.1199999999999992</v>
      </c>
      <c r="BC226" s="5">
        <v>2.2200000000000002</v>
      </c>
      <c r="BD226" s="5">
        <v>7.94</v>
      </c>
      <c r="BE226" s="5">
        <v>1.1599999999999999</v>
      </c>
      <c r="BF226" s="5">
        <v>171.88</v>
      </c>
      <c r="BG226" s="5">
        <v>24.3</v>
      </c>
      <c r="BH226" s="5">
        <v>10000000000</v>
      </c>
      <c r="BI226" s="5">
        <v>227.3</v>
      </c>
      <c r="BJ226" s="5">
        <v>23.1</v>
      </c>
      <c r="BK226" s="5">
        <v>81.400000000000006</v>
      </c>
      <c r="BL226" s="5">
        <v>205.2</v>
      </c>
      <c r="BM226" s="5">
        <v>2.74</v>
      </c>
      <c r="BN226" s="5">
        <v>31.03</v>
      </c>
      <c r="BO226" s="5">
        <v>37.43</v>
      </c>
      <c r="BP226" s="5">
        <v>666.84</v>
      </c>
      <c r="BQ226" s="5">
        <v>75.128129999999999</v>
      </c>
      <c r="BR226" s="5">
        <v>302.36540000000002</v>
      </c>
      <c r="BS226" s="5">
        <v>43.644370000000002</v>
      </c>
      <c r="BT226" s="5">
        <v>45.46508</v>
      </c>
      <c r="BU226" s="5">
        <v>44.648539999999997</v>
      </c>
      <c r="BV226" s="5">
        <v>9.8445000000000005E-2</v>
      </c>
      <c r="BW226" s="5">
        <v>9.3550999999999995E-2</v>
      </c>
      <c r="BX226" s="5">
        <v>95.708079999999995</v>
      </c>
      <c r="BY226" s="5">
        <v>18.995360000000002</v>
      </c>
      <c r="BZ226" s="5">
        <v>0</v>
      </c>
      <c r="CA226" s="5">
        <v>0.92452400000000001</v>
      </c>
      <c r="CB226" s="5">
        <v>894.09810000000004</v>
      </c>
      <c r="CC226" s="5">
        <v>920.34479999999996</v>
      </c>
      <c r="CD226" s="5">
        <v>99.208079999999995</v>
      </c>
      <c r="CE226" s="5">
        <v>530.32000000000005</v>
      </c>
      <c r="CF226" s="5">
        <v>109.1</v>
      </c>
      <c r="CG226" s="5">
        <v>129.11000000000001</v>
      </c>
      <c r="CH226" s="5">
        <v>457.11</v>
      </c>
      <c r="CI226" s="5">
        <v>474.11</v>
      </c>
      <c r="CJ226" s="5">
        <v>489.61</v>
      </c>
      <c r="CK226" s="5">
        <v>516.17999999999995</v>
      </c>
      <c r="CL226" s="5">
        <v>519.23</v>
      </c>
      <c r="CM226" s="5">
        <v>516.96</v>
      </c>
      <c r="CN226" s="5">
        <v>377.54</v>
      </c>
      <c r="CO226" s="5">
        <v>29.01</v>
      </c>
      <c r="CP226" s="5">
        <v>642.70000000000005</v>
      </c>
      <c r="CQ226" s="5">
        <v>645.05999999999995</v>
      </c>
      <c r="CR226" s="5">
        <v>11.5</v>
      </c>
      <c r="CS226" s="5">
        <v>11.6</v>
      </c>
      <c r="CT226" s="5">
        <v>23.76</v>
      </c>
      <c r="CU226" s="5">
        <v>68.55</v>
      </c>
      <c r="CV226" s="5">
        <v>99.48</v>
      </c>
      <c r="CW226" s="5">
        <v>0.93454279933346751</v>
      </c>
      <c r="CX226" s="5">
        <v>1.0840696472268223</v>
      </c>
    </row>
    <row r="227" spans="1:102" x14ac:dyDescent="0.25">
      <c r="A227" s="5">
        <v>33</v>
      </c>
      <c r="B227" s="23">
        <v>41402.581359247684</v>
      </c>
      <c r="C227" s="5">
        <v>8</v>
      </c>
      <c r="D227" s="5">
        <v>31</v>
      </c>
      <c r="E227" s="5">
        <v>705</v>
      </c>
      <c r="F227" s="5">
        <v>705</v>
      </c>
      <c r="G227" s="5">
        <v>705</v>
      </c>
      <c r="H227" s="5">
        <v>91.7</v>
      </c>
      <c r="I227" s="5">
        <v>91.7</v>
      </c>
      <c r="J227" s="5">
        <v>1800</v>
      </c>
      <c r="K227" s="5">
        <v>46</v>
      </c>
      <c r="L227" s="5">
        <v>46</v>
      </c>
      <c r="M227" s="5">
        <v>0.18</v>
      </c>
      <c r="N227" s="5">
        <v>0.18004899999999999</v>
      </c>
      <c r="O227" s="5">
        <v>1</v>
      </c>
      <c r="P227" s="5">
        <v>1.069556</v>
      </c>
      <c r="Q227" s="5">
        <v>-0.37</v>
      </c>
      <c r="R227" s="5">
        <v>-0.37353500000000001</v>
      </c>
      <c r="S227" s="5">
        <v>182.88</v>
      </c>
      <c r="T227" s="5">
        <v>182.875</v>
      </c>
      <c r="U227" s="5">
        <v>3.5</v>
      </c>
      <c r="V227" s="5">
        <v>3.5</v>
      </c>
      <c r="W227" s="5">
        <v>300</v>
      </c>
      <c r="X227" s="5">
        <v>300</v>
      </c>
      <c r="Y227" s="5">
        <v>0</v>
      </c>
      <c r="Z227" s="5">
        <v>0</v>
      </c>
      <c r="AA227" s="5">
        <v>300</v>
      </c>
      <c r="AB227" s="5">
        <v>300</v>
      </c>
      <c r="AC227" s="5">
        <v>0</v>
      </c>
      <c r="AD227" s="5">
        <v>171.85079999999999</v>
      </c>
      <c r="AE227" s="5">
        <v>0</v>
      </c>
      <c r="AF227" s="5">
        <v>142.53540000000001</v>
      </c>
      <c r="AG227" s="5">
        <v>35</v>
      </c>
      <c r="AH227" s="5">
        <v>0.2</v>
      </c>
      <c r="AI227" s="5">
        <v>96.84</v>
      </c>
      <c r="AJ227" s="5">
        <v>126.18</v>
      </c>
      <c r="AK227" s="5">
        <v>216.82</v>
      </c>
      <c r="AL227" s="5">
        <v>217.2</v>
      </c>
      <c r="AM227" s="5">
        <v>538.49</v>
      </c>
      <c r="AN227" s="5">
        <v>258.4513</v>
      </c>
      <c r="AO227" s="5">
        <v>158.63999999999999</v>
      </c>
      <c r="AP227" s="5">
        <v>158.94</v>
      </c>
      <c r="AQ227" s="5">
        <v>177.68</v>
      </c>
      <c r="AR227" s="5">
        <v>720.83</v>
      </c>
      <c r="AS227" s="5">
        <v>58.17</v>
      </c>
      <c r="AT227" s="5">
        <v>67.5</v>
      </c>
      <c r="AU227" s="5">
        <v>116.13</v>
      </c>
      <c r="AV227" s="5">
        <v>111.09</v>
      </c>
      <c r="AW227" s="5">
        <v>0.19400000000000001</v>
      </c>
      <c r="AX227" s="5">
        <v>2.71</v>
      </c>
      <c r="AY227" s="5">
        <v>10000000000</v>
      </c>
      <c r="AZ227" s="5">
        <v>62.16</v>
      </c>
      <c r="BA227" s="5">
        <v>16.850000000000001</v>
      </c>
      <c r="BB227" s="5">
        <v>8.66</v>
      </c>
      <c r="BC227" s="5">
        <v>1.49</v>
      </c>
      <c r="BD227" s="5">
        <v>8.65</v>
      </c>
      <c r="BE227" s="5">
        <v>2.48</v>
      </c>
      <c r="BF227" s="5">
        <v>353.7</v>
      </c>
      <c r="BG227" s="5">
        <v>17.260000000000002</v>
      </c>
      <c r="BH227" s="5">
        <v>10000000000</v>
      </c>
      <c r="BI227" s="5">
        <v>220.2</v>
      </c>
      <c r="BJ227" s="5">
        <v>24.6</v>
      </c>
      <c r="BK227" s="5">
        <v>83.1</v>
      </c>
      <c r="BL227" s="5">
        <v>150.33000000000001</v>
      </c>
      <c r="BM227" s="5">
        <v>2.77</v>
      </c>
      <c r="BN227" s="5">
        <v>30.35</v>
      </c>
      <c r="BO227" s="5">
        <v>36.94</v>
      </c>
      <c r="BP227" s="5">
        <v>749.73</v>
      </c>
      <c r="BQ227" s="5">
        <v>67.45635</v>
      </c>
      <c r="BR227" s="5">
        <v>312.55189999999999</v>
      </c>
      <c r="BS227" s="5">
        <v>42.930729999999997</v>
      </c>
      <c r="BT227" s="5">
        <v>43.97945</v>
      </c>
      <c r="BU227" s="5">
        <v>43.24456</v>
      </c>
      <c r="BV227" s="5">
        <v>9.6849000000000005E-2</v>
      </c>
      <c r="BW227" s="5">
        <v>9.2666999999999999E-2</v>
      </c>
      <c r="BX227" s="5">
        <v>102.0448</v>
      </c>
      <c r="BY227" s="5">
        <v>18.995360000000002</v>
      </c>
      <c r="BZ227" s="5">
        <v>0</v>
      </c>
      <c r="CA227" s="5">
        <v>0.92203599999999997</v>
      </c>
      <c r="CB227" s="5">
        <v>919.49</v>
      </c>
      <c r="CC227" s="5">
        <v>947.41189999999995</v>
      </c>
      <c r="CD227" s="5">
        <v>105.5197</v>
      </c>
      <c r="CE227" s="5">
        <v>521.85</v>
      </c>
      <c r="CF227" s="5">
        <v>95.78</v>
      </c>
      <c r="CG227" s="5">
        <v>111.48</v>
      </c>
      <c r="CH227" s="5">
        <v>457.82</v>
      </c>
      <c r="CI227" s="5">
        <v>476.22</v>
      </c>
      <c r="CJ227" s="5">
        <v>493.16</v>
      </c>
      <c r="CK227" s="5">
        <v>515.1</v>
      </c>
      <c r="CL227" s="5">
        <v>514.29</v>
      </c>
      <c r="CM227" s="5">
        <v>513.87</v>
      </c>
      <c r="CN227" s="5">
        <v>381.65</v>
      </c>
      <c r="CO227" s="5">
        <v>28.89</v>
      </c>
      <c r="CP227" s="5">
        <v>702.9</v>
      </c>
      <c r="CQ227" s="5">
        <v>705.04</v>
      </c>
      <c r="CR227" s="5">
        <v>12.6</v>
      </c>
      <c r="CS227" s="5">
        <v>12.6</v>
      </c>
      <c r="CT227" s="5">
        <v>23.78</v>
      </c>
      <c r="CU227" s="5">
        <v>51.36</v>
      </c>
      <c r="CV227" s="5">
        <v>99.47</v>
      </c>
      <c r="CW227" s="5">
        <v>0.90638068114387038</v>
      </c>
      <c r="CX227" s="5">
        <v>2.2478240892367984</v>
      </c>
    </row>
    <row r="228" spans="1:102" x14ac:dyDescent="0.25">
      <c r="A228" s="5">
        <v>7</v>
      </c>
      <c r="B228" s="23">
        <v>41402.431154375001</v>
      </c>
      <c r="C228" s="5">
        <v>8</v>
      </c>
      <c r="D228" s="5">
        <v>7</v>
      </c>
      <c r="E228" s="5">
        <v>623</v>
      </c>
      <c r="F228" s="5">
        <v>623</v>
      </c>
      <c r="G228" s="5">
        <v>623</v>
      </c>
      <c r="H228" s="5">
        <v>91.7</v>
      </c>
      <c r="I228" s="5">
        <v>91.7</v>
      </c>
      <c r="J228" s="5">
        <v>1800</v>
      </c>
      <c r="K228" s="5">
        <v>50</v>
      </c>
      <c r="L228" s="5">
        <v>50</v>
      </c>
      <c r="M228" s="5">
        <v>0.25</v>
      </c>
      <c r="N228" s="5">
        <v>0.249998</v>
      </c>
      <c r="O228" s="5">
        <v>1</v>
      </c>
      <c r="P228" s="5">
        <v>1.0694349999999999</v>
      </c>
      <c r="Q228" s="5">
        <v>-2.93</v>
      </c>
      <c r="R228" s="5">
        <v>-2.9333499999999999</v>
      </c>
      <c r="S228" s="5">
        <v>183.24</v>
      </c>
      <c r="T228" s="5">
        <v>183.23439999999999</v>
      </c>
      <c r="U228" s="5">
        <v>3.5</v>
      </c>
      <c r="V228" s="5">
        <v>3.5</v>
      </c>
      <c r="W228" s="5">
        <v>300</v>
      </c>
      <c r="X228" s="5">
        <v>300</v>
      </c>
      <c r="Y228" s="5">
        <v>0</v>
      </c>
      <c r="Z228" s="5">
        <v>0</v>
      </c>
      <c r="AA228" s="5">
        <v>300</v>
      </c>
      <c r="AB228" s="5">
        <v>300</v>
      </c>
      <c r="AC228" s="5">
        <v>0</v>
      </c>
      <c r="AD228" s="5">
        <v>163.88159999999999</v>
      </c>
      <c r="AE228" s="5">
        <v>0</v>
      </c>
      <c r="AF228" s="5">
        <v>142.57220000000001</v>
      </c>
      <c r="AG228" s="5">
        <v>35</v>
      </c>
      <c r="AH228" s="5">
        <v>0.2</v>
      </c>
      <c r="AI228" s="5">
        <v>92.79</v>
      </c>
      <c r="AJ228" s="5">
        <v>121.59</v>
      </c>
      <c r="AK228" s="5">
        <v>205.49</v>
      </c>
      <c r="AL228" s="5">
        <v>204.66</v>
      </c>
      <c r="AM228" s="5">
        <v>529.30999999999995</v>
      </c>
      <c r="AN228" s="5">
        <v>251.40889999999999</v>
      </c>
      <c r="AO228" s="5">
        <v>152.21</v>
      </c>
      <c r="AP228" s="5">
        <v>150.80000000000001</v>
      </c>
      <c r="AQ228" s="5">
        <v>169.47</v>
      </c>
      <c r="AR228" s="5">
        <v>652.54999999999995</v>
      </c>
      <c r="AS228" s="5">
        <v>53.31</v>
      </c>
      <c r="AT228" s="5">
        <v>73.430000000000007</v>
      </c>
      <c r="AU228" s="5">
        <v>127.21</v>
      </c>
      <c r="AV228" s="5">
        <v>118.34</v>
      </c>
      <c r="AW228" s="5">
        <v>0.373</v>
      </c>
      <c r="AX228" s="5">
        <v>5.49</v>
      </c>
      <c r="AY228" s="5">
        <v>10000000000</v>
      </c>
      <c r="AZ228" s="5">
        <v>106.57</v>
      </c>
      <c r="BA228" s="5">
        <v>20.09</v>
      </c>
      <c r="BB228" s="5">
        <v>8.66</v>
      </c>
      <c r="BC228" s="5">
        <v>1.91</v>
      </c>
      <c r="BD228" s="5">
        <v>8.51</v>
      </c>
      <c r="BE228" s="5">
        <v>1.43</v>
      </c>
      <c r="BF228" s="5">
        <v>199.58</v>
      </c>
      <c r="BG228" s="5">
        <v>22.06</v>
      </c>
      <c r="BH228" s="5">
        <v>10000000000</v>
      </c>
      <c r="BI228" s="5">
        <v>228.1</v>
      </c>
      <c r="BJ228" s="5">
        <v>24.4</v>
      </c>
      <c r="BK228" s="5">
        <v>82.3</v>
      </c>
      <c r="BL228" s="5">
        <v>184.63</v>
      </c>
      <c r="BM228" s="5">
        <v>2.69</v>
      </c>
      <c r="BN228" s="5">
        <v>30.75</v>
      </c>
      <c r="BO228" s="5">
        <v>37.020000000000003</v>
      </c>
      <c r="BP228" s="5">
        <v>679.11</v>
      </c>
      <c r="BQ228" s="5">
        <v>72.327500000000001</v>
      </c>
      <c r="BR228" s="5">
        <v>297.1859</v>
      </c>
      <c r="BS228" s="5">
        <v>44.148960000000002</v>
      </c>
      <c r="BT228" s="5">
        <v>46.49286</v>
      </c>
      <c r="BU228" s="5">
        <v>45.656559999999999</v>
      </c>
      <c r="BV228" s="5">
        <v>0.10001400000000001</v>
      </c>
      <c r="BW228" s="5">
        <v>9.4716999999999996E-2</v>
      </c>
      <c r="BX228" s="5">
        <v>92.36636</v>
      </c>
      <c r="BY228" s="5">
        <v>18.995360000000002</v>
      </c>
      <c r="BZ228" s="5">
        <v>0</v>
      </c>
      <c r="CA228" s="5">
        <v>0.92561800000000005</v>
      </c>
      <c r="CB228" s="5">
        <v>885.13170000000002</v>
      </c>
      <c r="CC228" s="5">
        <v>910.48710000000005</v>
      </c>
      <c r="CD228" s="5">
        <v>95.866140000000001</v>
      </c>
      <c r="CE228" s="5">
        <v>518.27</v>
      </c>
      <c r="CF228" s="5">
        <v>104.08</v>
      </c>
      <c r="CG228" s="5">
        <v>122.07</v>
      </c>
      <c r="CH228" s="5">
        <v>447.27</v>
      </c>
      <c r="CI228" s="5">
        <v>465.76</v>
      </c>
      <c r="CJ228" s="5">
        <v>482.35</v>
      </c>
      <c r="CK228" s="5">
        <v>513.46</v>
      </c>
      <c r="CL228" s="5">
        <v>507.21</v>
      </c>
      <c r="CM228" s="5">
        <v>505.04</v>
      </c>
      <c r="CN228" s="5">
        <v>373.5</v>
      </c>
      <c r="CO228" s="5">
        <v>28.11</v>
      </c>
      <c r="CP228" s="5">
        <v>620.9</v>
      </c>
      <c r="CQ228" s="5">
        <v>623.04999999999995</v>
      </c>
      <c r="CR228" s="5">
        <v>11.1</v>
      </c>
      <c r="CS228" s="5">
        <v>11.2</v>
      </c>
      <c r="CT228" s="5">
        <v>23.46</v>
      </c>
      <c r="CU228" s="5">
        <v>75.790000000000006</v>
      </c>
      <c r="CV228" s="5">
        <v>99.47</v>
      </c>
      <c r="CW228" s="5">
        <v>0.94786226039821453</v>
      </c>
      <c r="CX228" s="5">
        <v>1.3554430323694466</v>
      </c>
    </row>
    <row r="229" spans="1:102" x14ac:dyDescent="0.25">
      <c r="A229" s="5">
        <v>2</v>
      </c>
      <c r="B229" s="23">
        <v>41402.404044062503</v>
      </c>
      <c r="C229" s="5">
        <v>8</v>
      </c>
      <c r="D229" s="5">
        <v>2</v>
      </c>
      <c r="E229" s="5">
        <v>604</v>
      </c>
      <c r="F229" s="5">
        <v>604</v>
      </c>
      <c r="G229" s="5">
        <v>604</v>
      </c>
      <c r="H229" s="5">
        <v>91.7</v>
      </c>
      <c r="I229" s="5">
        <v>91.7</v>
      </c>
      <c r="J229" s="5">
        <v>1800</v>
      </c>
      <c r="K229" s="5">
        <v>26</v>
      </c>
      <c r="L229" s="5">
        <v>26</v>
      </c>
      <c r="M229" s="5">
        <v>0.19</v>
      </c>
      <c r="N229" s="5">
        <v>0.19004399999999999</v>
      </c>
      <c r="O229" s="5">
        <v>1</v>
      </c>
      <c r="P229" s="5">
        <v>1.0698000000000001</v>
      </c>
      <c r="Q229" s="5">
        <v>-3.52</v>
      </c>
      <c r="R229" s="5">
        <v>-3.515625</v>
      </c>
      <c r="S229" s="5">
        <v>183.36</v>
      </c>
      <c r="T229" s="5">
        <v>183.35939999999999</v>
      </c>
      <c r="U229" s="5">
        <v>3.5</v>
      </c>
      <c r="V229" s="5">
        <v>3.5</v>
      </c>
      <c r="W229" s="5">
        <v>300</v>
      </c>
      <c r="X229" s="5">
        <v>300</v>
      </c>
      <c r="Y229" s="5">
        <v>0</v>
      </c>
      <c r="Z229" s="5">
        <v>0</v>
      </c>
      <c r="AA229" s="5">
        <v>300</v>
      </c>
      <c r="AB229" s="5">
        <v>300</v>
      </c>
      <c r="AC229" s="5">
        <v>0</v>
      </c>
      <c r="AD229" s="5">
        <v>134.76900000000001</v>
      </c>
      <c r="AE229" s="5">
        <v>0</v>
      </c>
      <c r="AF229" s="5">
        <v>134.76900000000001</v>
      </c>
      <c r="AG229" s="5">
        <v>35</v>
      </c>
      <c r="AH229" s="5">
        <v>0.2</v>
      </c>
      <c r="AI229" s="5">
        <v>77.739999999999995</v>
      </c>
      <c r="AJ229" s="5">
        <v>109.07</v>
      </c>
      <c r="AK229" s="5">
        <v>128.26</v>
      </c>
      <c r="AL229" s="5">
        <v>130.18</v>
      </c>
      <c r="AM229" s="5">
        <v>569.6</v>
      </c>
      <c r="AN229" s="5">
        <v>204.3801</v>
      </c>
      <c r="AO229" s="5">
        <v>104.3</v>
      </c>
      <c r="AP229" s="5">
        <v>123.96</v>
      </c>
      <c r="AQ229" s="5">
        <v>121.22</v>
      </c>
      <c r="AR229" s="5">
        <v>616.19000000000005</v>
      </c>
      <c r="AS229" s="5">
        <v>23.98</v>
      </c>
      <c r="AT229" s="5">
        <v>61.34</v>
      </c>
      <c r="AU229" s="5">
        <v>102.04</v>
      </c>
      <c r="AV229" s="5">
        <v>121.86</v>
      </c>
      <c r="AW229" s="5">
        <v>0.218</v>
      </c>
      <c r="AX229" s="5">
        <v>3.07</v>
      </c>
      <c r="AY229" s="5">
        <v>10000000000</v>
      </c>
      <c r="AZ229" s="5">
        <v>111.66</v>
      </c>
      <c r="BA229" s="5">
        <v>23.43</v>
      </c>
      <c r="BB229" s="5">
        <v>8.74</v>
      </c>
      <c r="BC229" s="5">
        <v>1</v>
      </c>
      <c r="BD229" s="5">
        <v>8.44</v>
      </c>
      <c r="BE229" s="5">
        <v>2.89</v>
      </c>
      <c r="BF229" s="5">
        <v>413.53</v>
      </c>
      <c r="BG229" s="5">
        <v>11.47</v>
      </c>
      <c r="BH229" s="5">
        <v>10000000000</v>
      </c>
      <c r="BI229" s="5">
        <v>225.2</v>
      </c>
      <c r="BJ229" s="5">
        <v>24</v>
      </c>
      <c r="BK229" s="5">
        <v>83.8</v>
      </c>
      <c r="BL229" s="5">
        <v>79.84</v>
      </c>
      <c r="BM229" s="5">
        <v>2.19</v>
      </c>
      <c r="BN229" s="5">
        <v>29.91</v>
      </c>
      <c r="BO229" s="5">
        <v>37.130000000000003</v>
      </c>
      <c r="BP229" s="5">
        <v>641.6</v>
      </c>
      <c r="BQ229" s="5">
        <v>62.123750000000001</v>
      </c>
      <c r="BR229" s="5">
        <v>227.4359</v>
      </c>
      <c r="BS229" s="5">
        <v>44.714019999999998</v>
      </c>
      <c r="BT229" s="5">
        <v>40.15766</v>
      </c>
      <c r="BU229" s="5">
        <v>39.76831</v>
      </c>
      <c r="BV229" s="5">
        <v>0.101767</v>
      </c>
      <c r="BW229" s="5">
        <v>0.101284</v>
      </c>
      <c r="BX229" s="5">
        <v>88.616249999999994</v>
      </c>
      <c r="BY229" s="5">
        <v>18.995360000000002</v>
      </c>
      <c r="BZ229" s="5">
        <v>0</v>
      </c>
      <c r="CA229" s="5">
        <v>0.92684299999999997</v>
      </c>
      <c r="CB229" s="5">
        <v>742.38</v>
      </c>
      <c r="CC229" s="5">
        <v>766.74</v>
      </c>
      <c r="CD229" s="5">
        <v>92.116299999999995</v>
      </c>
      <c r="CE229" s="5">
        <v>507.74</v>
      </c>
      <c r="CF229" s="5">
        <v>84.87</v>
      </c>
      <c r="CG229" s="5">
        <v>97.2</v>
      </c>
      <c r="CH229" s="5">
        <v>461.25</v>
      </c>
      <c r="CI229" s="5">
        <v>485.79</v>
      </c>
      <c r="CJ229" s="5">
        <v>500.88</v>
      </c>
      <c r="CK229" s="5">
        <v>524.92999999999995</v>
      </c>
      <c r="CL229" s="5">
        <v>524.67999999999995</v>
      </c>
      <c r="CM229" s="5">
        <v>523.84</v>
      </c>
      <c r="CN229" s="5">
        <v>443.34</v>
      </c>
      <c r="CO229" s="5">
        <v>29.06</v>
      </c>
      <c r="CP229" s="5">
        <v>602.4</v>
      </c>
      <c r="CQ229" s="5">
        <v>604.04999999999995</v>
      </c>
      <c r="CR229" s="5">
        <v>10.8</v>
      </c>
      <c r="CS229" s="5">
        <v>10.8</v>
      </c>
      <c r="CT229" s="5">
        <v>24.52</v>
      </c>
      <c r="CU229" s="5">
        <v>57.48</v>
      </c>
      <c r="CV229" s="5">
        <v>99.52</v>
      </c>
      <c r="CW229" s="5">
        <v>0.91033467741505891</v>
      </c>
      <c r="CX229" s="5">
        <v>2.6308672177295205</v>
      </c>
    </row>
    <row r="230" spans="1:102" x14ac:dyDescent="0.25">
      <c r="A230" s="5">
        <v>21</v>
      </c>
      <c r="B230" s="23">
        <v>41402.509438680558</v>
      </c>
      <c r="C230" s="5">
        <v>8</v>
      </c>
      <c r="D230" s="5">
        <v>20</v>
      </c>
      <c r="E230" s="5">
        <v>667</v>
      </c>
      <c r="F230" s="5">
        <v>667</v>
      </c>
      <c r="G230" s="5">
        <v>667</v>
      </c>
      <c r="H230" s="5">
        <v>91.7</v>
      </c>
      <c r="I230" s="5">
        <v>91.7</v>
      </c>
      <c r="J230" s="5">
        <v>1800</v>
      </c>
      <c r="K230" s="5">
        <v>38</v>
      </c>
      <c r="L230" s="5">
        <v>38</v>
      </c>
      <c r="M230" s="5">
        <v>0.27</v>
      </c>
      <c r="N230" s="5">
        <v>0.27004400000000001</v>
      </c>
      <c r="O230" s="5">
        <v>1</v>
      </c>
      <c r="P230" s="5">
        <v>1.0693950000000001</v>
      </c>
      <c r="Q230" s="5">
        <v>-1.56</v>
      </c>
      <c r="R230" s="5">
        <v>-1.5600590000000001</v>
      </c>
      <c r="S230" s="5">
        <v>182.95</v>
      </c>
      <c r="T230" s="5">
        <v>182.95310000000001</v>
      </c>
      <c r="U230" s="5">
        <v>3.5</v>
      </c>
      <c r="V230" s="5">
        <v>3.5</v>
      </c>
      <c r="W230" s="5">
        <v>300</v>
      </c>
      <c r="X230" s="5">
        <v>300</v>
      </c>
      <c r="Y230" s="5">
        <v>0</v>
      </c>
      <c r="Z230" s="5">
        <v>0</v>
      </c>
      <c r="AA230" s="5">
        <v>300</v>
      </c>
      <c r="AB230" s="5">
        <v>300</v>
      </c>
      <c r="AC230" s="5">
        <v>0</v>
      </c>
      <c r="AD230" s="5">
        <v>151.905</v>
      </c>
      <c r="AE230" s="5">
        <v>0</v>
      </c>
      <c r="AF230" s="5">
        <v>142.5547</v>
      </c>
      <c r="AG230" s="5">
        <v>35</v>
      </c>
      <c r="AH230" s="5">
        <v>0.2</v>
      </c>
      <c r="AI230" s="5">
        <v>87.61</v>
      </c>
      <c r="AJ230" s="5">
        <v>116.62</v>
      </c>
      <c r="AK230" s="5">
        <v>163.30000000000001</v>
      </c>
      <c r="AL230" s="5">
        <v>164</v>
      </c>
      <c r="AM230" s="5">
        <v>559.72</v>
      </c>
      <c r="AN230" s="5">
        <v>231.87459999999999</v>
      </c>
      <c r="AO230" s="5">
        <v>131.82</v>
      </c>
      <c r="AP230" s="5">
        <v>140.21</v>
      </c>
      <c r="AQ230" s="5">
        <v>149.22</v>
      </c>
      <c r="AR230" s="5">
        <v>649.01</v>
      </c>
      <c r="AS230" s="5">
        <v>31.48</v>
      </c>
      <c r="AT230" s="5">
        <v>66.95</v>
      </c>
      <c r="AU230" s="5">
        <v>114.45</v>
      </c>
      <c r="AV230" s="5">
        <v>112.83</v>
      </c>
      <c r="AW230" s="5">
        <v>0.34100000000000003</v>
      </c>
      <c r="AX230" s="5">
        <v>4.97</v>
      </c>
      <c r="AY230" s="5">
        <v>10000000000</v>
      </c>
      <c r="AZ230" s="5">
        <v>112.02</v>
      </c>
      <c r="BA230" s="5">
        <v>18.48</v>
      </c>
      <c r="BB230" s="5">
        <v>9.06</v>
      </c>
      <c r="BC230" s="5">
        <v>1.58</v>
      </c>
      <c r="BD230" s="5">
        <v>7.98</v>
      </c>
      <c r="BE230" s="5">
        <v>1.99</v>
      </c>
      <c r="BF230" s="5">
        <v>300.08999999999997</v>
      </c>
      <c r="BG230" s="5">
        <v>17.43</v>
      </c>
      <c r="BH230" s="5">
        <v>10000000000</v>
      </c>
      <c r="BI230" s="5">
        <v>221</v>
      </c>
      <c r="BJ230" s="5">
        <v>23.3</v>
      </c>
      <c r="BK230" s="5">
        <v>83.3</v>
      </c>
      <c r="BL230" s="5">
        <v>136.91</v>
      </c>
      <c r="BM230" s="5">
        <v>2.4900000000000002</v>
      </c>
      <c r="BN230" s="5">
        <v>30.43</v>
      </c>
      <c r="BO230" s="5">
        <v>37.35</v>
      </c>
      <c r="BP230" s="5">
        <v>676.5</v>
      </c>
      <c r="BQ230" s="5">
        <v>66.964160000000007</v>
      </c>
      <c r="BR230" s="5">
        <v>258.82299999999998</v>
      </c>
      <c r="BS230" s="5">
        <v>43.571089999999998</v>
      </c>
      <c r="BT230" s="5">
        <v>41.704410000000003</v>
      </c>
      <c r="BU230" s="5">
        <v>41.158729999999998</v>
      </c>
      <c r="BV230" s="5">
        <v>9.8209000000000005E-2</v>
      </c>
      <c r="BW230" s="5">
        <v>9.5232999999999998E-2</v>
      </c>
      <c r="BX230" s="5">
        <v>96.215580000000003</v>
      </c>
      <c r="BY230" s="5">
        <v>18.995360000000002</v>
      </c>
      <c r="BZ230" s="5">
        <v>0</v>
      </c>
      <c r="CA230" s="5">
        <v>0.92435999999999996</v>
      </c>
      <c r="CB230" s="5">
        <v>828.13099999999997</v>
      </c>
      <c r="CC230" s="5">
        <v>854.51499999999999</v>
      </c>
      <c r="CD230" s="5">
        <v>99.715580000000003</v>
      </c>
      <c r="CE230" s="5">
        <v>525.34</v>
      </c>
      <c r="CF230" s="5">
        <v>94.41</v>
      </c>
      <c r="CG230" s="5">
        <v>110.13</v>
      </c>
      <c r="CH230" s="5">
        <v>462.89</v>
      </c>
      <c r="CI230" s="5">
        <v>481.68</v>
      </c>
      <c r="CJ230" s="5">
        <v>496.96</v>
      </c>
      <c r="CK230" s="5">
        <v>526.26</v>
      </c>
      <c r="CL230" s="5">
        <v>521.65</v>
      </c>
      <c r="CM230" s="5">
        <v>519.28</v>
      </c>
      <c r="CN230" s="5">
        <v>415.72</v>
      </c>
      <c r="CO230" s="5">
        <v>28.06</v>
      </c>
      <c r="CP230" s="5">
        <v>665.1</v>
      </c>
      <c r="CQ230" s="5">
        <v>667.04</v>
      </c>
      <c r="CR230" s="5">
        <v>11.9</v>
      </c>
      <c r="CS230" s="5">
        <v>12</v>
      </c>
      <c r="CT230" s="5">
        <v>23.84</v>
      </c>
      <c r="CU230" s="5">
        <v>58.25</v>
      </c>
      <c r="CV230" s="5">
        <v>99.48</v>
      </c>
      <c r="CW230" s="5">
        <v>0.91471799952298061</v>
      </c>
      <c r="CX230" s="5">
        <v>1.8202888190507314</v>
      </c>
    </row>
    <row r="231" spans="1:102" x14ac:dyDescent="0.25">
      <c r="A231" s="5">
        <v>29</v>
      </c>
      <c r="B231" s="23">
        <v>41402.559660624996</v>
      </c>
      <c r="C231" s="5">
        <v>8</v>
      </c>
      <c r="D231" s="5">
        <v>27</v>
      </c>
      <c r="E231" s="5">
        <v>691</v>
      </c>
      <c r="F231" s="5">
        <v>691</v>
      </c>
      <c r="G231" s="5">
        <v>691</v>
      </c>
      <c r="H231" s="5">
        <v>91.7</v>
      </c>
      <c r="I231" s="5">
        <v>91.7</v>
      </c>
      <c r="J231" s="5">
        <v>1800</v>
      </c>
      <c r="K231" s="5">
        <v>13</v>
      </c>
      <c r="L231" s="5">
        <v>13</v>
      </c>
      <c r="M231" s="5">
        <v>0.13</v>
      </c>
      <c r="N231" s="5">
        <v>0.13000700000000001</v>
      </c>
      <c r="O231" s="5">
        <v>1</v>
      </c>
      <c r="P231" s="5">
        <v>1.0695049999999999</v>
      </c>
      <c r="Q231" s="5">
        <v>-0.82</v>
      </c>
      <c r="R231" s="5">
        <v>-0.82397500000000001</v>
      </c>
      <c r="S231" s="5">
        <v>182.78</v>
      </c>
      <c r="T231" s="5">
        <v>182.78129999999999</v>
      </c>
      <c r="U231" s="5">
        <v>3.5</v>
      </c>
      <c r="V231" s="5">
        <v>3.5</v>
      </c>
      <c r="W231" s="5">
        <v>300</v>
      </c>
      <c r="X231" s="5">
        <v>300</v>
      </c>
      <c r="Y231" s="5">
        <v>0</v>
      </c>
      <c r="Z231" s="5">
        <v>0</v>
      </c>
      <c r="AA231" s="5">
        <v>300</v>
      </c>
      <c r="AB231" s="5">
        <v>300</v>
      </c>
      <c r="AC231" s="5">
        <v>0</v>
      </c>
      <c r="AD231" s="5">
        <v>129.48349999999999</v>
      </c>
      <c r="AE231" s="5">
        <v>0</v>
      </c>
      <c r="AF231" s="5">
        <v>129.48259999999999</v>
      </c>
      <c r="AG231" s="5">
        <v>35</v>
      </c>
      <c r="AH231" s="5">
        <v>0.2</v>
      </c>
      <c r="AI231" s="5">
        <v>75.8</v>
      </c>
      <c r="AJ231" s="5">
        <v>106.63</v>
      </c>
      <c r="AK231" s="5">
        <v>115.14</v>
      </c>
      <c r="AL231" s="5">
        <v>118.43</v>
      </c>
      <c r="AM231" s="5">
        <v>629.30999999999995</v>
      </c>
      <c r="AN231" s="5">
        <v>195.55520000000001</v>
      </c>
      <c r="AO231" s="5">
        <v>94.68</v>
      </c>
      <c r="AP231" s="5">
        <v>116.95</v>
      </c>
      <c r="AQ231" s="5">
        <v>111.73</v>
      </c>
      <c r="AR231" s="5">
        <v>625.45000000000005</v>
      </c>
      <c r="AS231" s="5">
        <v>20.47</v>
      </c>
      <c r="AT231" s="5">
        <v>59.45</v>
      </c>
      <c r="AU231" s="5">
        <v>98.92</v>
      </c>
      <c r="AV231" s="5">
        <v>111.87</v>
      </c>
      <c r="AW231" s="5">
        <v>0.27600000000000002</v>
      </c>
      <c r="AX231" s="5">
        <v>3.94</v>
      </c>
      <c r="AY231" s="5">
        <v>10000000000</v>
      </c>
      <c r="AZ231" s="5">
        <v>190.4</v>
      </c>
      <c r="BA231" s="5">
        <v>18.16</v>
      </c>
      <c r="BB231" s="5">
        <v>9.89</v>
      </c>
      <c r="BC231" s="5">
        <v>0.73</v>
      </c>
      <c r="BD231" s="5">
        <v>6.9</v>
      </c>
      <c r="BE231" s="5">
        <v>4.01</v>
      </c>
      <c r="BF231" s="5">
        <v>658.93</v>
      </c>
      <c r="BG231" s="5">
        <v>7.38</v>
      </c>
      <c r="BH231" s="5">
        <v>10000000000</v>
      </c>
      <c r="BI231" s="5">
        <v>221</v>
      </c>
      <c r="BJ231" s="5">
        <v>21.7</v>
      </c>
      <c r="BK231" s="5">
        <v>85.7</v>
      </c>
      <c r="BL231" s="5">
        <v>49.86</v>
      </c>
      <c r="BM231" s="5">
        <v>2.08</v>
      </c>
      <c r="BN231" s="5">
        <v>29.63</v>
      </c>
      <c r="BO231" s="5">
        <v>37.950000000000003</v>
      </c>
      <c r="BP231" s="5">
        <v>654.5</v>
      </c>
      <c r="BQ231" s="5">
        <v>60.401359999999997</v>
      </c>
      <c r="BR231" s="5">
        <v>218.53829999999999</v>
      </c>
      <c r="BS231" s="5">
        <v>43.100380000000001</v>
      </c>
      <c r="BT231" s="5">
        <v>34.135330000000003</v>
      </c>
      <c r="BU231" s="5">
        <v>33.930630000000001</v>
      </c>
      <c r="BV231" s="5">
        <v>9.7192000000000001E-2</v>
      </c>
      <c r="BW231" s="5">
        <v>9.9699999999999997E-2</v>
      </c>
      <c r="BX231" s="5">
        <v>100.4543</v>
      </c>
      <c r="BY231" s="5">
        <v>18.995360000000002</v>
      </c>
      <c r="BZ231" s="5">
        <v>0</v>
      </c>
      <c r="CA231" s="5">
        <v>0.92268899999999998</v>
      </c>
      <c r="CB231" s="5">
        <v>710.76959999999997</v>
      </c>
      <c r="CC231" s="5">
        <v>738.30349999999999</v>
      </c>
      <c r="CD231" s="5">
        <v>103.9543</v>
      </c>
      <c r="CE231" s="5">
        <v>498.97</v>
      </c>
      <c r="CF231" s="5">
        <v>83.05</v>
      </c>
      <c r="CG231" s="5">
        <v>96.72</v>
      </c>
      <c r="CH231" s="5">
        <v>512.96</v>
      </c>
      <c r="CI231" s="5">
        <v>538.74</v>
      </c>
      <c r="CJ231" s="5">
        <v>553.53</v>
      </c>
      <c r="CK231" s="5">
        <v>584.36</v>
      </c>
      <c r="CL231" s="5">
        <v>576.21</v>
      </c>
      <c r="CM231" s="5">
        <v>563.41999999999996</v>
      </c>
      <c r="CN231" s="5">
        <v>505.54</v>
      </c>
      <c r="CO231" s="5">
        <v>28.24</v>
      </c>
      <c r="CP231" s="5">
        <v>688.9</v>
      </c>
      <c r="CQ231" s="5">
        <v>691.04</v>
      </c>
      <c r="CR231" s="5">
        <v>12.3</v>
      </c>
      <c r="CS231" s="5">
        <v>12.4</v>
      </c>
      <c r="CT231" s="5">
        <v>24.14</v>
      </c>
      <c r="CU231" s="5">
        <v>52.34</v>
      </c>
      <c r="CV231" s="5">
        <v>99.47</v>
      </c>
      <c r="CW231" s="5">
        <v>0.90215097852429027</v>
      </c>
      <c r="CX231" s="5">
        <v>3.6176254238824037</v>
      </c>
    </row>
    <row r="232" spans="1:102" x14ac:dyDescent="0.25">
      <c r="A232" s="5">
        <v>48</v>
      </c>
      <c r="B232" s="23">
        <v>41402.692053078703</v>
      </c>
      <c r="C232" s="5">
        <v>8</v>
      </c>
      <c r="D232" s="5">
        <v>44</v>
      </c>
      <c r="E232" s="5">
        <v>754</v>
      </c>
      <c r="F232" s="5">
        <v>754</v>
      </c>
      <c r="G232" s="5">
        <v>754.1</v>
      </c>
      <c r="H232" s="5">
        <v>91.7</v>
      </c>
      <c r="I232" s="5">
        <v>91.7</v>
      </c>
      <c r="J232" s="5">
        <v>1800</v>
      </c>
      <c r="K232" s="5">
        <v>47</v>
      </c>
      <c r="L232" s="5">
        <v>47</v>
      </c>
      <c r="M232" s="5">
        <v>0.19</v>
      </c>
      <c r="N232" s="5">
        <v>0.18990599999999999</v>
      </c>
      <c r="O232" s="5">
        <v>1</v>
      </c>
      <c r="P232" s="5">
        <v>1.069447</v>
      </c>
      <c r="Q232" s="5">
        <v>1.33</v>
      </c>
      <c r="R232" s="5">
        <v>1.3293459999999999</v>
      </c>
      <c r="S232" s="5">
        <v>184.48</v>
      </c>
      <c r="T232" s="5">
        <v>184.48439999999999</v>
      </c>
      <c r="U232" s="5">
        <v>3.5</v>
      </c>
      <c r="V232" s="5">
        <v>3.5</v>
      </c>
      <c r="W232" s="5">
        <v>300</v>
      </c>
      <c r="X232" s="5">
        <v>300</v>
      </c>
      <c r="Y232" s="5">
        <v>0</v>
      </c>
      <c r="Z232" s="5">
        <v>0</v>
      </c>
      <c r="AA232" s="5">
        <v>300</v>
      </c>
      <c r="AB232" s="5">
        <v>300</v>
      </c>
      <c r="AC232" s="5">
        <v>0</v>
      </c>
      <c r="AD232" s="5">
        <v>177.10929999999999</v>
      </c>
      <c r="AE232" s="5">
        <v>0</v>
      </c>
      <c r="AF232" s="5">
        <v>142.53569999999999</v>
      </c>
      <c r="AG232" s="5">
        <v>35</v>
      </c>
      <c r="AH232" s="5">
        <v>0.2</v>
      </c>
      <c r="AI232" s="5">
        <v>101.14</v>
      </c>
      <c r="AJ232" s="5">
        <v>128.88999999999999</v>
      </c>
      <c r="AK232" s="5">
        <v>226.73</v>
      </c>
      <c r="AL232" s="5">
        <v>226.65</v>
      </c>
      <c r="AM232" s="5">
        <v>541.38</v>
      </c>
      <c r="AN232" s="5">
        <v>266.67070000000001</v>
      </c>
      <c r="AO232" s="5">
        <v>168.27</v>
      </c>
      <c r="AP232" s="5">
        <v>166.75</v>
      </c>
      <c r="AQ232" s="5">
        <v>187.68</v>
      </c>
      <c r="AR232" s="5">
        <v>742.45</v>
      </c>
      <c r="AS232" s="5">
        <v>58.46</v>
      </c>
      <c r="AT232" s="5">
        <v>68.28</v>
      </c>
      <c r="AU232" s="5">
        <v>118.79</v>
      </c>
      <c r="AV232" s="5">
        <v>111.04</v>
      </c>
      <c r="AW232" s="5">
        <v>0.183</v>
      </c>
      <c r="AX232" s="5">
        <v>2.5499999999999998</v>
      </c>
      <c r="AY232" s="5">
        <v>10000000000</v>
      </c>
      <c r="AZ232" s="5">
        <v>55.42</v>
      </c>
      <c r="BA232" s="5">
        <v>15.96</v>
      </c>
      <c r="BB232" s="5">
        <v>8.85</v>
      </c>
      <c r="BC232" s="5">
        <v>1.59</v>
      </c>
      <c r="BD232" s="5">
        <v>8.32</v>
      </c>
      <c r="BE232" s="5">
        <v>2.5299999999999998</v>
      </c>
      <c r="BF232" s="5">
        <v>375.03</v>
      </c>
      <c r="BG232" s="5">
        <v>17.98</v>
      </c>
      <c r="BH232" s="5">
        <v>10000000000</v>
      </c>
      <c r="BI232" s="5">
        <v>216.3</v>
      </c>
      <c r="BJ232" s="5">
        <v>24.1</v>
      </c>
      <c r="BK232" s="5">
        <v>83.3</v>
      </c>
      <c r="BL232" s="5">
        <v>162.72</v>
      </c>
      <c r="BM232" s="5">
        <v>2.87</v>
      </c>
      <c r="BN232" s="5">
        <v>30.43</v>
      </c>
      <c r="BO232" s="5">
        <v>37.090000000000003</v>
      </c>
      <c r="BP232" s="5">
        <v>772.91</v>
      </c>
      <c r="BQ232" s="5">
        <v>68.027190000000004</v>
      </c>
      <c r="BR232" s="5">
        <v>321.10270000000003</v>
      </c>
      <c r="BS232" s="5">
        <v>42.290430000000001</v>
      </c>
      <c r="BT232" s="5">
        <v>42.93233</v>
      </c>
      <c r="BU232" s="5">
        <v>42.20872</v>
      </c>
      <c r="BV232" s="5">
        <v>9.7535999999999998E-2</v>
      </c>
      <c r="BW232" s="5">
        <v>9.3537999999999996E-2</v>
      </c>
      <c r="BX232" s="5">
        <v>107.535</v>
      </c>
      <c r="BY232" s="5">
        <v>18.995360000000002</v>
      </c>
      <c r="BZ232" s="5">
        <v>0</v>
      </c>
      <c r="CA232" s="5">
        <v>0.91999500000000001</v>
      </c>
      <c r="CB232" s="5">
        <v>944.97270000000003</v>
      </c>
      <c r="CC232" s="5">
        <v>974.35850000000005</v>
      </c>
      <c r="CD232" s="5">
        <v>111.035</v>
      </c>
      <c r="CE232" s="5">
        <v>527.51</v>
      </c>
      <c r="CF232" s="5">
        <v>98.21</v>
      </c>
      <c r="CG232" s="5">
        <v>114.31</v>
      </c>
      <c r="CH232" s="5">
        <v>460.69</v>
      </c>
      <c r="CI232" s="5">
        <v>478.58</v>
      </c>
      <c r="CJ232" s="5">
        <v>495.45</v>
      </c>
      <c r="CK232" s="5">
        <v>523.20000000000005</v>
      </c>
      <c r="CL232" s="5">
        <v>518.04</v>
      </c>
      <c r="CM232" s="5">
        <v>517.6</v>
      </c>
      <c r="CN232" s="5">
        <v>378.11</v>
      </c>
      <c r="CO232" s="5">
        <v>29.27</v>
      </c>
      <c r="CP232" s="5">
        <v>752.2</v>
      </c>
      <c r="CQ232" s="5">
        <v>754.05</v>
      </c>
      <c r="CR232" s="5">
        <v>13.5</v>
      </c>
      <c r="CS232" s="5">
        <v>13.5</v>
      </c>
      <c r="CT232" s="5">
        <v>24.33</v>
      </c>
      <c r="CU232" s="5">
        <v>46.01</v>
      </c>
      <c r="CV232" s="5">
        <v>99.43</v>
      </c>
      <c r="CW232" s="5">
        <v>0.90162321902872611</v>
      </c>
      <c r="CX232" s="5">
        <v>2.2811067441426767</v>
      </c>
    </row>
    <row r="233" spans="1:102" x14ac:dyDescent="0.25">
      <c r="A233" s="5">
        <v>10</v>
      </c>
      <c r="B233" s="23">
        <v>41402.447416655094</v>
      </c>
      <c r="C233" s="5">
        <v>8</v>
      </c>
      <c r="D233" s="5">
        <v>10</v>
      </c>
      <c r="E233" s="5">
        <v>633</v>
      </c>
      <c r="F233" s="5">
        <v>633</v>
      </c>
      <c r="G233" s="5">
        <v>633.1</v>
      </c>
      <c r="H233" s="5">
        <v>91.7</v>
      </c>
      <c r="I233" s="5">
        <v>91.7</v>
      </c>
      <c r="J233" s="5">
        <v>1800</v>
      </c>
      <c r="K233" s="5">
        <v>13</v>
      </c>
      <c r="L233" s="5">
        <v>13</v>
      </c>
      <c r="M233" s="5">
        <v>0.11</v>
      </c>
      <c r="N233" s="5">
        <v>0.109984</v>
      </c>
      <c r="O233" s="5">
        <v>1</v>
      </c>
      <c r="P233" s="5">
        <v>1.0694790000000001</v>
      </c>
      <c r="Q233" s="5">
        <v>-2.61</v>
      </c>
      <c r="R233" s="5">
        <v>-2.6147459999999998</v>
      </c>
      <c r="S233" s="5">
        <v>183.18</v>
      </c>
      <c r="T233" s="5">
        <v>183.1875</v>
      </c>
      <c r="U233" s="5">
        <v>3.5</v>
      </c>
      <c r="V233" s="5">
        <v>3.5</v>
      </c>
      <c r="W233" s="5">
        <v>300</v>
      </c>
      <c r="X233" s="5">
        <v>300</v>
      </c>
      <c r="Y233" s="5">
        <v>0</v>
      </c>
      <c r="Z233" s="5">
        <v>0</v>
      </c>
      <c r="AA233" s="5">
        <v>300</v>
      </c>
      <c r="AB233" s="5">
        <v>300</v>
      </c>
      <c r="AC233" s="5">
        <v>0</v>
      </c>
      <c r="AD233" s="5">
        <v>126.3085</v>
      </c>
      <c r="AE233" s="5">
        <v>0</v>
      </c>
      <c r="AF233" s="5">
        <v>126.3085</v>
      </c>
      <c r="AG233" s="5">
        <v>35</v>
      </c>
      <c r="AH233" s="5">
        <v>0.2</v>
      </c>
      <c r="AI233" s="5">
        <v>72.63</v>
      </c>
      <c r="AJ233" s="5">
        <v>104.23</v>
      </c>
      <c r="AK233" s="5">
        <v>110.7</v>
      </c>
      <c r="AL233" s="5">
        <v>114.03</v>
      </c>
      <c r="AM233" s="5">
        <v>611.65</v>
      </c>
      <c r="AN233" s="5">
        <v>189.7927</v>
      </c>
      <c r="AO233" s="5">
        <v>89.02</v>
      </c>
      <c r="AP233" s="5">
        <v>110.98</v>
      </c>
      <c r="AQ233" s="5">
        <v>105.95</v>
      </c>
      <c r="AR233" s="5">
        <v>612.28</v>
      </c>
      <c r="AS233" s="5">
        <v>21.68</v>
      </c>
      <c r="AT233" s="5">
        <v>57.96</v>
      </c>
      <c r="AU233" s="5">
        <v>98.31</v>
      </c>
      <c r="AV233" s="5">
        <v>121.85</v>
      </c>
      <c r="AW233" s="5">
        <v>0.249</v>
      </c>
      <c r="AX233" s="5">
        <v>3.53</v>
      </c>
      <c r="AY233" s="5">
        <v>10000000000</v>
      </c>
      <c r="AZ233" s="5">
        <v>163.16</v>
      </c>
      <c r="BA233" s="5">
        <v>19.829999999999998</v>
      </c>
      <c r="BB233" s="5">
        <v>9.4</v>
      </c>
      <c r="BC233" s="5">
        <v>0.62</v>
      </c>
      <c r="BD233" s="5">
        <v>7.55</v>
      </c>
      <c r="BE233" s="5">
        <v>3.9</v>
      </c>
      <c r="BF233" s="5">
        <v>594.76</v>
      </c>
      <c r="BG233" s="5">
        <v>6.55</v>
      </c>
      <c r="BH233" s="5">
        <v>10000000000</v>
      </c>
      <c r="BI233" s="5">
        <v>224.9</v>
      </c>
      <c r="BJ233" s="5">
        <v>22.8</v>
      </c>
      <c r="BK233" s="5">
        <v>85.6</v>
      </c>
      <c r="BL233" s="5">
        <v>42.9</v>
      </c>
      <c r="BM233" s="5">
        <v>2.02</v>
      </c>
      <c r="BN233" s="5">
        <v>29.53</v>
      </c>
      <c r="BO233" s="5">
        <v>37.54</v>
      </c>
      <c r="BP233" s="5">
        <v>639.22</v>
      </c>
      <c r="BQ233" s="5">
        <v>59.089840000000002</v>
      </c>
      <c r="BR233" s="5">
        <v>214.3792</v>
      </c>
      <c r="BS233" s="5">
        <v>44.127110000000002</v>
      </c>
      <c r="BT233" s="5">
        <v>35.966630000000002</v>
      </c>
      <c r="BU233" s="5">
        <v>35.781669999999998</v>
      </c>
      <c r="BV233" s="5">
        <v>9.9972000000000005E-2</v>
      </c>
      <c r="BW233" s="5">
        <v>0.102182</v>
      </c>
      <c r="BX233" s="5">
        <v>92.518649999999994</v>
      </c>
      <c r="BY233" s="5">
        <v>18.995360000000002</v>
      </c>
      <c r="BZ233" s="5">
        <v>0</v>
      </c>
      <c r="CA233" s="5">
        <v>0.92555299999999996</v>
      </c>
      <c r="CB233" s="5">
        <v>694.89689999999996</v>
      </c>
      <c r="CC233" s="5">
        <v>720.29750000000001</v>
      </c>
      <c r="CD233" s="5">
        <v>96.018649999999994</v>
      </c>
      <c r="CE233" s="5">
        <v>468.73</v>
      </c>
      <c r="CF233" s="5">
        <v>81.08</v>
      </c>
      <c r="CG233" s="5">
        <v>95.06</v>
      </c>
      <c r="CH233" s="5">
        <v>498.91</v>
      </c>
      <c r="CI233" s="5">
        <v>523.26</v>
      </c>
      <c r="CJ233" s="5">
        <v>538.66</v>
      </c>
      <c r="CK233" s="5">
        <v>561.52</v>
      </c>
      <c r="CL233" s="5">
        <v>557.34</v>
      </c>
      <c r="CM233" s="5">
        <v>543.41</v>
      </c>
      <c r="CN233" s="5">
        <v>491.81</v>
      </c>
      <c r="CO233" s="5">
        <v>28</v>
      </c>
      <c r="CP233" s="5">
        <v>630.79999999999995</v>
      </c>
      <c r="CQ233" s="5">
        <v>633.04999999999995</v>
      </c>
      <c r="CR233" s="5">
        <v>11.3</v>
      </c>
      <c r="CS233" s="5">
        <v>11.3</v>
      </c>
      <c r="CT233" s="5">
        <v>24.59</v>
      </c>
      <c r="CU233" s="5">
        <v>73.42</v>
      </c>
      <c r="CV233" s="5">
        <v>99.49</v>
      </c>
      <c r="CW233" s="5">
        <v>0.95051947265416081</v>
      </c>
      <c r="CX233" s="5">
        <v>3.7070259433512271</v>
      </c>
    </row>
    <row r="234" spans="1:102" x14ac:dyDescent="0.25">
      <c r="A234" s="5">
        <v>19</v>
      </c>
      <c r="B234" s="23">
        <v>41402.498584976849</v>
      </c>
      <c r="C234" s="5">
        <v>8</v>
      </c>
      <c r="D234" s="5">
        <v>18</v>
      </c>
      <c r="E234" s="5">
        <v>662</v>
      </c>
      <c r="F234" s="5">
        <v>662</v>
      </c>
      <c r="G234" s="5">
        <v>662</v>
      </c>
      <c r="H234" s="5">
        <v>91.7</v>
      </c>
      <c r="I234" s="5">
        <v>91.7</v>
      </c>
      <c r="J234" s="5">
        <v>1800</v>
      </c>
      <c r="K234" s="5">
        <v>17</v>
      </c>
      <c r="L234" s="5">
        <v>17</v>
      </c>
      <c r="M234" s="5">
        <v>0.26</v>
      </c>
      <c r="N234" s="5">
        <v>0.25996900000000001</v>
      </c>
      <c r="O234" s="5">
        <v>1</v>
      </c>
      <c r="P234" s="5">
        <v>1.0694319999999999</v>
      </c>
      <c r="Q234" s="5">
        <v>-1.71</v>
      </c>
      <c r="R234" s="5">
        <v>-1.713867</v>
      </c>
      <c r="S234" s="5">
        <v>182.99</v>
      </c>
      <c r="T234" s="5">
        <v>182.98439999999999</v>
      </c>
      <c r="U234" s="5">
        <v>3.5</v>
      </c>
      <c r="V234" s="5">
        <v>3.5</v>
      </c>
      <c r="W234" s="5">
        <v>300</v>
      </c>
      <c r="X234" s="5">
        <v>300</v>
      </c>
      <c r="Y234" s="5">
        <v>0</v>
      </c>
      <c r="Z234" s="5">
        <v>0</v>
      </c>
      <c r="AA234" s="5">
        <v>300</v>
      </c>
      <c r="AB234" s="5">
        <v>300</v>
      </c>
      <c r="AC234" s="5">
        <v>0</v>
      </c>
      <c r="AD234" s="5">
        <v>128.7877</v>
      </c>
      <c r="AE234" s="5">
        <v>0</v>
      </c>
      <c r="AF234" s="5">
        <v>128.7877</v>
      </c>
      <c r="AG234" s="5">
        <v>35</v>
      </c>
      <c r="AH234" s="5">
        <v>0.2</v>
      </c>
      <c r="AI234" s="5">
        <v>75.430000000000007</v>
      </c>
      <c r="AJ234" s="5">
        <v>105.12</v>
      </c>
      <c r="AK234" s="5">
        <v>111.19</v>
      </c>
      <c r="AL234" s="5">
        <v>113.64</v>
      </c>
      <c r="AM234" s="5">
        <v>621.88</v>
      </c>
      <c r="AN234" s="5">
        <v>195.43879999999999</v>
      </c>
      <c r="AO234" s="5">
        <v>94.93</v>
      </c>
      <c r="AP234" s="5">
        <v>115.7</v>
      </c>
      <c r="AQ234" s="5">
        <v>111.17</v>
      </c>
      <c r="AR234" s="5">
        <v>595.73</v>
      </c>
      <c r="AS234" s="5">
        <v>16.260000000000002</v>
      </c>
      <c r="AT234" s="5">
        <v>61.34</v>
      </c>
      <c r="AU234" s="5">
        <v>101.85</v>
      </c>
      <c r="AV234" s="5">
        <v>110.91</v>
      </c>
      <c r="AW234" s="5">
        <v>0.55100000000000005</v>
      </c>
      <c r="AX234" s="5">
        <v>8.57</v>
      </c>
      <c r="AY234" s="5">
        <v>10000000000</v>
      </c>
      <c r="AZ234" s="5">
        <v>269.74</v>
      </c>
      <c r="BA234" s="5">
        <v>17.850000000000001</v>
      </c>
      <c r="BB234" s="5">
        <v>10</v>
      </c>
      <c r="BC234" s="5">
        <v>1.1499999999999999</v>
      </c>
      <c r="BD234" s="5">
        <v>6.63</v>
      </c>
      <c r="BE234" s="5">
        <v>2.6</v>
      </c>
      <c r="BF234" s="5">
        <v>430.98</v>
      </c>
      <c r="BG234" s="5">
        <v>11.54</v>
      </c>
      <c r="BH234" s="5">
        <v>10000000000</v>
      </c>
      <c r="BI234" s="5">
        <v>223.2</v>
      </c>
      <c r="BJ234" s="5">
        <v>21.4</v>
      </c>
      <c r="BK234" s="5">
        <v>84.8</v>
      </c>
      <c r="BL234" s="5">
        <v>77.790000000000006</v>
      </c>
      <c r="BM234" s="5">
        <v>2.1</v>
      </c>
      <c r="BN234" s="5">
        <v>30.02</v>
      </c>
      <c r="BO234" s="5">
        <v>38.08</v>
      </c>
      <c r="BP234" s="5">
        <v>623.84</v>
      </c>
      <c r="BQ234" s="5">
        <v>62.130209999999998</v>
      </c>
      <c r="BR234" s="5">
        <v>211.1962</v>
      </c>
      <c r="BS234" s="5">
        <v>43.478740000000002</v>
      </c>
      <c r="BT234" s="5">
        <v>35.146970000000003</v>
      </c>
      <c r="BU234" s="5">
        <v>34.927239999999998</v>
      </c>
      <c r="BV234" s="5">
        <v>9.7961000000000006E-2</v>
      </c>
      <c r="BW234" s="5">
        <v>0.100378</v>
      </c>
      <c r="BX234" s="5">
        <v>96.964110000000005</v>
      </c>
      <c r="BY234" s="5">
        <v>18.995360000000002</v>
      </c>
      <c r="BZ234" s="5">
        <v>0</v>
      </c>
      <c r="CA234" s="5">
        <v>0.92408800000000002</v>
      </c>
      <c r="CB234" s="5">
        <v>707.78629999999998</v>
      </c>
      <c r="CC234" s="5">
        <v>734.36130000000003</v>
      </c>
      <c r="CD234" s="5">
        <v>100.4636</v>
      </c>
      <c r="CE234" s="5">
        <v>545.39</v>
      </c>
      <c r="CF234" s="5">
        <v>86.71</v>
      </c>
      <c r="CG234" s="5">
        <v>98.53</v>
      </c>
      <c r="CH234" s="5">
        <v>505.05</v>
      </c>
      <c r="CI234" s="5">
        <v>529.29</v>
      </c>
      <c r="CJ234" s="5">
        <v>542.79999999999995</v>
      </c>
      <c r="CK234" s="5">
        <v>573.28</v>
      </c>
      <c r="CL234" s="5">
        <v>566.76</v>
      </c>
      <c r="CM234" s="5">
        <v>566.51</v>
      </c>
      <c r="CN234" s="5">
        <v>497.28</v>
      </c>
      <c r="CO234" s="5">
        <v>28.51</v>
      </c>
      <c r="CP234" s="5">
        <v>660.2</v>
      </c>
      <c r="CQ234" s="5">
        <v>662.05</v>
      </c>
      <c r="CR234" s="5">
        <v>11.8</v>
      </c>
      <c r="CS234" s="5">
        <v>11.9</v>
      </c>
      <c r="CT234" s="5">
        <v>24.56</v>
      </c>
      <c r="CU234" s="5">
        <v>59.93</v>
      </c>
      <c r="CV234" s="5">
        <v>99.48</v>
      </c>
      <c r="CW234" s="5">
        <v>0.91784211590346165</v>
      </c>
      <c r="CX234" s="5">
        <v>2.3863895013490004</v>
      </c>
    </row>
    <row r="235" spans="1:102" x14ac:dyDescent="0.25">
      <c r="A235" s="5">
        <v>26</v>
      </c>
      <c r="B235" s="23">
        <v>41402.543375671296</v>
      </c>
      <c r="C235" s="5">
        <v>8</v>
      </c>
      <c r="D235" s="5">
        <v>24</v>
      </c>
      <c r="E235" s="5">
        <v>681</v>
      </c>
      <c r="F235" s="5">
        <v>681</v>
      </c>
      <c r="G235" s="5">
        <v>681.1</v>
      </c>
      <c r="H235" s="5">
        <v>91.7</v>
      </c>
      <c r="I235" s="5">
        <v>91.7</v>
      </c>
      <c r="J235" s="5">
        <v>1800</v>
      </c>
      <c r="K235" s="5">
        <v>50</v>
      </c>
      <c r="L235" s="5">
        <v>50</v>
      </c>
      <c r="M235" s="5">
        <v>0.3</v>
      </c>
      <c r="N235" s="5">
        <v>0.29994799999999999</v>
      </c>
      <c r="O235" s="5">
        <v>1</v>
      </c>
      <c r="P235" s="5">
        <v>1.069507</v>
      </c>
      <c r="Q235" s="5">
        <v>-1.1299999999999999</v>
      </c>
      <c r="R235" s="5">
        <v>-1.1315919999999999</v>
      </c>
      <c r="S235" s="5">
        <v>182.85</v>
      </c>
      <c r="T235" s="5">
        <v>182.84379999999999</v>
      </c>
      <c r="U235" s="5">
        <v>3.5</v>
      </c>
      <c r="V235" s="5">
        <v>3.5</v>
      </c>
      <c r="W235" s="5">
        <v>300</v>
      </c>
      <c r="X235" s="5">
        <v>300</v>
      </c>
      <c r="Y235" s="5">
        <v>0</v>
      </c>
      <c r="Z235" s="5">
        <v>0</v>
      </c>
      <c r="AA235" s="5">
        <v>300</v>
      </c>
      <c r="AB235" s="5">
        <v>300</v>
      </c>
      <c r="AC235" s="5">
        <v>0</v>
      </c>
      <c r="AD235" s="5">
        <v>166.1455</v>
      </c>
      <c r="AE235" s="5">
        <v>0</v>
      </c>
      <c r="AF235" s="5">
        <v>142.51259999999999</v>
      </c>
      <c r="AG235" s="5">
        <v>35</v>
      </c>
      <c r="AH235" s="5">
        <v>0.2</v>
      </c>
      <c r="AI235" s="5">
        <v>95.16</v>
      </c>
      <c r="AJ235" s="5">
        <v>122.47</v>
      </c>
      <c r="AK235" s="5">
        <v>208.74</v>
      </c>
      <c r="AL235" s="5">
        <v>207.26</v>
      </c>
      <c r="AM235" s="5">
        <v>549.98</v>
      </c>
      <c r="AN235" s="5">
        <v>256.72649999999999</v>
      </c>
      <c r="AO235" s="5">
        <v>157.81</v>
      </c>
      <c r="AP235" s="5">
        <v>157.04</v>
      </c>
      <c r="AQ235" s="5">
        <v>174.8</v>
      </c>
      <c r="AR235" s="5">
        <v>650.97</v>
      </c>
      <c r="AS235" s="5">
        <v>50.93</v>
      </c>
      <c r="AT235" s="5">
        <v>77.489999999999995</v>
      </c>
      <c r="AU235" s="5">
        <v>134.82</v>
      </c>
      <c r="AV235" s="5">
        <v>112.92</v>
      </c>
      <c r="AW235" s="5">
        <v>0.79100000000000004</v>
      </c>
      <c r="AX235" s="5">
        <v>13.23</v>
      </c>
      <c r="AY235" s="5">
        <v>10000000000</v>
      </c>
      <c r="AZ235" s="5">
        <v>150.85</v>
      </c>
      <c r="BA235" s="5">
        <v>18.25</v>
      </c>
      <c r="BB235" s="5">
        <v>9.44</v>
      </c>
      <c r="BC235" s="5">
        <v>2.29</v>
      </c>
      <c r="BD235" s="5">
        <v>7.54</v>
      </c>
      <c r="BE235" s="5">
        <v>1.19</v>
      </c>
      <c r="BF235" s="5">
        <v>184.04</v>
      </c>
      <c r="BG235" s="5">
        <v>24.28</v>
      </c>
      <c r="BH235" s="5">
        <v>10000000000</v>
      </c>
      <c r="BI235" s="5">
        <v>224.2</v>
      </c>
      <c r="BJ235" s="5">
        <v>22.6</v>
      </c>
      <c r="BK235" s="5">
        <v>82.7</v>
      </c>
      <c r="BL235" s="5">
        <v>208.59</v>
      </c>
      <c r="BM235" s="5">
        <v>2.74</v>
      </c>
      <c r="BN235" s="5">
        <v>31.07</v>
      </c>
      <c r="BO235" s="5">
        <v>37.61</v>
      </c>
      <c r="BP235" s="5">
        <v>679.39</v>
      </c>
      <c r="BQ235" s="5">
        <v>75.668959999999998</v>
      </c>
      <c r="BR235" s="5">
        <v>298.4205</v>
      </c>
      <c r="BS235" s="5">
        <v>43.102919999999997</v>
      </c>
      <c r="BT235" s="5">
        <v>43.262369999999997</v>
      </c>
      <c r="BU235" s="5">
        <v>42.612659999999998</v>
      </c>
      <c r="BV235" s="5">
        <v>9.7211000000000006E-2</v>
      </c>
      <c r="BW235" s="5">
        <v>9.3911999999999995E-2</v>
      </c>
      <c r="BX235" s="5">
        <v>100.41889999999999</v>
      </c>
      <c r="BY235" s="5">
        <v>18.995360000000002</v>
      </c>
      <c r="BZ235" s="5">
        <v>0</v>
      </c>
      <c r="CA235" s="5">
        <v>0.92267999999999994</v>
      </c>
      <c r="CB235" s="5">
        <v>892.53129999999999</v>
      </c>
      <c r="CC235" s="5">
        <v>920.03539999999998</v>
      </c>
      <c r="CD235" s="5">
        <v>103.91549999999999</v>
      </c>
      <c r="CE235" s="5">
        <v>538.97</v>
      </c>
      <c r="CF235" s="5">
        <v>110.25</v>
      </c>
      <c r="CG235" s="5">
        <v>130.86000000000001</v>
      </c>
      <c r="CH235" s="5">
        <v>466.53</v>
      </c>
      <c r="CI235" s="5">
        <v>486.36</v>
      </c>
      <c r="CJ235" s="5">
        <v>499.53</v>
      </c>
      <c r="CK235" s="5">
        <v>522.61</v>
      </c>
      <c r="CL235" s="5">
        <v>529.29</v>
      </c>
      <c r="CM235" s="5">
        <v>526.33000000000004</v>
      </c>
      <c r="CN235" s="5">
        <v>389.39</v>
      </c>
      <c r="CO235" s="5">
        <v>28.93</v>
      </c>
      <c r="CP235" s="5">
        <v>679.1</v>
      </c>
      <c r="CQ235" s="5">
        <v>681.06</v>
      </c>
      <c r="CR235" s="5">
        <v>12.2</v>
      </c>
      <c r="CS235" s="5">
        <v>12.2</v>
      </c>
      <c r="CT235" s="5">
        <v>24.25</v>
      </c>
      <c r="CU235" s="5">
        <v>53.73</v>
      </c>
      <c r="CV235" s="5">
        <v>99.46</v>
      </c>
      <c r="CW235" s="5">
        <v>0.9075816532866241</v>
      </c>
      <c r="CX235" s="5">
        <v>1.0800221674110826</v>
      </c>
    </row>
    <row r="236" spans="1:102" x14ac:dyDescent="0.25">
      <c r="A236" s="5">
        <v>40</v>
      </c>
      <c r="B236" s="23">
        <v>41402.648668796297</v>
      </c>
      <c r="C236" s="5">
        <v>8</v>
      </c>
      <c r="D236" s="5">
        <v>36</v>
      </c>
      <c r="E236" s="5">
        <v>722</v>
      </c>
      <c r="F236" s="5">
        <v>722</v>
      </c>
      <c r="G236" s="5">
        <v>722.1</v>
      </c>
      <c r="H236" s="5">
        <v>91.7</v>
      </c>
      <c r="I236" s="5">
        <v>91.7</v>
      </c>
      <c r="J236" s="5">
        <v>1800</v>
      </c>
      <c r="K236" s="5">
        <v>24</v>
      </c>
      <c r="L236" s="5">
        <v>24</v>
      </c>
      <c r="M236" s="5">
        <v>0.11</v>
      </c>
      <c r="N236" s="5">
        <v>0.11004899999999999</v>
      </c>
      <c r="O236" s="5">
        <v>1</v>
      </c>
      <c r="P236" s="5">
        <v>1.0694699999999999</v>
      </c>
      <c r="Q236" s="5">
        <v>0.22</v>
      </c>
      <c r="R236" s="5">
        <v>0.21972700000000001</v>
      </c>
      <c r="S236" s="5">
        <v>183.44</v>
      </c>
      <c r="T236" s="5">
        <v>183.4375</v>
      </c>
      <c r="U236" s="5">
        <v>3.5</v>
      </c>
      <c r="V236" s="5">
        <v>3.5</v>
      </c>
      <c r="W236" s="5">
        <v>300</v>
      </c>
      <c r="X236" s="5">
        <v>300</v>
      </c>
      <c r="Y236" s="5">
        <v>0</v>
      </c>
      <c r="Z236" s="5">
        <v>0</v>
      </c>
      <c r="AA236" s="5">
        <v>300</v>
      </c>
      <c r="AB236" s="5">
        <v>300</v>
      </c>
      <c r="AC236" s="5">
        <v>0</v>
      </c>
      <c r="AD236" s="5">
        <v>146.39109999999999</v>
      </c>
      <c r="AE236" s="5">
        <v>0</v>
      </c>
      <c r="AF236" s="5">
        <v>142.57320000000001</v>
      </c>
      <c r="AG236" s="5">
        <v>35</v>
      </c>
      <c r="AH236" s="5">
        <v>0.2</v>
      </c>
      <c r="AI236" s="5">
        <v>84.69</v>
      </c>
      <c r="AJ236" s="5">
        <v>117.16</v>
      </c>
      <c r="AK236" s="5">
        <v>149.19999999999999</v>
      </c>
      <c r="AL236" s="5">
        <v>152.47999999999999</v>
      </c>
      <c r="AM236" s="5">
        <v>582.63</v>
      </c>
      <c r="AN236" s="5">
        <v>219.81720000000001</v>
      </c>
      <c r="AO236" s="5">
        <v>120.11</v>
      </c>
      <c r="AP236" s="5">
        <v>138.52000000000001</v>
      </c>
      <c r="AQ236" s="5">
        <v>139.19999999999999</v>
      </c>
      <c r="AR236" s="5">
        <v>706.59</v>
      </c>
      <c r="AS236" s="5">
        <v>29.12</v>
      </c>
      <c r="AT236" s="5">
        <v>59.47</v>
      </c>
      <c r="AU236" s="5">
        <v>99.43</v>
      </c>
      <c r="AV236" s="5">
        <v>115.72</v>
      </c>
      <c r="AW236" s="5">
        <v>0.13200000000000001</v>
      </c>
      <c r="AX236" s="5">
        <v>1.8</v>
      </c>
      <c r="AY236" s="5">
        <v>10000000000</v>
      </c>
      <c r="AZ236" s="5">
        <v>64.52</v>
      </c>
      <c r="BA236" s="5">
        <v>18.190000000000001</v>
      </c>
      <c r="BB236" s="5">
        <v>8.93</v>
      </c>
      <c r="BC236" s="5">
        <v>0.67</v>
      </c>
      <c r="BD236" s="5">
        <v>8.1999999999999993</v>
      </c>
      <c r="BE236" s="5">
        <v>4.91</v>
      </c>
      <c r="BF236" s="5">
        <v>733.37</v>
      </c>
      <c r="BG236" s="5">
        <v>7.55</v>
      </c>
      <c r="BH236" s="5">
        <v>10000000000</v>
      </c>
      <c r="BI236" s="5">
        <v>215.8</v>
      </c>
      <c r="BJ236" s="5">
        <v>24</v>
      </c>
      <c r="BK236" s="5">
        <v>85.9</v>
      </c>
      <c r="BL236" s="5">
        <v>57.68</v>
      </c>
      <c r="BM236" s="5">
        <v>2.35</v>
      </c>
      <c r="BN236" s="5">
        <v>29.59</v>
      </c>
      <c r="BO236" s="5">
        <v>37.119999999999997</v>
      </c>
      <c r="BP236" s="5">
        <v>735.63</v>
      </c>
      <c r="BQ236" s="5">
        <v>60.311360000000001</v>
      </c>
      <c r="BR236" s="5">
        <v>252.2809</v>
      </c>
      <c r="BS236" s="5">
        <v>42.882210000000001</v>
      </c>
      <c r="BT236" s="5">
        <v>37.769649999999999</v>
      </c>
      <c r="BU236" s="5">
        <v>37.405859999999997</v>
      </c>
      <c r="BV236" s="5">
        <v>9.6744999999999998E-2</v>
      </c>
      <c r="BW236" s="5">
        <v>9.6457000000000001E-2</v>
      </c>
      <c r="BX236" s="5">
        <v>102.4709</v>
      </c>
      <c r="BY236" s="5">
        <v>18.995360000000002</v>
      </c>
      <c r="BZ236" s="5">
        <v>0</v>
      </c>
      <c r="CA236" s="5">
        <v>0.92185600000000001</v>
      </c>
      <c r="CB236" s="5">
        <v>798.49080000000004</v>
      </c>
      <c r="CC236" s="5">
        <v>826.53459999999995</v>
      </c>
      <c r="CD236" s="5">
        <v>105.9958</v>
      </c>
      <c r="CE236" s="5">
        <v>477.93</v>
      </c>
      <c r="CF236" s="5">
        <v>82.54</v>
      </c>
      <c r="CG236" s="5">
        <v>96.18</v>
      </c>
      <c r="CH236" s="5">
        <v>478.44</v>
      </c>
      <c r="CI236" s="5">
        <v>502.99</v>
      </c>
      <c r="CJ236" s="5">
        <v>518.82000000000005</v>
      </c>
      <c r="CK236" s="5">
        <v>542.86</v>
      </c>
      <c r="CL236" s="5">
        <v>538.62</v>
      </c>
      <c r="CM236" s="5">
        <v>530.41999999999996</v>
      </c>
      <c r="CN236" s="5">
        <v>445.24</v>
      </c>
      <c r="CO236" s="5">
        <v>29.25</v>
      </c>
      <c r="CP236" s="5">
        <v>720.5</v>
      </c>
      <c r="CQ236" s="5">
        <v>722.05</v>
      </c>
      <c r="CR236" s="5">
        <v>12.9</v>
      </c>
      <c r="CS236" s="5">
        <v>12.9</v>
      </c>
      <c r="CT236" s="5">
        <v>24.89</v>
      </c>
      <c r="CU236" s="5">
        <v>41.05</v>
      </c>
      <c r="CV236" s="5">
        <v>99.43</v>
      </c>
      <c r="CW236" s="5">
        <v>0.8894639615684049</v>
      </c>
      <c r="CX236" s="5">
        <v>4.3672680513008686</v>
      </c>
    </row>
    <row r="237" spans="1:102" x14ac:dyDescent="0.25">
      <c r="A237" s="5">
        <v>23</v>
      </c>
      <c r="B237" s="23">
        <v>41402.520277222226</v>
      </c>
      <c r="C237" s="5">
        <v>8</v>
      </c>
      <c r="D237" s="5">
        <v>22</v>
      </c>
      <c r="E237" s="5">
        <v>676</v>
      </c>
      <c r="F237" s="5">
        <v>676</v>
      </c>
      <c r="G237" s="5">
        <v>676</v>
      </c>
      <c r="H237" s="5">
        <v>91.7</v>
      </c>
      <c r="I237" s="5">
        <v>91.7</v>
      </c>
      <c r="J237" s="5">
        <v>1800</v>
      </c>
      <c r="K237" s="5">
        <v>30</v>
      </c>
      <c r="L237" s="5">
        <v>30</v>
      </c>
      <c r="M237" s="5">
        <v>0.1</v>
      </c>
      <c r="N237" s="5">
        <v>9.9923999999999999E-2</v>
      </c>
      <c r="O237" s="5">
        <v>1</v>
      </c>
      <c r="P237" s="5">
        <v>1.0694319999999999</v>
      </c>
      <c r="Q237" s="5">
        <v>-1.28</v>
      </c>
      <c r="R237" s="5">
        <v>-1.2854000000000001</v>
      </c>
      <c r="S237" s="5">
        <v>182.89</v>
      </c>
      <c r="T237" s="5">
        <v>182.89060000000001</v>
      </c>
      <c r="U237" s="5">
        <v>3.5</v>
      </c>
      <c r="V237" s="5">
        <v>3.5</v>
      </c>
      <c r="W237" s="5">
        <v>300</v>
      </c>
      <c r="X237" s="5">
        <v>300</v>
      </c>
      <c r="Y237" s="5">
        <v>0</v>
      </c>
      <c r="Z237" s="5">
        <v>0</v>
      </c>
      <c r="AA237" s="5">
        <v>300</v>
      </c>
      <c r="AB237" s="5">
        <v>300</v>
      </c>
      <c r="AC237" s="5">
        <v>0</v>
      </c>
      <c r="AD237" s="5">
        <v>150.322</v>
      </c>
      <c r="AE237" s="5">
        <v>0</v>
      </c>
      <c r="AF237" s="5">
        <v>142.50960000000001</v>
      </c>
      <c r="AG237" s="5">
        <v>35</v>
      </c>
      <c r="AH237" s="5">
        <v>0.2</v>
      </c>
      <c r="AI237" s="5">
        <v>86.39</v>
      </c>
      <c r="AJ237" s="5">
        <v>118.28</v>
      </c>
      <c r="AK237" s="5">
        <v>162.24</v>
      </c>
      <c r="AL237" s="5">
        <v>165.28</v>
      </c>
      <c r="AM237" s="5">
        <v>563.04</v>
      </c>
      <c r="AN237" s="5">
        <v>225.25739999999999</v>
      </c>
      <c r="AO237" s="5">
        <v>124.61</v>
      </c>
      <c r="AP237" s="5">
        <v>138.88</v>
      </c>
      <c r="AQ237" s="5">
        <v>143.69</v>
      </c>
      <c r="AR237" s="5">
        <v>710.35</v>
      </c>
      <c r="AS237" s="5">
        <v>37.630000000000003</v>
      </c>
      <c r="AT237" s="5">
        <v>59.66</v>
      </c>
      <c r="AU237" s="5">
        <v>99.85</v>
      </c>
      <c r="AV237" s="5">
        <v>118.37</v>
      </c>
      <c r="AW237" s="5">
        <v>0.126</v>
      </c>
      <c r="AX237" s="5">
        <v>1.71</v>
      </c>
      <c r="AY237" s="5">
        <v>10000000000</v>
      </c>
      <c r="AZ237" s="5">
        <v>62.45</v>
      </c>
      <c r="BA237" s="5">
        <v>19.32</v>
      </c>
      <c r="BB237" s="5">
        <v>8.42</v>
      </c>
      <c r="BC237" s="5">
        <v>0.69</v>
      </c>
      <c r="BD237" s="5">
        <v>8.9</v>
      </c>
      <c r="BE237" s="5">
        <v>4.3499999999999996</v>
      </c>
      <c r="BF237" s="5">
        <v>599.79999999999995</v>
      </c>
      <c r="BG237" s="5">
        <v>8.2100000000000009</v>
      </c>
      <c r="BH237" s="5">
        <v>10000000000</v>
      </c>
      <c r="BI237" s="5">
        <v>219.7</v>
      </c>
      <c r="BJ237" s="5">
        <v>25.4</v>
      </c>
      <c r="BK237" s="5">
        <v>85.2</v>
      </c>
      <c r="BL237" s="5">
        <v>63.53</v>
      </c>
      <c r="BM237" s="5">
        <v>2.4</v>
      </c>
      <c r="BN237" s="5">
        <v>29.61</v>
      </c>
      <c r="BO237" s="5">
        <v>36.71</v>
      </c>
      <c r="BP237" s="5">
        <v>738.19</v>
      </c>
      <c r="BQ237" s="5">
        <v>60.509839999999997</v>
      </c>
      <c r="BR237" s="5">
        <v>265.35309999999998</v>
      </c>
      <c r="BS237" s="5">
        <v>43.467359999999999</v>
      </c>
      <c r="BT237" s="5">
        <v>40.889189999999999</v>
      </c>
      <c r="BU237" s="5">
        <v>40.410159999999998</v>
      </c>
      <c r="BV237" s="5">
        <v>9.7961000000000006E-2</v>
      </c>
      <c r="BW237" s="5">
        <v>9.5630999999999994E-2</v>
      </c>
      <c r="BX237" s="5">
        <v>97.067340000000002</v>
      </c>
      <c r="BY237" s="5">
        <v>18.995360000000002</v>
      </c>
      <c r="BZ237" s="5">
        <v>0</v>
      </c>
      <c r="CA237" s="5">
        <v>0.92403100000000005</v>
      </c>
      <c r="CB237" s="5">
        <v>819.90639999999996</v>
      </c>
      <c r="CC237" s="5">
        <v>846.51459999999997</v>
      </c>
      <c r="CD237" s="5">
        <v>100.5643</v>
      </c>
      <c r="CE237" s="5">
        <v>474.29</v>
      </c>
      <c r="CF237" s="5">
        <v>82.31</v>
      </c>
      <c r="CG237" s="5">
        <v>95.41</v>
      </c>
      <c r="CH237" s="5">
        <v>464.42</v>
      </c>
      <c r="CI237" s="5">
        <v>486.06</v>
      </c>
      <c r="CJ237" s="5">
        <v>502.57</v>
      </c>
      <c r="CK237" s="5">
        <v>529.82000000000005</v>
      </c>
      <c r="CL237" s="5">
        <v>524.23</v>
      </c>
      <c r="CM237" s="5">
        <v>515.34</v>
      </c>
      <c r="CN237" s="5">
        <v>422.8</v>
      </c>
      <c r="CO237" s="5">
        <v>28.68</v>
      </c>
      <c r="CP237" s="5">
        <v>674.1</v>
      </c>
      <c r="CQ237" s="5">
        <v>676.05</v>
      </c>
      <c r="CR237" s="5">
        <v>12.1</v>
      </c>
      <c r="CS237" s="5">
        <v>12.1</v>
      </c>
      <c r="CT237" s="5">
        <v>23.89</v>
      </c>
      <c r="CU237" s="5">
        <v>57.27</v>
      </c>
      <c r="CV237" s="5">
        <v>99.47</v>
      </c>
      <c r="CW237" s="5">
        <v>0.91934145759654173</v>
      </c>
      <c r="CX237" s="5">
        <v>3.9991353405449561</v>
      </c>
    </row>
    <row r="238" spans="1:102" x14ac:dyDescent="0.25">
      <c r="A238" s="5">
        <v>6</v>
      </c>
      <c r="B238" s="23">
        <v>41402.425734930555</v>
      </c>
      <c r="C238" s="5">
        <v>8</v>
      </c>
      <c r="D238" s="5">
        <v>6</v>
      </c>
      <c r="E238" s="5">
        <v>618</v>
      </c>
      <c r="F238" s="5">
        <v>618</v>
      </c>
      <c r="G238" s="5">
        <v>618.1</v>
      </c>
      <c r="H238" s="5">
        <v>91.7</v>
      </c>
      <c r="I238" s="5">
        <v>91.7</v>
      </c>
      <c r="J238" s="5">
        <v>1800</v>
      </c>
      <c r="K238" s="5">
        <v>18</v>
      </c>
      <c r="L238" s="5">
        <v>18</v>
      </c>
      <c r="M238" s="5">
        <v>0.25</v>
      </c>
      <c r="N238" s="5">
        <v>0.249972</v>
      </c>
      <c r="O238" s="5">
        <v>1</v>
      </c>
      <c r="P238" s="5">
        <v>1.0695330000000001</v>
      </c>
      <c r="Q238" s="5">
        <v>-3.08</v>
      </c>
      <c r="R238" s="5">
        <v>-3.0761720000000001</v>
      </c>
      <c r="S238" s="5">
        <v>183.27</v>
      </c>
      <c r="T238" s="5">
        <v>183.26560000000001</v>
      </c>
      <c r="U238" s="5">
        <v>3.5</v>
      </c>
      <c r="V238" s="5">
        <v>3.5</v>
      </c>
      <c r="W238" s="5">
        <v>300</v>
      </c>
      <c r="X238" s="5">
        <v>300</v>
      </c>
      <c r="Y238" s="5">
        <v>0</v>
      </c>
      <c r="Z238" s="5">
        <v>0</v>
      </c>
      <c r="AA238" s="5">
        <v>300</v>
      </c>
      <c r="AB238" s="5">
        <v>300</v>
      </c>
      <c r="AC238" s="5">
        <v>0</v>
      </c>
      <c r="AD238" s="5">
        <v>126.91379999999999</v>
      </c>
      <c r="AE238" s="5">
        <v>0</v>
      </c>
      <c r="AF238" s="5">
        <v>126.91379999999999</v>
      </c>
      <c r="AG238" s="5">
        <v>35</v>
      </c>
      <c r="AH238" s="5">
        <v>0.2</v>
      </c>
      <c r="AI238" s="5">
        <v>73.349999999999994</v>
      </c>
      <c r="AJ238" s="5">
        <v>103.38</v>
      </c>
      <c r="AK238" s="5">
        <v>108.83</v>
      </c>
      <c r="AL238" s="5">
        <v>111.07</v>
      </c>
      <c r="AM238" s="5">
        <v>606.21</v>
      </c>
      <c r="AN238" s="5">
        <v>192.33439999999999</v>
      </c>
      <c r="AO238" s="5">
        <v>91.9</v>
      </c>
      <c r="AP238" s="5">
        <v>111.35</v>
      </c>
      <c r="AQ238" s="5">
        <v>107.94</v>
      </c>
      <c r="AR238" s="5">
        <v>587.41</v>
      </c>
      <c r="AS238" s="5">
        <v>16.91</v>
      </c>
      <c r="AT238" s="5">
        <v>61.04</v>
      </c>
      <c r="AU238" s="5">
        <v>101.53</v>
      </c>
      <c r="AV238" s="5">
        <v>112.73</v>
      </c>
      <c r="AW238" s="5">
        <v>0.46200000000000002</v>
      </c>
      <c r="AX238" s="5">
        <v>6.99</v>
      </c>
      <c r="AY238" s="5">
        <v>10000000000</v>
      </c>
      <c r="AZ238" s="5">
        <v>224.77</v>
      </c>
      <c r="BA238" s="5">
        <v>20.52</v>
      </c>
      <c r="BB238" s="5">
        <v>9.6199999999999992</v>
      </c>
      <c r="BC238" s="5">
        <v>1.1100000000000001</v>
      </c>
      <c r="BD238" s="5">
        <v>7.21</v>
      </c>
      <c r="BE238" s="5">
        <v>2.54</v>
      </c>
      <c r="BF238" s="5">
        <v>396.17</v>
      </c>
      <c r="BG238" s="5">
        <v>11.49</v>
      </c>
      <c r="BH238" s="5">
        <v>10000000000</v>
      </c>
      <c r="BI238" s="5">
        <v>226.1</v>
      </c>
      <c r="BJ238" s="5">
        <v>22.3</v>
      </c>
      <c r="BK238" s="5">
        <v>84.9</v>
      </c>
      <c r="BL238" s="5">
        <v>76.27</v>
      </c>
      <c r="BM238" s="5">
        <v>2.06</v>
      </c>
      <c r="BN238" s="5">
        <v>29.98</v>
      </c>
      <c r="BO238" s="5">
        <v>37.729999999999997</v>
      </c>
      <c r="BP238" s="5">
        <v>613.75</v>
      </c>
      <c r="BQ238" s="5">
        <v>61.8337</v>
      </c>
      <c r="BR238" s="5">
        <v>208.26570000000001</v>
      </c>
      <c r="BS238" s="5">
        <v>44.391730000000003</v>
      </c>
      <c r="BT238" s="5">
        <v>36.83128</v>
      </c>
      <c r="BU238" s="5">
        <v>36.615549999999999</v>
      </c>
      <c r="BV238" s="5">
        <v>0.100797</v>
      </c>
      <c r="BW238" s="5">
        <v>0.102716</v>
      </c>
      <c r="BX238" s="5">
        <v>90.781769999999995</v>
      </c>
      <c r="BY238" s="5">
        <v>18.995360000000002</v>
      </c>
      <c r="BZ238" s="5">
        <v>0</v>
      </c>
      <c r="CA238" s="5">
        <v>0.92612700000000003</v>
      </c>
      <c r="CB238" s="5">
        <v>698.83040000000005</v>
      </c>
      <c r="CC238" s="5">
        <v>723.76459999999997</v>
      </c>
      <c r="CD238" s="5">
        <v>94.257919999999999</v>
      </c>
      <c r="CE238" s="5">
        <v>530.84</v>
      </c>
      <c r="CF238" s="5">
        <v>85.38</v>
      </c>
      <c r="CG238" s="5">
        <v>97.37</v>
      </c>
      <c r="CH238" s="5">
        <v>489.27</v>
      </c>
      <c r="CI238" s="5">
        <v>514.30999999999995</v>
      </c>
      <c r="CJ238" s="5">
        <v>529.42999999999995</v>
      </c>
      <c r="CK238" s="5">
        <v>557.27</v>
      </c>
      <c r="CL238" s="5">
        <v>551.72</v>
      </c>
      <c r="CM238" s="5">
        <v>551.98</v>
      </c>
      <c r="CN238" s="5">
        <v>484.17</v>
      </c>
      <c r="CO238" s="5">
        <v>27.11</v>
      </c>
      <c r="CP238" s="5">
        <v>615.9</v>
      </c>
      <c r="CQ238" s="5">
        <v>618.04999999999995</v>
      </c>
      <c r="CR238" s="5">
        <v>11</v>
      </c>
      <c r="CS238" s="5">
        <v>11.1</v>
      </c>
      <c r="CT238" s="5">
        <v>24.43</v>
      </c>
      <c r="CU238" s="5">
        <v>73.72</v>
      </c>
      <c r="CV238" s="5">
        <v>99.47</v>
      </c>
      <c r="CW238" s="5">
        <v>0.94500388470793817</v>
      </c>
      <c r="CX238" s="5">
        <v>2.4003098671581631</v>
      </c>
    </row>
    <row r="239" spans="1:102" x14ac:dyDescent="0.25">
      <c r="A239" s="5">
        <v>34</v>
      </c>
      <c r="B239" s="23">
        <v>41402.586782164355</v>
      </c>
      <c r="C239" s="5">
        <v>8</v>
      </c>
      <c r="D239" s="5">
        <v>32</v>
      </c>
      <c r="E239" s="5">
        <v>710</v>
      </c>
      <c r="F239" s="5">
        <v>710</v>
      </c>
      <c r="G239" s="5">
        <v>710</v>
      </c>
      <c r="H239" s="5">
        <v>91.7</v>
      </c>
      <c r="I239" s="5">
        <v>91.7</v>
      </c>
      <c r="J239" s="5">
        <v>1800</v>
      </c>
      <c r="K239" s="5">
        <v>43</v>
      </c>
      <c r="L239" s="5">
        <v>43</v>
      </c>
      <c r="M239" s="5">
        <v>0.23</v>
      </c>
      <c r="N239" s="5">
        <v>0.229902</v>
      </c>
      <c r="O239" s="5">
        <v>1</v>
      </c>
      <c r="P239" s="5">
        <v>1.069442</v>
      </c>
      <c r="Q239" s="5">
        <v>-0.19</v>
      </c>
      <c r="R239" s="5">
        <v>-0.18676799999999999</v>
      </c>
      <c r="S239" s="5">
        <v>183.05</v>
      </c>
      <c r="T239" s="5">
        <v>183.04689999999999</v>
      </c>
      <c r="U239" s="5">
        <v>3.5</v>
      </c>
      <c r="V239" s="5">
        <v>3.5</v>
      </c>
      <c r="W239" s="5">
        <v>300</v>
      </c>
      <c r="X239" s="5">
        <v>300</v>
      </c>
      <c r="Y239" s="5">
        <v>0</v>
      </c>
      <c r="Z239" s="5">
        <v>0</v>
      </c>
      <c r="AA239" s="5">
        <v>300</v>
      </c>
      <c r="AB239" s="5">
        <v>300</v>
      </c>
      <c r="AC239" s="5">
        <v>0</v>
      </c>
      <c r="AD239" s="5">
        <v>164.24850000000001</v>
      </c>
      <c r="AE239" s="5">
        <v>0</v>
      </c>
      <c r="AF239" s="5">
        <v>142.5514</v>
      </c>
      <c r="AG239" s="5">
        <v>35</v>
      </c>
      <c r="AH239" s="5">
        <v>0.2</v>
      </c>
      <c r="AI239" s="5">
        <v>93.38</v>
      </c>
      <c r="AJ239" s="5">
        <v>122.59</v>
      </c>
      <c r="AK239" s="5">
        <v>192.4</v>
      </c>
      <c r="AL239" s="5">
        <v>192.66</v>
      </c>
      <c r="AM239" s="5">
        <v>551.48</v>
      </c>
      <c r="AN239" s="5">
        <v>248.72659999999999</v>
      </c>
      <c r="AO239" s="5">
        <v>148.99</v>
      </c>
      <c r="AP239" s="5">
        <v>152.65</v>
      </c>
      <c r="AQ239" s="5">
        <v>167.25</v>
      </c>
      <c r="AR239" s="5">
        <v>686.83</v>
      </c>
      <c r="AS239" s="5">
        <v>43.42</v>
      </c>
      <c r="AT239" s="5">
        <v>68.25</v>
      </c>
      <c r="AU239" s="5">
        <v>117.97</v>
      </c>
      <c r="AV239" s="5">
        <v>114.03</v>
      </c>
      <c r="AW239" s="5">
        <v>0.313</v>
      </c>
      <c r="AX239" s="5">
        <v>4.53</v>
      </c>
      <c r="AY239" s="5">
        <v>10000000000</v>
      </c>
      <c r="AZ239" s="5">
        <v>83.06</v>
      </c>
      <c r="BA239" s="5">
        <v>17.579999999999998</v>
      </c>
      <c r="BB239" s="5">
        <v>9.0399999999999991</v>
      </c>
      <c r="BC239" s="5">
        <v>1.65</v>
      </c>
      <c r="BD239" s="5">
        <v>8.07</v>
      </c>
      <c r="BE239" s="5">
        <v>2.14</v>
      </c>
      <c r="BF239" s="5">
        <v>324.94</v>
      </c>
      <c r="BG239" s="5">
        <v>18.25</v>
      </c>
      <c r="BH239" s="5">
        <v>10000000000</v>
      </c>
      <c r="BI239" s="5">
        <v>218.5</v>
      </c>
      <c r="BJ239" s="5">
        <v>23.5</v>
      </c>
      <c r="BK239" s="5">
        <v>83.1</v>
      </c>
      <c r="BL239" s="5">
        <v>153.35</v>
      </c>
      <c r="BM239" s="5">
        <v>2.67</v>
      </c>
      <c r="BN239" s="5">
        <v>30.49</v>
      </c>
      <c r="BO239" s="5">
        <v>37.299999999999997</v>
      </c>
      <c r="BP239" s="5">
        <v>716.25</v>
      </c>
      <c r="BQ239" s="5">
        <v>68.02364</v>
      </c>
      <c r="BR239" s="5">
        <v>287.14109999999999</v>
      </c>
      <c r="BS239" s="5">
        <v>42.913989999999998</v>
      </c>
      <c r="BT239" s="5">
        <v>42.085329999999999</v>
      </c>
      <c r="BU239" s="5">
        <v>41.488509999999998</v>
      </c>
      <c r="BV239" s="5">
        <v>9.6813999999999997E-2</v>
      </c>
      <c r="BW239" s="5">
        <v>9.4492999999999994E-2</v>
      </c>
      <c r="BX239" s="5">
        <v>102.18340000000001</v>
      </c>
      <c r="BY239" s="5">
        <v>18.995360000000002</v>
      </c>
      <c r="BZ239" s="5">
        <v>0</v>
      </c>
      <c r="CA239" s="5">
        <v>0.92197499999999999</v>
      </c>
      <c r="CB239" s="5">
        <v>883.29520000000002</v>
      </c>
      <c r="CC239" s="5">
        <v>911.26149999999996</v>
      </c>
      <c r="CD239" s="5">
        <v>105.6823</v>
      </c>
      <c r="CE239" s="5">
        <v>528.88</v>
      </c>
      <c r="CF239" s="5">
        <v>97.31</v>
      </c>
      <c r="CG239" s="5">
        <v>113.51</v>
      </c>
      <c r="CH239" s="5">
        <v>463.48</v>
      </c>
      <c r="CI239" s="5">
        <v>482.95</v>
      </c>
      <c r="CJ239" s="5">
        <v>497.13</v>
      </c>
      <c r="CK239" s="5">
        <v>521.77</v>
      </c>
      <c r="CL239" s="5">
        <v>521.89</v>
      </c>
      <c r="CM239" s="5">
        <v>519.91999999999996</v>
      </c>
      <c r="CN239" s="5">
        <v>399.08</v>
      </c>
      <c r="CO239" s="5">
        <v>28.92</v>
      </c>
      <c r="CP239" s="5">
        <v>708.1</v>
      </c>
      <c r="CQ239" s="5">
        <v>710.05</v>
      </c>
      <c r="CR239" s="5">
        <v>12.7</v>
      </c>
      <c r="CS239" s="5">
        <v>12.7</v>
      </c>
      <c r="CT239" s="5">
        <v>23.96</v>
      </c>
      <c r="CU239" s="5">
        <v>50.88</v>
      </c>
      <c r="CV239" s="5">
        <v>99.46</v>
      </c>
      <c r="CW239" s="5">
        <v>0.9043682878485978</v>
      </c>
      <c r="CX239" s="5">
        <v>1.9353481359959994</v>
      </c>
    </row>
    <row r="240" spans="1:102" x14ac:dyDescent="0.25">
      <c r="A240" s="5">
        <v>28</v>
      </c>
      <c r="B240" s="23">
        <v>41402.55422150463</v>
      </c>
      <c r="C240" s="5">
        <v>8</v>
      </c>
      <c r="D240" s="5">
        <v>26</v>
      </c>
      <c r="E240" s="5">
        <v>686</v>
      </c>
      <c r="F240" s="5">
        <v>686</v>
      </c>
      <c r="G240" s="5">
        <v>686</v>
      </c>
      <c r="H240" s="5">
        <v>91.7</v>
      </c>
      <c r="I240" s="5">
        <v>91.7</v>
      </c>
      <c r="J240" s="5">
        <v>1800</v>
      </c>
      <c r="K240" s="5">
        <v>29</v>
      </c>
      <c r="L240" s="5">
        <v>29</v>
      </c>
      <c r="M240" s="5">
        <v>0.22</v>
      </c>
      <c r="N240" s="5">
        <v>0.219941</v>
      </c>
      <c r="O240" s="5">
        <v>1</v>
      </c>
      <c r="P240" s="5">
        <v>1.069493</v>
      </c>
      <c r="Q240" s="5">
        <v>-0.97</v>
      </c>
      <c r="R240" s="5">
        <v>-0.96679700000000002</v>
      </c>
      <c r="S240" s="5">
        <v>182.82</v>
      </c>
      <c r="T240" s="5">
        <v>182.8125</v>
      </c>
      <c r="U240" s="5">
        <v>3.5</v>
      </c>
      <c r="V240" s="5">
        <v>3.5</v>
      </c>
      <c r="W240" s="5">
        <v>300</v>
      </c>
      <c r="X240" s="5">
        <v>300</v>
      </c>
      <c r="Y240" s="5">
        <v>0</v>
      </c>
      <c r="Z240" s="5">
        <v>0</v>
      </c>
      <c r="AA240" s="5">
        <v>300</v>
      </c>
      <c r="AB240" s="5">
        <v>300</v>
      </c>
      <c r="AC240" s="5">
        <v>0</v>
      </c>
      <c r="AD240" s="5">
        <v>144.91820000000001</v>
      </c>
      <c r="AE240" s="5">
        <v>0</v>
      </c>
      <c r="AF240" s="5">
        <v>142.54249999999999</v>
      </c>
      <c r="AG240" s="5">
        <v>35</v>
      </c>
      <c r="AH240" s="5">
        <v>0.2</v>
      </c>
      <c r="AI240" s="5">
        <v>84.06</v>
      </c>
      <c r="AJ240" s="5">
        <v>114.18</v>
      </c>
      <c r="AK240" s="5">
        <v>145.06</v>
      </c>
      <c r="AL240" s="5">
        <v>146.80000000000001</v>
      </c>
      <c r="AM240" s="5">
        <v>581.13</v>
      </c>
      <c r="AN240" s="5">
        <v>219.9091</v>
      </c>
      <c r="AO240" s="5">
        <v>119.41</v>
      </c>
      <c r="AP240" s="5">
        <v>133.65</v>
      </c>
      <c r="AQ240" s="5">
        <v>137.03</v>
      </c>
      <c r="AR240" s="5">
        <v>657.68</v>
      </c>
      <c r="AS240" s="5">
        <v>25.65</v>
      </c>
      <c r="AT240" s="5">
        <v>62.78</v>
      </c>
      <c r="AU240" s="5">
        <v>105.14</v>
      </c>
      <c r="AV240" s="5">
        <v>117.51</v>
      </c>
      <c r="AW240" s="5">
        <v>0.26400000000000001</v>
      </c>
      <c r="AX240" s="5">
        <v>3.75</v>
      </c>
      <c r="AY240" s="5">
        <v>10000000000</v>
      </c>
      <c r="AZ240" s="5">
        <v>106.27</v>
      </c>
      <c r="BA240" s="5">
        <v>19.2</v>
      </c>
      <c r="BB240" s="5">
        <v>9.27</v>
      </c>
      <c r="BC240" s="5">
        <v>1.2</v>
      </c>
      <c r="BD240" s="5">
        <v>7.83</v>
      </c>
      <c r="BE240" s="5">
        <v>2.88</v>
      </c>
      <c r="BF240" s="5">
        <v>441.88</v>
      </c>
      <c r="BG240" s="5">
        <v>12.97</v>
      </c>
      <c r="BH240" s="5">
        <v>10000000000</v>
      </c>
      <c r="BI240" s="5">
        <v>219</v>
      </c>
      <c r="BJ240" s="5">
        <v>23.2</v>
      </c>
      <c r="BK240" s="5">
        <v>84.7</v>
      </c>
      <c r="BL240" s="5">
        <v>98</v>
      </c>
      <c r="BM240" s="5">
        <v>2.36</v>
      </c>
      <c r="BN240" s="5">
        <v>30.06</v>
      </c>
      <c r="BO240" s="5">
        <v>37.4</v>
      </c>
      <c r="BP240" s="5">
        <v>685.9</v>
      </c>
      <c r="BQ240" s="5">
        <v>63.422190000000001</v>
      </c>
      <c r="BR240" s="5">
        <v>243.78540000000001</v>
      </c>
      <c r="BS240" s="5">
        <v>43.289349999999999</v>
      </c>
      <c r="BT240" s="5">
        <v>38.86636</v>
      </c>
      <c r="BU240" s="5">
        <v>38.474919999999997</v>
      </c>
      <c r="BV240" s="5">
        <v>9.7586999999999993E-2</v>
      </c>
      <c r="BW240" s="5">
        <v>9.6727999999999995E-2</v>
      </c>
      <c r="BX240" s="5">
        <v>98.691249999999997</v>
      </c>
      <c r="BY240" s="5">
        <v>18.995360000000002</v>
      </c>
      <c r="BZ240" s="5">
        <v>0</v>
      </c>
      <c r="CA240" s="5">
        <v>0.92339300000000002</v>
      </c>
      <c r="CB240" s="5">
        <v>792.84479999999996</v>
      </c>
      <c r="CC240" s="5">
        <v>819.87459999999999</v>
      </c>
      <c r="CD240" s="5">
        <v>102.1728</v>
      </c>
      <c r="CE240" s="5">
        <v>525.26</v>
      </c>
      <c r="CF240" s="5">
        <v>87.94</v>
      </c>
      <c r="CG240" s="5">
        <v>101.12</v>
      </c>
      <c r="CH240" s="5">
        <v>475.39</v>
      </c>
      <c r="CI240" s="5">
        <v>497.7</v>
      </c>
      <c r="CJ240" s="5">
        <v>512.92999999999995</v>
      </c>
      <c r="CK240" s="5">
        <v>544.35</v>
      </c>
      <c r="CL240" s="5">
        <v>534.37</v>
      </c>
      <c r="CM240" s="5">
        <v>534.35</v>
      </c>
      <c r="CN240" s="5">
        <v>443.86</v>
      </c>
      <c r="CO240" s="5">
        <v>28.62</v>
      </c>
      <c r="CP240" s="5">
        <v>684.1</v>
      </c>
      <c r="CQ240" s="5">
        <v>686.04</v>
      </c>
      <c r="CR240" s="5">
        <v>12.3</v>
      </c>
      <c r="CS240" s="5">
        <v>12.3</v>
      </c>
      <c r="CT240" s="5">
        <v>24.21</v>
      </c>
      <c r="CU240" s="5">
        <v>52.32</v>
      </c>
      <c r="CV240" s="5">
        <v>99.46</v>
      </c>
      <c r="CW240" s="5">
        <v>0.90640909527016122</v>
      </c>
      <c r="CX240" s="5">
        <v>2.6104581943780643</v>
      </c>
    </row>
    <row r="241" spans="1:102" x14ac:dyDescent="0.25">
      <c r="A241" s="5">
        <v>18</v>
      </c>
      <c r="B241" s="23">
        <v>41402.493162395833</v>
      </c>
      <c r="C241" s="5">
        <v>8</v>
      </c>
      <c r="D241" s="5">
        <v>17</v>
      </c>
      <c r="E241" s="5">
        <v>657</v>
      </c>
      <c r="F241" s="5">
        <v>657</v>
      </c>
      <c r="G241" s="5">
        <v>657</v>
      </c>
      <c r="H241" s="5">
        <v>91.7</v>
      </c>
      <c r="I241" s="5">
        <v>91.7</v>
      </c>
      <c r="J241" s="5">
        <v>1800</v>
      </c>
      <c r="K241" s="5">
        <v>51</v>
      </c>
      <c r="L241" s="5">
        <v>51</v>
      </c>
      <c r="M241" s="5">
        <v>0.31</v>
      </c>
      <c r="N241" s="5">
        <v>0.31003399999999998</v>
      </c>
      <c r="O241" s="5">
        <v>1</v>
      </c>
      <c r="P241" s="5">
        <v>1.069531</v>
      </c>
      <c r="Q241" s="5">
        <v>-1.86</v>
      </c>
      <c r="R241" s="5">
        <v>-1.856689</v>
      </c>
      <c r="S241" s="5">
        <v>183.02</v>
      </c>
      <c r="T241" s="5">
        <v>183.01560000000001</v>
      </c>
      <c r="U241" s="5">
        <v>3.5</v>
      </c>
      <c r="V241" s="5">
        <v>3.5</v>
      </c>
      <c r="W241" s="5">
        <v>300</v>
      </c>
      <c r="X241" s="5">
        <v>300</v>
      </c>
      <c r="Y241" s="5">
        <v>0</v>
      </c>
      <c r="Z241" s="5">
        <v>0</v>
      </c>
      <c r="AA241" s="5">
        <v>300</v>
      </c>
      <c r="AB241" s="5">
        <v>300</v>
      </c>
      <c r="AC241" s="5">
        <v>0</v>
      </c>
      <c r="AD241" s="5">
        <v>164.9093</v>
      </c>
      <c r="AE241" s="5">
        <v>0</v>
      </c>
      <c r="AF241" s="5">
        <v>142.5352</v>
      </c>
      <c r="AG241" s="5">
        <v>35</v>
      </c>
      <c r="AH241" s="5">
        <v>0.2</v>
      </c>
      <c r="AI241" s="5">
        <v>94.46</v>
      </c>
      <c r="AJ241" s="5">
        <v>121.91</v>
      </c>
      <c r="AK241" s="5">
        <v>208.09</v>
      </c>
      <c r="AL241" s="5">
        <v>206.52</v>
      </c>
      <c r="AM241" s="5">
        <v>544.54999999999995</v>
      </c>
      <c r="AN241" s="5">
        <v>255.72149999999999</v>
      </c>
      <c r="AO241" s="5">
        <v>156.76</v>
      </c>
      <c r="AP241" s="5">
        <v>155.07</v>
      </c>
      <c r="AQ241" s="5">
        <v>173.5</v>
      </c>
      <c r="AR241" s="5">
        <v>637.04</v>
      </c>
      <c r="AS241" s="5">
        <v>51.32</v>
      </c>
      <c r="AT241" s="5">
        <v>78.55</v>
      </c>
      <c r="AU241" s="5">
        <v>136.19999999999999</v>
      </c>
      <c r="AV241" s="5">
        <v>116.52</v>
      </c>
      <c r="AW241" s="5">
        <v>0.85899999999999999</v>
      </c>
      <c r="AX241" s="5">
        <v>14.68</v>
      </c>
      <c r="AY241" s="5">
        <v>10000000000</v>
      </c>
      <c r="AZ241" s="5">
        <v>165.88</v>
      </c>
      <c r="BA241" s="5">
        <v>18.79</v>
      </c>
      <c r="BB241" s="5">
        <v>9.33</v>
      </c>
      <c r="BC241" s="5">
        <v>2.33</v>
      </c>
      <c r="BD241" s="5">
        <v>7.58</v>
      </c>
      <c r="BE241" s="5">
        <v>1.06</v>
      </c>
      <c r="BF241" s="5">
        <v>161.31</v>
      </c>
      <c r="BG241" s="5">
        <v>25.03</v>
      </c>
      <c r="BH241" s="5">
        <v>10000000000</v>
      </c>
      <c r="BI241" s="5">
        <v>226.3</v>
      </c>
      <c r="BJ241" s="5">
        <v>22.7</v>
      </c>
      <c r="BK241" s="5">
        <v>82.3</v>
      </c>
      <c r="BL241" s="5">
        <v>212.68</v>
      </c>
      <c r="BM241" s="5">
        <v>2.73</v>
      </c>
      <c r="BN241" s="5">
        <v>31.12</v>
      </c>
      <c r="BO241" s="5">
        <v>37.57</v>
      </c>
      <c r="BP241" s="5">
        <v>665.13</v>
      </c>
      <c r="BQ241" s="5">
        <v>76.488849999999999</v>
      </c>
      <c r="BR241" s="5">
        <v>297.21350000000001</v>
      </c>
      <c r="BS241" s="5">
        <v>43.416670000000003</v>
      </c>
      <c r="BT241" s="5">
        <v>44.308439999999997</v>
      </c>
      <c r="BU241" s="5">
        <v>43.577919999999999</v>
      </c>
      <c r="BV241" s="5">
        <v>9.7846000000000002E-2</v>
      </c>
      <c r="BW241" s="5">
        <v>9.3784999999999993E-2</v>
      </c>
      <c r="BX241" s="5">
        <v>97.536349999999999</v>
      </c>
      <c r="BY241" s="5">
        <v>18.995360000000002</v>
      </c>
      <c r="BZ241" s="5">
        <v>0</v>
      </c>
      <c r="CA241" s="5">
        <v>0.92386000000000001</v>
      </c>
      <c r="CB241" s="5">
        <v>887.99080000000004</v>
      </c>
      <c r="CC241" s="5">
        <v>914.71460000000002</v>
      </c>
      <c r="CD241" s="5">
        <v>101.0056</v>
      </c>
      <c r="CE241" s="5">
        <v>535.45000000000005</v>
      </c>
      <c r="CF241" s="5">
        <v>111.23</v>
      </c>
      <c r="CG241" s="5">
        <v>132.19999999999999</v>
      </c>
      <c r="CH241" s="5">
        <v>461.43</v>
      </c>
      <c r="CI241" s="5">
        <v>480.17</v>
      </c>
      <c r="CJ241" s="5">
        <v>494.71</v>
      </c>
      <c r="CK241" s="5">
        <v>520.91999999999996</v>
      </c>
      <c r="CL241" s="5">
        <v>524.94000000000005</v>
      </c>
      <c r="CM241" s="5">
        <v>521.91</v>
      </c>
      <c r="CN241" s="5">
        <v>385.07</v>
      </c>
      <c r="CO241" s="5">
        <v>28.52</v>
      </c>
      <c r="CP241" s="5">
        <v>655</v>
      </c>
      <c r="CQ241" s="5">
        <v>657.05</v>
      </c>
      <c r="CR241" s="5">
        <v>11.7</v>
      </c>
      <c r="CS241" s="5">
        <v>11.8</v>
      </c>
      <c r="CT241" s="5">
        <v>23.71</v>
      </c>
      <c r="CU241" s="5">
        <v>64.89</v>
      </c>
      <c r="CV241" s="5">
        <v>99.49</v>
      </c>
      <c r="CW241" s="5">
        <v>0.92587554308491882</v>
      </c>
      <c r="CX241" s="5">
        <v>0.981428075670014</v>
      </c>
    </row>
    <row r="242" spans="1:102" x14ac:dyDescent="0.25">
      <c r="A242" s="5">
        <v>27</v>
      </c>
      <c r="B242" s="23">
        <v>41402.548797314812</v>
      </c>
      <c r="C242" s="5">
        <v>8</v>
      </c>
      <c r="D242" s="5">
        <v>25</v>
      </c>
      <c r="E242" s="5">
        <v>684</v>
      </c>
      <c r="F242" s="5">
        <v>684</v>
      </c>
      <c r="G242" s="5">
        <v>684.1</v>
      </c>
      <c r="H242" s="5">
        <v>91.7</v>
      </c>
      <c r="I242" s="5">
        <v>91.7</v>
      </c>
      <c r="J242" s="5">
        <v>1800</v>
      </c>
      <c r="K242" s="5">
        <v>40</v>
      </c>
      <c r="L242" s="5">
        <v>40</v>
      </c>
      <c r="M242" s="5">
        <v>0.17</v>
      </c>
      <c r="N242" s="5">
        <v>0.169985</v>
      </c>
      <c r="O242" s="5">
        <v>1</v>
      </c>
      <c r="P242" s="5">
        <v>1.0694889999999999</v>
      </c>
      <c r="Q242" s="5">
        <v>-1.03</v>
      </c>
      <c r="R242" s="5">
        <v>-1.032715</v>
      </c>
      <c r="S242" s="5">
        <v>182.83</v>
      </c>
      <c r="T242" s="5">
        <v>182.82810000000001</v>
      </c>
      <c r="U242" s="5">
        <v>3.5</v>
      </c>
      <c r="V242" s="5">
        <v>3.5</v>
      </c>
      <c r="W242" s="5">
        <v>300</v>
      </c>
      <c r="X242" s="5">
        <v>300</v>
      </c>
      <c r="Y242" s="5">
        <v>0</v>
      </c>
      <c r="Z242" s="5">
        <v>0</v>
      </c>
      <c r="AA242" s="5">
        <v>300</v>
      </c>
      <c r="AB242" s="5">
        <v>300</v>
      </c>
      <c r="AC242" s="5">
        <v>0</v>
      </c>
      <c r="AD242" s="5">
        <v>160.239</v>
      </c>
      <c r="AE242" s="5">
        <v>0</v>
      </c>
      <c r="AF242" s="5">
        <v>142.52010000000001</v>
      </c>
      <c r="AG242" s="5">
        <v>35</v>
      </c>
      <c r="AH242" s="5">
        <v>0.2</v>
      </c>
      <c r="AI242" s="5">
        <v>91.1</v>
      </c>
      <c r="AJ242" s="5">
        <v>121.34</v>
      </c>
      <c r="AK242" s="5">
        <v>185.13</v>
      </c>
      <c r="AL242" s="5">
        <v>186.4</v>
      </c>
      <c r="AM242" s="5">
        <v>546.04</v>
      </c>
      <c r="AN242" s="5">
        <v>241.1362</v>
      </c>
      <c r="AO242" s="5">
        <v>140.93</v>
      </c>
      <c r="AP242" s="5">
        <v>148.31</v>
      </c>
      <c r="AQ242" s="5">
        <v>159.65</v>
      </c>
      <c r="AR242" s="5">
        <v>698.29</v>
      </c>
      <c r="AS242" s="5">
        <v>44.2</v>
      </c>
      <c r="AT242" s="5">
        <v>64.150000000000006</v>
      </c>
      <c r="AU242" s="5">
        <v>109.09</v>
      </c>
      <c r="AV242" s="5">
        <v>110.91</v>
      </c>
      <c r="AW242" s="5">
        <v>0.17</v>
      </c>
      <c r="AX242" s="5">
        <v>2.35</v>
      </c>
      <c r="AY242" s="5">
        <v>10000000000</v>
      </c>
      <c r="AZ242" s="5">
        <v>64.400000000000006</v>
      </c>
      <c r="BA242" s="5">
        <v>18.47</v>
      </c>
      <c r="BB242" s="5">
        <v>8.57</v>
      </c>
      <c r="BC242" s="5">
        <v>1.24</v>
      </c>
      <c r="BD242" s="5">
        <v>8.73</v>
      </c>
      <c r="BE242" s="5">
        <v>2.88</v>
      </c>
      <c r="BF242" s="5">
        <v>410.03</v>
      </c>
      <c r="BG242" s="5">
        <v>14.49</v>
      </c>
      <c r="BH242" s="5">
        <v>10000000000</v>
      </c>
      <c r="BI242" s="5">
        <v>219.7</v>
      </c>
      <c r="BJ242" s="5">
        <v>24.6</v>
      </c>
      <c r="BK242" s="5">
        <v>83.5</v>
      </c>
      <c r="BL242" s="5">
        <v>118.31</v>
      </c>
      <c r="BM242" s="5">
        <v>2.58</v>
      </c>
      <c r="BN242" s="5">
        <v>30.12</v>
      </c>
      <c r="BO242" s="5">
        <v>36.93</v>
      </c>
      <c r="BP242" s="5">
        <v>726.53</v>
      </c>
      <c r="BQ242" s="5">
        <v>64.595569999999995</v>
      </c>
      <c r="BR242" s="5">
        <v>282.81599999999997</v>
      </c>
      <c r="BS242" s="5">
        <v>43.304020000000001</v>
      </c>
      <c r="BT242" s="5">
        <v>42.733199999999997</v>
      </c>
      <c r="BU242" s="5">
        <v>42.106769999999997</v>
      </c>
      <c r="BV242" s="5">
        <v>9.7628000000000006E-2</v>
      </c>
      <c r="BW242" s="5">
        <v>9.4846E-2</v>
      </c>
      <c r="BX242" s="5">
        <v>98.547809999999998</v>
      </c>
      <c r="BY242" s="5">
        <v>18.995360000000002</v>
      </c>
      <c r="BZ242" s="5">
        <v>0</v>
      </c>
      <c r="CA242" s="5">
        <v>0.92344199999999999</v>
      </c>
      <c r="CB242" s="5">
        <v>866.51459999999997</v>
      </c>
      <c r="CC242" s="5">
        <v>893.51080000000002</v>
      </c>
      <c r="CD242" s="5">
        <v>102.0275</v>
      </c>
      <c r="CE242" s="5">
        <v>514.86</v>
      </c>
      <c r="CF242" s="5">
        <v>90.77</v>
      </c>
      <c r="CG242" s="5">
        <v>104.89</v>
      </c>
      <c r="CH242" s="5">
        <v>457.11</v>
      </c>
      <c r="CI242" s="5">
        <v>476.44</v>
      </c>
      <c r="CJ242" s="5">
        <v>493</v>
      </c>
      <c r="CK242" s="5">
        <v>514.79999999999995</v>
      </c>
      <c r="CL242" s="5">
        <v>516.16999999999996</v>
      </c>
      <c r="CM242" s="5">
        <v>514.69000000000005</v>
      </c>
      <c r="CN242" s="5">
        <v>399.27</v>
      </c>
      <c r="CO242" s="5">
        <v>28.59</v>
      </c>
      <c r="CP242" s="5">
        <v>682.1</v>
      </c>
      <c r="CQ242" s="5">
        <v>684.05</v>
      </c>
      <c r="CR242" s="5">
        <v>12.2</v>
      </c>
      <c r="CS242" s="5">
        <v>12.3</v>
      </c>
      <c r="CT242" s="5">
        <v>24.18</v>
      </c>
      <c r="CU242" s="5">
        <v>52.57</v>
      </c>
      <c r="CV242" s="5">
        <v>99.47</v>
      </c>
      <c r="CW242" s="5">
        <v>0.90993859430072566</v>
      </c>
      <c r="CX242" s="5">
        <v>2.6206231515860896</v>
      </c>
    </row>
    <row r="243" spans="1:102" x14ac:dyDescent="0.25">
      <c r="A243" s="5">
        <v>42</v>
      </c>
      <c r="B243" s="23">
        <v>41402.659509074074</v>
      </c>
      <c r="C243" s="5">
        <v>8</v>
      </c>
      <c r="D243" s="5">
        <v>38</v>
      </c>
      <c r="E243" s="5">
        <v>730</v>
      </c>
      <c r="F243" s="5">
        <v>730</v>
      </c>
      <c r="G243" s="5">
        <v>730.1</v>
      </c>
      <c r="H243" s="5">
        <v>91.7</v>
      </c>
      <c r="I243" s="5">
        <v>91.7</v>
      </c>
      <c r="J243" s="5">
        <v>1800</v>
      </c>
      <c r="K243" s="5">
        <v>46</v>
      </c>
      <c r="L243" s="5">
        <v>46</v>
      </c>
      <c r="M243" s="5">
        <v>0.1</v>
      </c>
      <c r="N243" s="5">
        <v>9.9984000000000003E-2</v>
      </c>
      <c r="O243" s="5">
        <v>1</v>
      </c>
      <c r="P243" s="5">
        <v>1.069423</v>
      </c>
      <c r="Q243" s="5">
        <v>0.5</v>
      </c>
      <c r="R243" s="5">
        <v>0.50537100000000001</v>
      </c>
      <c r="S243" s="5">
        <v>183.7</v>
      </c>
      <c r="T243" s="5">
        <v>183.70310000000001</v>
      </c>
      <c r="U243" s="5">
        <v>3.5</v>
      </c>
      <c r="V243" s="5">
        <v>3.5</v>
      </c>
      <c r="W243" s="5">
        <v>300</v>
      </c>
      <c r="X243" s="5">
        <v>300</v>
      </c>
      <c r="Y243" s="5">
        <v>0</v>
      </c>
      <c r="Z243" s="5">
        <v>0</v>
      </c>
      <c r="AA243" s="5">
        <v>300</v>
      </c>
      <c r="AB243" s="5">
        <v>300</v>
      </c>
      <c r="AC243" s="5">
        <v>0</v>
      </c>
      <c r="AD243" s="5">
        <v>181.1808</v>
      </c>
      <c r="AE243" s="5">
        <v>0</v>
      </c>
      <c r="AF243" s="5">
        <v>142.51130000000001</v>
      </c>
      <c r="AG243" s="5">
        <v>35</v>
      </c>
      <c r="AH243" s="5">
        <v>0.2</v>
      </c>
      <c r="AI243" s="5">
        <v>101.47</v>
      </c>
      <c r="AJ243" s="5">
        <v>134.03</v>
      </c>
      <c r="AK243" s="5">
        <v>251.02</v>
      </c>
      <c r="AL243" s="5">
        <v>252.46</v>
      </c>
      <c r="AM243" s="5">
        <v>527.58000000000004</v>
      </c>
      <c r="AN243" s="5">
        <v>268.42219999999998</v>
      </c>
      <c r="AO243" s="5">
        <v>169.06</v>
      </c>
      <c r="AP243" s="5">
        <v>173.11</v>
      </c>
      <c r="AQ243" s="5">
        <v>190.57</v>
      </c>
      <c r="AR243" s="5">
        <v>812.5</v>
      </c>
      <c r="AS243" s="5">
        <v>81.96</v>
      </c>
      <c r="AT243" s="5">
        <v>61.86</v>
      </c>
      <c r="AU243" s="5">
        <v>104.86</v>
      </c>
      <c r="AV243" s="5">
        <v>113.5</v>
      </c>
      <c r="AW243" s="5">
        <v>7.0000000000000007E-2</v>
      </c>
      <c r="AX243" s="5">
        <v>0.94</v>
      </c>
      <c r="AY243" s="5">
        <v>10000000000</v>
      </c>
      <c r="AZ243" s="5">
        <v>29.37</v>
      </c>
      <c r="BA243" s="5">
        <v>14.81</v>
      </c>
      <c r="BB243" s="5">
        <v>7.92</v>
      </c>
      <c r="BC243" s="5">
        <v>0.92</v>
      </c>
      <c r="BD243" s="5">
        <v>9.64</v>
      </c>
      <c r="BE243" s="5">
        <v>4.5199999999999996</v>
      </c>
      <c r="BF243" s="5">
        <v>582.09</v>
      </c>
      <c r="BG243" s="5">
        <v>11.55</v>
      </c>
      <c r="BH243" s="5">
        <v>10000000000</v>
      </c>
      <c r="BI243" s="5">
        <v>219.4</v>
      </c>
      <c r="BJ243" s="5">
        <v>26.9</v>
      </c>
      <c r="BK243" s="5">
        <v>84.5</v>
      </c>
      <c r="BL243" s="5">
        <v>106.24</v>
      </c>
      <c r="BM243" s="5">
        <v>2.87</v>
      </c>
      <c r="BN243" s="5">
        <v>29.81</v>
      </c>
      <c r="BO243" s="5">
        <v>36.270000000000003</v>
      </c>
      <c r="BP243" s="5">
        <v>843.56</v>
      </c>
      <c r="BQ243" s="5">
        <v>62.458799999999997</v>
      </c>
      <c r="BR243" s="5">
        <v>351.49599999999998</v>
      </c>
      <c r="BS243" s="5">
        <v>42.578800000000001</v>
      </c>
      <c r="BT243" s="5">
        <v>44.99624</v>
      </c>
      <c r="BU243" s="5">
        <v>44.19547</v>
      </c>
      <c r="BV243" s="5">
        <v>9.6123E-2</v>
      </c>
      <c r="BW243" s="5">
        <v>9.0893000000000002E-2</v>
      </c>
      <c r="BX243" s="5">
        <v>105.2884</v>
      </c>
      <c r="BY243" s="5">
        <v>18.995360000000002</v>
      </c>
      <c r="BZ243" s="5">
        <v>0</v>
      </c>
      <c r="CA243" s="5">
        <v>0.92071599999999998</v>
      </c>
      <c r="CB243" s="5">
        <v>967.85789999999997</v>
      </c>
      <c r="CC243" s="5">
        <v>996.6508</v>
      </c>
      <c r="CD243" s="5">
        <v>108.7884</v>
      </c>
      <c r="CE243" s="5">
        <v>495.88</v>
      </c>
      <c r="CF243" s="5">
        <v>86.38</v>
      </c>
      <c r="CG243" s="5">
        <v>99.41</v>
      </c>
      <c r="CH243" s="5">
        <v>457.59</v>
      </c>
      <c r="CI243" s="5">
        <v>474.05</v>
      </c>
      <c r="CJ243" s="5">
        <v>491.57</v>
      </c>
      <c r="CK243" s="5">
        <v>506.15</v>
      </c>
      <c r="CL243" s="5">
        <v>510.49</v>
      </c>
      <c r="CM243" s="5">
        <v>510.09</v>
      </c>
      <c r="CN243" s="5">
        <v>363.18</v>
      </c>
      <c r="CO243" s="5">
        <v>29.48</v>
      </c>
      <c r="CP243" s="5">
        <v>728.3</v>
      </c>
      <c r="CQ243" s="5">
        <v>730.05</v>
      </c>
      <c r="CR243" s="5">
        <v>13</v>
      </c>
      <c r="CS243" s="5">
        <v>13.1</v>
      </c>
      <c r="CT243" s="5">
        <v>24.71</v>
      </c>
      <c r="CU243" s="5">
        <v>41</v>
      </c>
      <c r="CV243" s="5">
        <v>99.42</v>
      </c>
      <c r="CW243" s="5">
        <v>0.89462484806245191</v>
      </c>
      <c r="CX243" s="5">
        <v>4.0437043132422819</v>
      </c>
    </row>
    <row r="244" spans="1:102" x14ac:dyDescent="0.25">
      <c r="A244" s="5">
        <v>35</v>
      </c>
      <c r="B244" s="23">
        <v>41402.592205775465</v>
      </c>
      <c r="C244" s="5">
        <v>8</v>
      </c>
      <c r="D244" s="5">
        <v>33</v>
      </c>
      <c r="E244" s="5">
        <v>715</v>
      </c>
      <c r="F244" s="5">
        <v>715</v>
      </c>
      <c r="G244" s="5">
        <v>715</v>
      </c>
      <c r="H244" s="5">
        <v>91.7</v>
      </c>
      <c r="I244" s="5">
        <v>91.7</v>
      </c>
      <c r="J244" s="5">
        <v>1800</v>
      </c>
      <c r="K244" s="5">
        <v>20</v>
      </c>
      <c r="L244" s="5">
        <v>20</v>
      </c>
      <c r="M244" s="5">
        <v>0.25</v>
      </c>
      <c r="N244" s="5">
        <v>0.25000499999999998</v>
      </c>
      <c r="O244" s="5">
        <v>1</v>
      </c>
      <c r="P244" s="5">
        <v>1.0693950000000001</v>
      </c>
      <c r="Q244" s="5">
        <v>-0.02</v>
      </c>
      <c r="R244" s="5">
        <v>-2.1972999999999999E-2</v>
      </c>
      <c r="S244" s="5">
        <v>183.21</v>
      </c>
      <c r="T244" s="5">
        <v>183.20310000000001</v>
      </c>
      <c r="U244" s="5">
        <v>3.5</v>
      </c>
      <c r="V244" s="5">
        <v>3.5</v>
      </c>
      <c r="W244" s="5">
        <v>300</v>
      </c>
      <c r="X244" s="5">
        <v>300</v>
      </c>
      <c r="Y244" s="5">
        <v>0</v>
      </c>
      <c r="Z244" s="5">
        <v>0</v>
      </c>
      <c r="AA244" s="5">
        <v>300</v>
      </c>
      <c r="AB244" s="5">
        <v>300</v>
      </c>
      <c r="AC244" s="5">
        <v>0</v>
      </c>
      <c r="AD244" s="5">
        <v>135.81720000000001</v>
      </c>
      <c r="AE244" s="5">
        <v>0</v>
      </c>
      <c r="AF244" s="5">
        <v>135.81720000000001</v>
      </c>
      <c r="AG244" s="5">
        <v>35</v>
      </c>
      <c r="AH244" s="5">
        <v>0.2</v>
      </c>
      <c r="AI244" s="5">
        <v>79.36</v>
      </c>
      <c r="AJ244" s="5">
        <v>109.91</v>
      </c>
      <c r="AK244" s="5">
        <v>123.45</v>
      </c>
      <c r="AL244" s="5">
        <v>125.78</v>
      </c>
      <c r="AM244" s="5">
        <v>620.4</v>
      </c>
      <c r="AN244" s="5">
        <v>206.2353</v>
      </c>
      <c r="AO244" s="5">
        <v>105.6</v>
      </c>
      <c r="AP244" s="5">
        <v>125.17</v>
      </c>
      <c r="AQ244" s="5">
        <v>122.53</v>
      </c>
      <c r="AR244" s="5">
        <v>623.72</v>
      </c>
      <c r="AS244" s="5">
        <v>17.850000000000001</v>
      </c>
      <c r="AT244" s="5">
        <v>61.96</v>
      </c>
      <c r="AU244" s="5">
        <v>102.44</v>
      </c>
      <c r="AV244" s="5">
        <v>114.28</v>
      </c>
      <c r="AW244" s="5">
        <v>10000000000</v>
      </c>
      <c r="AX244" s="5">
        <v>10000000000</v>
      </c>
      <c r="AY244" s="5">
        <v>10000000000</v>
      </c>
      <c r="AZ244" s="5">
        <v>210.17</v>
      </c>
      <c r="BA244" s="5">
        <v>17.309999999999999</v>
      </c>
      <c r="BB244" s="5">
        <v>10.11</v>
      </c>
      <c r="BC244" s="5">
        <v>1.17</v>
      </c>
      <c r="BD244" s="5">
        <v>6.58</v>
      </c>
      <c r="BE244" s="5">
        <v>2.94</v>
      </c>
      <c r="BF244" s="5">
        <v>504.21</v>
      </c>
      <c r="BG244" s="5">
        <v>11.58</v>
      </c>
      <c r="BH244" s="5">
        <v>10000000000</v>
      </c>
      <c r="BI244" s="5">
        <v>218.7</v>
      </c>
      <c r="BJ244" s="5">
        <v>21.2</v>
      </c>
      <c r="BK244" s="5">
        <v>84.2</v>
      </c>
      <c r="BL244" s="5">
        <v>81.67</v>
      </c>
      <c r="BM244" s="5">
        <v>2.21</v>
      </c>
      <c r="BN244" s="5">
        <v>30.04</v>
      </c>
      <c r="BO244" s="5">
        <v>38.18</v>
      </c>
      <c r="BP244" s="5">
        <v>653.15</v>
      </c>
      <c r="BQ244" s="5">
        <v>62.653390000000002</v>
      </c>
      <c r="BR244" s="5">
        <v>223.375</v>
      </c>
      <c r="BS244" s="5">
        <v>42.842619999999997</v>
      </c>
      <c r="BT244" s="5">
        <v>34.98312</v>
      </c>
      <c r="BU244" s="5">
        <v>34.727760000000004</v>
      </c>
      <c r="BV244" s="5">
        <v>9.6665000000000001E-2</v>
      </c>
      <c r="BW244" s="5">
        <v>9.8336000000000007E-2</v>
      </c>
      <c r="BX244" s="5">
        <v>102.8565</v>
      </c>
      <c r="BY244" s="5">
        <v>18.995360000000002</v>
      </c>
      <c r="BZ244" s="5">
        <v>0</v>
      </c>
      <c r="CA244" s="5">
        <v>0.92171000000000003</v>
      </c>
      <c r="CB244" s="5">
        <v>743.81849999999997</v>
      </c>
      <c r="CC244" s="5">
        <v>771.96040000000005</v>
      </c>
      <c r="CD244" s="5">
        <v>106.3565</v>
      </c>
      <c r="CE244" s="5">
        <v>547.07000000000005</v>
      </c>
      <c r="CF244" s="5">
        <v>86.88</v>
      </c>
      <c r="CG244" s="5">
        <v>99.11</v>
      </c>
      <c r="CH244" s="5">
        <v>504.43</v>
      </c>
      <c r="CI244" s="5">
        <v>530.30999999999995</v>
      </c>
      <c r="CJ244" s="5">
        <v>546.27</v>
      </c>
      <c r="CK244" s="5">
        <v>576.42999999999995</v>
      </c>
      <c r="CL244" s="5">
        <v>565</v>
      </c>
      <c r="CM244" s="5">
        <v>567.04</v>
      </c>
      <c r="CN244" s="5">
        <v>490.13</v>
      </c>
      <c r="CO244" s="5">
        <v>29.22</v>
      </c>
      <c r="CP244" s="5">
        <v>713.3</v>
      </c>
      <c r="CQ244" s="5">
        <v>715.05</v>
      </c>
      <c r="CR244" s="5">
        <v>12.8</v>
      </c>
      <c r="CS244" s="5">
        <v>12.8</v>
      </c>
      <c r="CT244" s="5">
        <v>24.59</v>
      </c>
      <c r="CU244" s="5">
        <v>47.73</v>
      </c>
      <c r="CV244" s="5">
        <v>99.46</v>
      </c>
      <c r="CW244" s="5">
        <v>0.89551154342460515</v>
      </c>
      <c r="CX244" s="5">
        <v>2.632803937668339</v>
      </c>
    </row>
    <row r="245" spans="1:102" x14ac:dyDescent="0.25">
      <c r="A245" s="5">
        <v>41</v>
      </c>
      <c r="B245" s="23">
        <v>41402.654089976852</v>
      </c>
      <c r="C245" s="5">
        <v>8</v>
      </c>
      <c r="D245" s="5">
        <v>37</v>
      </c>
      <c r="E245" s="5">
        <v>725</v>
      </c>
      <c r="F245" s="5">
        <v>725</v>
      </c>
      <c r="G245" s="5">
        <v>725</v>
      </c>
      <c r="H245" s="5">
        <v>91.7</v>
      </c>
      <c r="I245" s="5">
        <v>91.7</v>
      </c>
      <c r="J245" s="5">
        <v>1800</v>
      </c>
      <c r="K245" s="5">
        <v>41</v>
      </c>
      <c r="L245" s="5">
        <v>41</v>
      </c>
      <c r="M245" s="5">
        <v>0.26</v>
      </c>
      <c r="N245" s="5">
        <v>0.259932</v>
      </c>
      <c r="O245" s="5">
        <v>1</v>
      </c>
      <c r="P245" s="5">
        <v>1.069404</v>
      </c>
      <c r="Q245" s="5">
        <v>0.32</v>
      </c>
      <c r="R245" s="5">
        <v>0.318604</v>
      </c>
      <c r="S245" s="5">
        <v>183.54</v>
      </c>
      <c r="T245" s="5">
        <v>183.54689999999999</v>
      </c>
      <c r="U245" s="5">
        <v>3.5</v>
      </c>
      <c r="V245" s="5">
        <v>3.5</v>
      </c>
      <c r="W245" s="5">
        <v>300</v>
      </c>
      <c r="X245" s="5">
        <v>300</v>
      </c>
      <c r="Y245" s="5">
        <v>0</v>
      </c>
      <c r="Z245" s="5">
        <v>0</v>
      </c>
      <c r="AA245" s="5">
        <v>300</v>
      </c>
      <c r="AB245" s="5">
        <v>300</v>
      </c>
      <c r="AC245" s="5">
        <v>0</v>
      </c>
      <c r="AD245" s="5">
        <v>162.184</v>
      </c>
      <c r="AE245" s="5">
        <v>0</v>
      </c>
      <c r="AF245" s="5">
        <v>142.55289999999999</v>
      </c>
      <c r="AG245" s="5">
        <v>35</v>
      </c>
      <c r="AH245" s="5">
        <v>0.2</v>
      </c>
      <c r="AI245" s="5">
        <v>93.17</v>
      </c>
      <c r="AJ245" s="5">
        <v>122.71</v>
      </c>
      <c r="AK245" s="5">
        <v>183.99</v>
      </c>
      <c r="AL245" s="5">
        <v>184.24</v>
      </c>
      <c r="AM245" s="5">
        <v>555.24</v>
      </c>
      <c r="AN245" s="5">
        <v>245.86429999999999</v>
      </c>
      <c r="AO245" s="5">
        <v>147.28</v>
      </c>
      <c r="AP245" s="5">
        <v>153.66</v>
      </c>
      <c r="AQ245" s="5">
        <v>165.58</v>
      </c>
      <c r="AR245" s="5">
        <v>684.79</v>
      </c>
      <c r="AS245" s="5">
        <v>36.69</v>
      </c>
      <c r="AT245" s="5">
        <v>68.02</v>
      </c>
      <c r="AU245" s="5">
        <v>117.19</v>
      </c>
      <c r="AV245" s="5">
        <v>113.51</v>
      </c>
      <c r="AW245" s="5">
        <v>0.30299999999999999</v>
      </c>
      <c r="AX245" s="5">
        <v>4.37</v>
      </c>
      <c r="AY245" s="5">
        <v>10000000000</v>
      </c>
      <c r="AZ245" s="5">
        <v>85.3</v>
      </c>
      <c r="BA245" s="5">
        <v>17.53</v>
      </c>
      <c r="BB245" s="5">
        <v>9.15</v>
      </c>
      <c r="BC245" s="5">
        <v>1.65</v>
      </c>
      <c r="BD245" s="5">
        <v>7.91</v>
      </c>
      <c r="BE245" s="5">
        <v>2.21</v>
      </c>
      <c r="BF245" s="5">
        <v>343.69</v>
      </c>
      <c r="BG245" s="5">
        <v>18.010000000000002</v>
      </c>
      <c r="BH245" s="5">
        <v>10000000000</v>
      </c>
      <c r="BI245" s="5">
        <v>216.4</v>
      </c>
      <c r="BJ245" s="5">
        <v>23.2</v>
      </c>
      <c r="BK245" s="5">
        <v>83.2</v>
      </c>
      <c r="BL245" s="5">
        <v>150.47</v>
      </c>
      <c r="BM245" s="5">
        <v>2.65</v>
      </c>
      <c r="BN245" s="5">
        <v>30.49</v>
      </c>
      <c r="BO245" s="5">
        <v>37.42</v>
      </c>
      <c r="BP245" s="5">
        <v>714.43</v>
      </c>
      <c r="BQ245" s="5">
        <v>67.825990000000004</v>
      </c>
      <c r="BR245" s="5">
        <v>278.33429999999998</v>
      </c>
      <c r="BS245" s="5">
        <v>42.811810000000001</v>
      </c>
      <c r="BT245" s="5">
        <v>41.24259</v>
      </c>
      <c r="BU245" s="5">
        <v>40.661610000000003</v>
      </c>
      <c r="BV245" s="5">
        <v>9.6603999999999995E-2</v>
      </c>
      <c r="BW245" s="5">
        <v>9.4888E-2</v>
      </c>
      <c r="BX245" s="5">
        <v>103.136</v>
      </c>
      <c r="BY245" s="5">
        <v>18.995360000000002</v>
      </c>
      <c r="BZ245" s="5">
        <v>0</v>
      </c>
      <c r="CA245" s="5">
        <v>0.92159100000000005</v>
      </c>
      <c r="CB245" s="5">
        <v>873.24879999999996</v>
      </c>
      <c r="CC245" s="5">
        <v>901.46209999999996</v>
      </c>
      <c r="CD245" s="5">
        <v>106.636</v>
      </c>
      <c r="CE245" s="5">
        <v>528.16999999999996</v>
      </c>
      <c r="CF245" s="5">
        <v>96.79</v>
      </c>
      <c r="CG245" s="5">
        <v>113.17</v>
      </c>
      <c r="CH245" s="5">
        <v>462.21</v>
      </c>
      <c r="CI245" s="5">
        <v>483.01</v>
      </c>
      <c r="CJ245" s="5">
        <v>499.11</v>
      </c>
      <c r="CK245" s="5">
        <v>523.70000000000005</v>
      </c>
      <c r="CL245" s="5">
        <v>521.01</v>
      </c>
      <c r="CM245" s="5">
        <v>521.01</v>
      </c>
      <c r="CN245" s="5">
        <v>403.48</v>
      </c>
      <c r="CO245" s="5">
        <v>29.53</v>
      </c>
      <c r="CP245" s="5">
        <v>723.6</v>
      </c>
      <c r="CQ245" s="5">
        <v>725.05</v>
      </c>
      <c r="CR245" s="5">
        <v>13</v>
      </c>
      <c r="CS245" s="5">
        <v>13</v>
      </c>
      <c r="CT245" s="5">
        <v>24.63</v>
      </c>
      <c r="CU245" s="5">
        <v>41.75</v>
      </c>
      <c r="CV245" s="5">
        <v>99.42</v>
      </c>
      <c r="CW245" s="5">
        <v>0.88820490399035135</v>
      </c>
      <c r="CX245" s="5">
        <v>1.9629328378186763</v>
      </c>
    </row>
    <row r="246" spans="1:102" x14ac:dyDescent="0.25">
      <c r="A246" s="5">
        <v>32</v>
      </c>
      <c r="B246" s="23">
        <v>41402.575937719907</v>
      </c>
      <c r="C246" s="5">
        <v>8</v>
      </c>
      <c r="D246" s="5">
        <v>30</v>
      </c>
      <c r="E246" s="5">
        <v>703</v>
      </c>
      <c r="F246" s="5">
        <v>703</v>
      </c>
      <c r="G246" s="5">
        <v>703</v>
      </c>
      <c r="H246" s="5">
        <v>91.7</v>
      </c>
      <c r="I246" s="5">
        <v>91.7</v>
      </c>
      <c r="J246" s="5">
        <v>1800</v>
      </c>
      <c r="K246" s="5">
        <v>14</v>
      </c>
      <c r="L246" s="5">
        <v>14</v>
      </c>
      <c r="M246" s="5">
        <v>0.2</v>
      </c>
      <c r="N246" s="5">
        <v>0.20000799999999999</v>
      </c>
      <c r="O246" s="5">
        <v>1</v>
      </c>
      <c r="P246" s="5">
        <v>1.0694889999999999</v>
      </c>
      <c r="Q246" s="5">
        <v>-0.44</v>
      </c>
      <c r="R246" s="5">
        <v>-0.43945299999999998</v>
      </c>
      <c r="S246" s="5">
        <v>182.82</v>
      </c>
      <c r="T246" s="5">
        <v>182.8125</v>
      </c>
      <c r="U246" s="5">
        <v>3.5</v>
      </c>
      <c r="V246" s="5">
        <v>3.5</v>
      </c>
      <c r="W246" s="5">
        <v>300</v>
      </c>
      <c r="X246" s="5">
        <v>300</v>
      </c>
      <c r="Y246" s="5">
        <v>0</v>
      </c>
      <c r="Z246" s="5">
        <v>0</v>
      </c>
      <c r="AA246" s="5">
        <v>300</v>
      </c>
      <c r="AB246" s="5">
        <v>300</v>
      </c>
      <c r="AC246" s="5">
        <v>0</v>
      </c>
      <c r="AD246" s="5">
        <v>129.46459999999999</v>
      </c>
      <c r="AE246" s="5">
        <v>0</v>
      </c>
      <c r="AF246" s="5">
        <v>129.46459999999999</v>
      </c>
      <c r="AG246" s="5">
        <v>35</v>
      </c>
      <c r="AH246" s="5">
        <v>0.2</v>
      </c>
      <c r="AI246" s="5">
        <v>75.92</v>
      </c>
      <c r="AJ246" s="5">
        <v>105.94</v>
      </c>
      <c r="AK246" s="5">
        <v>112.59</v>
      </c>
      <c r="AL246" s="5">
        <v>115.45</v>
      </c>
      <c r="AM246" s="5">
        <v>637.76</v>
      </c>
      <c r="AN246" s="5">
        <v>196.04750000000001</v>
      </c>
      <c r="AO246" s="5">
        <v>95.29</v>
      </c>
      <c r="AP246" s="5">
        <v>117.03</v>
      </c>
      <c r="AQ246" s="5">
        <v>111.95</v>
      </c>
      <c r="AR246" s="5">
        <v>609.97</v>
      </c>
      <c r="AS246" s="5">
        <v>17.29</v>
      </c>
      <c r="AT246" s="5">
        <v>60.51</v>
      </c>
      <c r="AU246" s="5">
        <v>100.01</v>
      </c>
      <c r="AV246" s="5">
        <v>111.78</v>
      </c>
      <c r="AW246" s="5">
        <v>0.49399999999999999</v>
      </c>
      <c r="AX246" s="5">
        <v>7.55</v>
      </c>
      <c r="AY246" s="5">
        <v>10000000000</v>
      </c>
      <c r="AZ246" s="5">
        <v>273.75</v>
      </c>
      <c r="BA246" s="5">
        <v>17.260000000000002</v>
      </c>
      <c r="BB246" s="5">
        <v>10.32</v>
      </c>
      <c r="BC246" s="5">
        <v>0.98</v>
      </c>
      <c r="BD246" s="5">
        <v>6.35</v>
      </c>
      <c r="BE246" s="5">
        <v>3.24</v>
      </c>
      <c r="BF246" s="5">
        <v>560.62</v>
      </c>
      <c r="BG246" s="5">
        <v>9.52</v>
      </c>
      <c r="BH246" s="5">
        <v>10000000000</v>
      </c>
      <c r="BI246" s="5">
        <v>221.2</v>
      </c>
      <c r="BJ246" s="5">
        <v>20.8</v>
      </c>
      <c r="BK246" s="5">
        <v>84.9</v>
      </c>
      <c r="BL246" s="5">
        <v>64.180000000000007</v>
      </c>
      <c r="BM246" s="5">
        <v>2.1</v>
      </c>
      <c r="BN246" s="5">
        <v>29.86</v>
      </c>
      <c r="BO246" s="5">
        <v>38.33</v>
      </c>
      <c r="BP246" s="5">
        <v>639.05999999999995</v>
      </c>
      <c r="BQ246" s="5">
        <v>61.359479999999998</v>
      </c>
      <c r="BR246" s="5">
        <v>214.23330000000001</v>
      </c>
      <c r="BS246" s="5">
        <v>42.91836</v>
      </c>
      <c r="BT246" s="5">
        <v>33.526850000000003</v>
      </c>
      <c r="BU246" s="5">
        <v>33.36589</v>
      </c>
      <c r="BV246" s="5">
        <v>9.6827999999999997E-2</v>
      </c>
      <c r="BW246" s="5">
        <v>9.9505999999999997E-2</v>
      </c>
      <c r="BX246" s="5">
        <v>102.13630000000001</v>
      </c>
      <c r="BY246" s="5">
        <v>18.995360000000002</v>
      </c>
      <c r="BZ246" s="5">
        <v>0</v>
      </c>
      <c r="CA246" s="5">
        <v>0.921987</v>
      </c>
      <c r="CB246" s="5">
        <v>710.1748</v>
      </c>
      <c r="CC246" s="5">
        <v>738.1309</v>
      </c>
      <c r="CD246" s="5">
        <v>105.6357</v>
      </c>
      <c r="CE246" s="5">
        <v>539.97</v>
      </c>
      <c r="CF246" s="5">
        <v>84.21</v>
      </c>
      <c r="CG246" s="5">
        <v>96.35</v>
      </c>
      <c r="CH246" s="5">
        <v>519.46</v>
      </c>
      <c r="CI246" s="5">
        <v>545.08000000000004</v>
      </c>
      <c r="CJ246" s="5">
        <v>559.30999999999995</v>
      </c>
      <c r="CK246" s="5">
        <v>587.6</v>
      </c>
      <c r="CL246" s="5">
        <v>582.5</v>
      </c>
      <c r="CM246" s="5">
        <v>577.67999999999995</v>
      </c>
      <c r="CN246" s="5">
        <v>513.54</v>
      </c>
      <c r="CO246" s="5">
        <v>28.33</v>
      </c>
      <c r="CP246" s="5">
        <v>700.7</v>
      </c>
      <c r="CQ246" s="5">
        <v>703.05</v>
      </c>
      <c r="CR246" s="5">
        <v>12.6</v>
      </c>
      <c r="CS246" s="5">
        <v>12.6</v>
      </c>
      <c r="CT246" s="5">
        <v>24.3</v>
      </c>
      <c r="CU246" s="5">
        <v>50.73</v>
      </c>
      <c r="CV246" s="5">
        <v>99.48</v>
      </c>
      <c r="CW246" s="5">
        <v>0.89820096619388501</v>
      </c>
      <c r="CX246" s="5">
        <v>2.9101711304681874</v>
      </c>
    </row>
    <row r="247" spans="1:102" x14ac:dyDescent="0.25">
      <c r="A247" s="5">
        <v>30</v>
      </c>
      <c r="B247" s="23">
        <v>41402.565093611112</v>
      </c>
      <c r="C247" s="5">
        <v>8</v>
      </c>
      <c r="D247" s="5">
        <v>28</v>
      </c>
      <c r="E247" s="5">
        <v>696</v>
      </c>
      <c r="F247" s="5">
        <v>696</v>
      </c>
      <c r="G247" s="5">
        <v>696.1</v>
      </c>
      <c r="H247" s="5">
        <v>91.7</v>
      </c>
      <c r="I247" s="5">
        <v>91.7</v>
      </c>
      <c r="J247" s="5">
        <v>1800</v>
      </c>
      <c r="K247" s="5">
        <v>38</v>
      </c>
      <c r="L247" s="5">
        <v>38</v>
      </c>
      <c r="M247" s="5">
        <v>0.11</v>
      </c>
      <c r="N247" s="5">
        <v>0.10996599999999999</v>
      </c>
      <c r="O247" s="5">
        <v>1</v>
      </c>
      <c r="P247" s="5">
        <v>1.0694980000000001</v>
      </c>
      <c r="Q247" s="5">
        <v>-0.66</v>
      </c>
      <c r="R247" s="5">
        <v>-0.65917999999999999</v>
      </c>
      <c r="S247" s="5">
        <v>182.75</v>
      </c>
      <c r="T247" s="5">
        <v>182.75</v>
      </c>
      <c r="U247" s="5">
        <v>3.5</v>
      </c>
      <c r="V247" s="5">
        <v>3.5</v>
      </c>
      <c r="W247" s="5">
        <v>300</v>
      </c>
      <c r="X247" s="5">
        <v>300</v>
      </c>
      <c r="Y247" s="5">
        <v>0</v>
      </c>
      <c r="Z247" s="5">
        <v>0</v>
      </c>
      <c r="AA247" s="5">
        <v>300</v>
      </c>
      <c r="AB247" s="5">
        <v>300</v>
      </c>
      <c r="AC247" s="5">
        <v>0</v>
      </c>
      <c r="AD247" s="5">
        <v>163.24590000000001</v>
      </c>
      <c r="AE247" s="5">
        <v>0</v>
      </c>
      <c r="AF247" s="5">
        <v>142.565</v>
      </c>
      <c r="AG247" s="5">
        <v>35</v>
      </c>
      <c r="AH247" s="5">
        <v>0.2</v>
      </c>
      <c r="AI247" s="5">
        <v>92.4</v>
      </c>
      <c r="AJ247" s="5">
        <v>124.07</v>
      </c>
      <c r="AK247" s="5">
        <v>193.85</v>
      </c>
      <c r="AL247" s="5">
        <v>196.12</v>
      </c>
      <c r="AM247" s="5">
        <v>546.01</v>
      </c>
      <c r="AN247" s="5">
        <v>243.17140000000001</v>
      </c>
      <c r="AO247" s="5">
        <v>142.66999999999999</v>
      </c>
      <c r="AP247" s="5">
        <v>150.63999999999999</v>
      </c>
      <c r="AQ247" s="5">
        <v>162.52000000000001</v>
      </c>
      <c r="AR247" s="5">
        <v>741.12</v>
      </c>
      <c r="AS247" s="5">
        <v>51.16</v>
      </c>
      <c r="AT247" s="5">
        <v>61.42</v>
      </c>
      <c r="AU247" s="5">
        <v>102.5</v>
      </c>
      <c r="AV247" s="5">
        <v>110.67</v>
      </c>
      <c r="AW247" s="5">
        <v>9.4E-2</v>
      </c>
      <c r="AX247" s="5">
        <v>1.27</v>
      </c>
      <c r="AY247" s="5">
        <v>10000000000</v>
      </c>
      <c r="AZ247" s="5">
        <v>42.4</v>
      </c>
      <c r="BA247" s="5">
        <v>17.48</v>
      </c>
      <c r="BB247" s="5">
        <v>8.2200000000000006</v>
      </c>
      <c r="BC247" s="5">
        <v>0.86</v>
      </c>
      <c r="BD247" s="5">
        <v>9.23</v>
      </c>
      <c r="BE247" s="5">
        <v>4.1399999999999997</v>
      </c>
      <c r="BF247" s="5">
        <v>561.85</v>
      </c>
      <c r="BG247" s="5">
        <v>10.47</v>
      </c>
      <c r="BH247" s="5">
        <v>10000000000</v>
      </c>
      <c r="BI247" s="5">
        <v>219.2</v>
      </c>
      <c r="BJ247" s="5">
        <v>25.7</v>
      </c>
      <c r="BK247" s="5">
        <v>84.3</v>
      </c>
      <c r="BL247" s="5">
        <v>86.56</v>
      </c>
      <c r="BM247" s="5">
        <v>2.59</v>
      </c>
      <c r="BN247" s="5">
        <v>29.77</v>
      </c>
      <c r="BO247" s="5">
        <v>36.6</v>
      </c>
      <c r="BP247" s="5">
        <v>769.19</v>
      </c>
      <c r="BQ247" s="5">
        <v>62.134219999999999</v>
      </c>
      <c r="BR247" s="5">
        <v>295.07299999999998</v>
      </c>
      <c r="BS247" s="5">
        <v>43.132289999999998</v>
      </c>
      <c r="BT247" s="5">
        <v>42.747070000000001</v>
      </c>
      <c r="BU247" s="5">
        <v>42.09966</v>
      </c>
      <c r="BV247" s="5">
        <v>9.7259999999999999E-2</v>
      </c>
      <c r="BW247" s="5">
        <v>9.4468999999999997E-2</v>
      </c>
      <c r="BX247" s="5">
        <v>100.15</v>
      </c>
      <c r="BY247" s="5">
        <v>18.995360000000002</v>
      </c>
      <c r="BZ247" s="5">
        <v>0</v>
      </c>
      <c r="CA247" s="5">
        <v>0.92279800000000001</v>
      </c>
      <c r="CB247" s="5">
        <v>879.47829999999999</v>
      </c>
      <c r="CC247" s="5">
        <v>906.90269999999998</v>
      </c>
      <c r="CD247" s="5">
        <v>103.65</v>
      </c>
      <c r="CE247" s="5">
        <v>492.34</v>
      </c>
      <c r="CF247" s="5">
        <v>84.36</v>
      </c>
      <c r="CG247" s="5">
        <v>97.34</v>
      </c>
      <c r="CH247" s="5">
        <v>457.26</v>
      </c>
      <c r="CI247" s="5">
        <v>477.77</v>
      </c>
      <c r="CJ247" s="5">
        <v>495.75</v>
      </c>
      <c r="CK247" s="5">
        <v>522.83000000000004</v>
      </c>
      <c r="CL247" s="5">
        <v>516.95000000000005</v>
      </c>
      <c r="CM247" s="5">
        <v>513.5</v>
      </c>
      <c r="CN247" s="5">
        <v>398.09</v>
      </c>
      <c r="CO247" s="5">
        <v>28.03</v>
      </c>
      <c r="CP247" s="5">
        <v>693.8</v>
      </c>
      <c r="CQ247" s="5">
        <v>696.06</v>
      </c>
      <c r="CR247" s="5">
        <v>12.4</v>
      </c>
      <c r="CS247" s="5">
        <v>12.5</v>
      </c>
      <c r="CT247" s="5">
        <v>23.51</v>
      </c>
      <c r="CU247" s="5">
        <v>52.59</v>
      </c>
      <c r="CV247" s="5">
        <v>99.47</v>
      </c>
      <c r="CW247" s="5">
        <v>0.90861608440429076</v>
      </c>
      <c r="CX247" s="5">
        <v>3.7616705894337636</v>
      </c>
    </row>
    <row r="248" spans="1:102" x14ac:dyDescent="0.25">
      <c r="A248" s="5">
        <v>11</v>
      </c>
      <c r="B248" s="23">
        <v>41402.452838761572</v>
      </c>
      <c r="C248" s="5">
        <v>8</v>
      </c>
      <c r="D248" s="5">
        <v>11</v>
      </c>
      <c r="E248" s="5">
        <v>638</v>
      </c>
      <c r="F248" s="5">
        <v>638</v>
      </c>
      <c r="G248" s="5">
        <v>638.1</v>
      </c>
      <c r="H248" s="5">
        <v>91.7</v>
      </c>
      <c r="I248" s="5">
        <v>91.7</v>
      </c>
      <c r="J248" s="5">
        <v>1800</v>
      </c>
      <c r="K248" s="5">
        <v>47</v>
      </c>
      <c r="L248" s="5">
        <v>47</v>
      </c>
      <c r="M248" s="5">
        <v>0.14000000000000001</v>
      </c>
      <c r="N248" s="5">
        <v>0.13994599999999999</v>
      </c>
      <c r="O248" s="5">
        <v>1</v>
      </c>
      <c r="P248" s="5">
        <v>1.0694349999999999</v>
      </c>
      <c r="Q248" s="5">
        <v>-2.46</v>
      </c>
      <c r="R248" s="5">
        <v>-2.4609380000000001</v>
      </c>
      <c r="S248" s="5">
        <v>183.15</v>
      </c>
      <c r="T248" s="5">
        <v>183.15629999999999</v>
      </c>
      <c r="U248" s="5">
        <v>3.5</v>
      </c>
      <c r="V248" s="5">
        <v>3.5</v>
      </c>
      <c r="W248" s="5">
        <v>300</v>
      </c>
      <c r="X248" s="5">
        <v>300</v>
      </c>
      <c r="Y248" s="5">
        <v>0</v>
      </c>
      <c r="Z248" s="5">
        <v>0</v>
      </c>
      <c r="AA248" s="5">
        <v>300</v>
      </c>
      <c r="AB248" s="5">
        <v>300</v>
      </c>
      <c r="AC248" s="5">
        <v>0</v>
      </c>
      <c r="AD248" s="5">
        <v>170.20320000000001</v>
      </c>
      <c r="AE248" s="5">
        <v>0</v>
      </c>
      <c r="AF248" s="5">
        <v>142.52799999999999</v>
      </c>
      <c r="AG248" s="5">
        <v>35</v>
      </c>
      <c r="AH248" s="5">
        <v>0.2</v>
      </c>
      <c r="AI248" s="5">
        <v>95.37</v>
      </c>
      <c r="AJ248" s="5">
        <v>125.32</v>
      </c>
      <c r="AK248" s="5">
        <v>219.6</v>
      </c>
      <c r="AL248" s="5">
        <v>220.62</v>
      </c>
      <c r="AM248" s="5">
        <v>517.57000000000005</v>
      </c>
      <c r="AN248" s="5">
        <v>254.101</v>
      </c>
      <c r="AO248" s="5">
        <v>154.22</v>
      </c>
      <c r="AP248" s="5">
        <v>154.35</v>
      </c>
      <c r="AQ248" s="5">
        <v>173.78</v>
      </c>
      <c r="AR248" s="5">
        <v>727.74</v>
      </c>
      <c r="AS248" s="5">
        <v>65.39</v>
      </c>
      <c r="AT248" s="5">
        <v>64.66</v>
      </c>
      <c r="AU248" s="5">
        <v>109.37</v>
      </c>
      <c r="AV248" s="5">
        <v>116.79</v>
      </c>
      <c r="AW248" s="5">
        <v>0.107</v>
      </c>
      <c r="AX248" s="5">
        <v>1.45</v>
      </c>
      <c r="AY248" s="5">
        <v>10000000000</v>
      </c>
      <c r="AZ248" s="5">
        <v>52.01</v>
      </c>
      <c r="BA248" s="5">
        <v>18.37</v>
      </c>
      <c r="BB248" s="5">
        <v>7.82</v>
      </c>
      <c r="BC248" s="5">
        <v>1.1599999999999999</v>
      </c>
      <c r="BD248" s="5">
        <v>9.66</v>
      </c>
      <c r="BE248" s="5">
        <v>2.86</v>
      </c>
      <c r="BF248" s="5">
        <v>359.32</v>
      </c>
      <c r="BG248" s="5">
        <v>14.84</v>
      </c>
      <c r="BH248" s="5">
        <v>10000000000</v>
      </c>
      <c r="BI248" s="5">
        <v>225.4</v>
      </c>
      <c r="BJ248" s="5">
        <v>26.8</v>
      </c>
      <c r="BK248" s="5">
        <v>83</v>
      </c>
      <c r="BL248" s="5">
        <v>126.78</v>
      </c>
      <c r="BM248" s="5">
        <v>2.72</v>
      </c>
      <c r="BN248" s="5">
        <v>30.06</v>
      </c>
      <c r="BO248" s="5">
        <v>36.299999999999997</v>
      </c>
      <c r="BP248" s="5">
        <v>754.37</v>
      </c>
      <c r="BQ248" s="5">
        <v>65.05386</v>
      </c>
      <c r="BR248" s="5">
        <v>317.25740000000002</v>
      </c>
      <c r="BS248" s="5">
        <v>43.983499999999999</v>
      </c>
      <c r="BT248" s="5">
        <v>47.518740000000001</v>
      </c>
      <c r="BU248" s="5">
        <v>46.61148</v>
      </c>
      <c r="BV248" s="5">
        <v>9.9523E-2</v>
      </c>
      <c r="BW248" s="5">
        <v>9.3023999999999996E-2</v>
      </c>
      <c r="BX248" s="5">
        <v>93.468540000000004</v>
      </c>
      <c r="BY248" s="5">
        <v>18.995360000000002</v>
      </c>
      <c r="BZ248" s="5">
        <v>0</v>
      </c>
      <c r="CA248" s="5">
        <v>0.92524499999999998</v>
      </c>
      <c r="CB248" s="5">
        <v>913.65809999999999</v>
      </c>
      <c r="CC248" s="5">
        <v>939.31309999999996</v>
      </c>
      <c r="CD248" s="5">
        <v>96.966149999999999</v>
      </c>
      <c r="CE248" s="5">
        <v>497.37</v>
      </c>
      <c r="CF248" s="5">
        <v>89.84</v>
      </c>
      <c r="CG248" s="5">
        <v>104.7</v>
      </c>
      <c r="CH248" s="5">
        <v>441.8</v>
      </c>
      <c r="CI248" s="5">
        <v>460.16</v>
      </c>
      <c r="CJ248" s="5">
        <v>476.9</v>
      </c>
      <c r="CK248" s="5">
        <v>498.61</v>
      </c>
      <c r="CL248" s="5">
        <v>495.96</v>
      </c>
      <c r="CM248" s="5">
        <v>495.61</v>
      </c>
      <c r="CN248" s="5">
        <v>363.43</v>
      </c>
      <c r="CO248" s="5">
        <v>28.24</v>
      </c>
      <c r="CP248" s="5">
        <v>635.70000000000005</v>
      </c>
      <c r="CQ248" s="5">
        <v>638.04999999999995</v>
      </c>
      <c r="CR248" s="5">
        <v>11.4</v>
      </c>
      <c r="CS248" s="5">
        <v>11.4</v>
      </c>
      <c r="CT248" s="5">
        <v>23.54</v>
      </c>
      <c r="CU248" s="5">
        <v>74.63</v>
      </c>
      <c r="CV248" s="5">
        <v>99.49</v>
      </c>
      <c r="CW248" s="5">
        <v>0.95517495511497452</v>
      </c>
      <c r="CX248" s="5">
        <v>2.7318003716288271</v>
      </c>
    </row>
    <row r="249" spans="1:102" x14ac:dyDescent="0.25">
      <c r="A249" s="5">
        <v>47</v>
      </c>
      <c r="B249" s="23">
        <v>41402.686630393517</v>
      </c>
      <c r="C249" s="5">
        <v>8</v>
      </c>
      <c r="D249" s="5">
        <v>43</v>
      </c>
      <c r="E249" s="5">
        <v>749</v>
      </c>
      <c r="F249" s="5">
        <v>749</v>
      </c>
      <c r="G249" s="5">
        <v>749</v>
      </c>
      <c r="H249" s="5">
        <v>91.7</v>
      </c>
      <c r="I249" s="5">
        <v>91.7</v>
      </c>
      <c r="J249" s="5">
        <v>1800</v>
      </c>
      <c r="K249" s="5">
        <v>29</v>
      </c>
      <c r="L249" s="5">
        <v>29</v>
      </c>
      <c r="M249" s="5">
        <v>0.25</v>
      </c>
      <c r="N249" s="5">
        <v>0.249888</v>
      </c>
      <c r="O249" s="5">
        <v>1</v>
      </c>
      <c r="P249" s="5">
        <v>1.0695030000000001</v>
      </c>
      <c r="Q249" s="5">
        <v>1.1599999999999999</v>
      </c>
      <c r="R249" s="5">
        <v>1.1645509999999999</v>
      </c>
      <c r="S249" s="5">
        <v>184.32</v>
      </c>
      <c r="T249" s="5">
        <v>184.3125</v>
      </c>
      <c r="U249" s="5">
        <v>3.5</v>
      </c>
      <c r="V249" s="5">
        <v>3.5</v>
      </c>
      <c r="W249" s="5">
        <v>300</v>
      </c>
      <c r="X249" s="5">
        <v>300</v>
      </c>
      <c r="Y249" s="5">
        <v>0</v>
      </c>
      <c r="Z249" s="5">
        <v>0</v>
      </c>
      <c r="AA249" s="5">
        <v>300</v>
      </c>
      <c r="AB249" s="5">
        <v>300</v>
      </c>
      <c r="AC249" s="5">
        <v>0</v>
      </c>
      <c r="AD249" s="5">
        <v>151.2501</v>
      </c>
      <c r="AE249" s="5">
        <v>0</v>
      </c>
      <c r="AF249" s="5">
        <v>142.56729999999999</v>
      </c>
      <c r="AG249" s="5">
        <v>35</v>
      </c>
      <c r="AH249" s="5">
        <v>0.2</v>
      </c>
      <c r="AI249" s="5">
        <v>89.29</v>
      </c>
      <c r="AJ249" s="5">
        <v>117.92</v>
      </c>
      <c r="AK249" s="5">
        <v>153.54</v>
      </c>
      <c r="AL249" s="5">
        <v>155.19</v>
      </c>
      <c r="AM249" s="5">
        <v>583.86</v>
      </c>
      <c r="AN249" s="5">
        <v>228.81229999999999</v>
      </c>
      <c r="AO249" s="5">
        <v>129.46</v>
      </c>
      <c r="AP249" s="5">
        <v>141.32</v>
      </c>
      <c r="AQ249" s="5">
        <v>147.71</v>
      </c>
      <c r="AR249" s="5">
        <v>677.4</v>
      </c>
      <c r="AS249" s="5">
        <v>24.06</v>
      </c>
      <c r="AT249" s="5">
        <v>63.32</v>
      </c>
      <c r="AU249" s="5">
        <v>106.36</v>
      </c>
      <c r="AV249" s="5">
        <v>110.66</v>
      </c>
      <c r="AW249" s="5">
        <v>0.24399999999999999</v>
      </c>
      <c r="AX249" s="5">
        <v>3.45</v>
      </c>
      <c r="AY249" s="5">
        <v>10000000000</v>
      </c>
      <c r="AZ249" s="5">
        <v>102.42</v>
      </c>
      <c r="BA249" s="5">
        <v>18.27</v>
      </c>
      <c r="BB249" s="5">
        <v>9.5</v>
      </c>
      <c r="BC249" s="5">
        <v>1.28</v>
      </c>
      <c r="BD249" s="5">
        <v>7.44</v>
      </c>
      <c r="BE249" s="5">
        <v>3.04</v>
      </c>
      <c r="BF249" s="5">
        <v>496.74</v>
      </c>
      <c r="BG249" s="5">
        <v>13.47</v>
      </c>
      <c r="BH249" s="5">
        <v>10000000000</v>
      </c>
      <c r="BI249" s="5">
        <v>214.1</v>
      </c>
      <c r="BJ249" s="5">
        <v>22.4</v>
      </c>
      <c r="BK249" s="5">
        <v>83.8</v>
      </c>
      <c r="BL249" s="5">
        <v>105.43</v>
      </c>
      <c r="BM249" s="5">
        <v>2.4700000000000002</v>
      </c>
      <c r="BN249" s="5">
        <v>30.14</v>
      </c>
      <c r="BO249" s="5">
        <v>37.69</v>
      </c>
      <c r="BP249" s="5">
        <v>707.67</v>
      </c>
      <c r="BQ249" s="5">
        <v>63.858069999999998</v>
      </c>
      <c r="BR249" s="5">
        <v>251.59880000000001</v>
      </c>
      <c r="BS249" s="5">
        <v>42.550989999999999</v>
      </c>
      <c r="BT249" s="5">
        <v>37.79513</v>
      </c>
      <c r="BU249" s="5">
        <v>37.414790000000004</v>
      </c>
      <c r="BV249" s="5">
        <v>9.6067E-2</v>
      </c>
      <c r="BW249" s="5">
        <v>9.6509999999999999E-2</v>
      </c>
      <c r="BX249" s="5">
        <v>105.562</v>
      </c>
      <c r="BY249" s="5">
        <v>18.995360000000002</v>
      </c>
      <c r="BZ249" s="5">
        <v>0</v>
      </c>
      <c r="CA249" s="5">
        <v>0.92061099999999996</v>
      </c>
      <c r="CB249" s="5">
        <v>821.29499999999996</v>
      </c>
      <c r="CC249" s="5">
        <v>850.15539999999999</v>
      </c>
      <c r="CD249" s="5">
        <v>109.08540000000001</v>
      </c>
      <c r="CE249" s="5">
        <v>533.38</v>
      </c>
      <c r="CF249" s="5">
        <v>89.19</v>
      </c>
      <c r="CG249" s="5">
        <v>102.6</v>
      </c>
      <c r="CH249" s="5">
        <v>478.2</v>
      </c>
      <c r="CI249" s="5">
        <v>501.15</v>
      </c>
      <c r="CJ249" s="5">
        <v>517.71</v>
      </c>
      <c r="CK249" s="5">
        <v>545.61</v>
      </c>
      <c r="CL249" s="5">
        <v>538.16999999999996</v>
      </c>
      <c r="CM249" s="5">
        <v>540.49</v>
      </c>
      <c r="CN249" s="5">
        <v>442.27</v>
      </c>
      <c r="CO249" s="5">
        <v>29.18</v>
      </c>
      <c r="CP249" s="5">
        <v>747.1</v>
      </c>
      <c r="CQ249" s="5">
        <v>749.04</v>
      </c>
      <c r="CR249" s="5">
        <v>13.4</v>
      </c>
      <c r="CS249" s="5">
        <v>13.4</v>
      </c>
      <c r="CT249" s="5">
        <v>24.46</v>
      </c>
      <c r="CU249" s="5">
        <v>45.61</v>
      </c>
      <c r="CV249" s="5">
        <v>99.43</v>
      </c>
      <c r="CW249" s="5">
        <v>0.897477905278248</v>
      </c>
      <c r="CX249" s="5">
        <v>2.728332832045874</v>
      </c>
    </row>
    <row r="250" spans="1:102" x14ac:dyDescent="0.25">
      <c r="A250" s="5">
        <v>5</v>
      </c>
      <c r="B250" s="23">
        <v>41402.420311550923</v>
      </c>
      <c r="C250" s="5">
        <v>8</v>
      </c>
      <c r="D250" s="5">
        <v>5</v>
      </c>
      <c r="E250" s="5">
        <v>613</v>
      </c>
      <c r="F250" s="5">
        <v>613</v>
      </c>
      <c r="G250" s="5">
        <v>613.1</v>
      </c>
      <c r="H250" s="5">
        <v>91.7</v>
      </c>
      <c r="I250" s="5">
        <v>91.7</v>
      </c>
      <c r="J250" s="5">
        <v>1800</v>
      </c>
      <c r="K250" s="5">
        <v>43</v>
      </c>
      <c r="L250" s="5">
        <v>43</v>
      </c>
      <c r="M250" s="5">
        <v>0.3</v>
      </c>
      <c r="N250" s="5">
        <v>0.29997600000000002</v>
      </c>
      <c r="O250" s="5">
        <v>1</v>
      </c>
      <c r="P250" s="5">
        <v>1.069423</v>
      </c>
      <c r="Q250" s="5">
        <v>-3.24</v>
      </c>
      <c r="R250" s="5">
        <v>-3.2409669999999999</v>
      </c>
      <c r="S250" s="5">
        <v>183.31</v>
      </c>
      <c r="T250" s="5">
        <v>183.3125</v>
      </c>
      <c r="U250" s="5">
        <v>3.5</v>
      </c>
      <c r="V250" s="5">
        <v>3.5</v>
      </c>
      <c r="W250" s="5">
        <v>300</v>
      </c>
      <c r="X250" s="5">
        <v>300</v>
      </c>
      <c r="Y250" s="5">
        <v>0</v>
      </c>
      <c r="Z250" s="5">
        <v>0</v>
      </c>
      <c r="AA250" s="5">
        <v>300</v>
      </c>
      <c r="AB250" s="5">
        <v>300</v>
      </c>
      <c r="AC250" s="5">
        <v>0</v>
      </c>
      <c r="AD250" s="5">
        <v>150.69489999999999</v>
      </c>
      <c r="AE250" s="5">
        <v>0</v>
      </c>
      <c r="AF250" s="5">
        <v>142.52510000000001</v>
      </c>
      <c r="AG250" s="5">
        <v>35</v>
      </c>
      <c r="AH250" s="5">
        <v>0.2</v>
      </c>
      <c r="AI250" s="5">
        <v>86.29</v>
      </c>
      <c r="AJ250" s="5">
        <v>115.63</v>
      </c>
      <c r="AK250" s="5">
        <v>166.93</v>
      </c>
      <c r="AL250" s="5">
        <v>166.81</v>
      </c>
      <c r="AM250" s="5">
        <v>543</v>
      </c>
      <c r="AN250" s="5">
        <v>231.68790000000001</v>
      </c>
      <c r="AO250" s="5">
        <v>132.24</v>
      </c>
      <c r="AP250" s="5">
        <v>138.80000000000001</v>
      </c>
      <c r="AQ250" s="5">
        <v>149.01</v>
      </c>
      <c r="AR250" s="5">
        <v>617.78</v>
      </c>
      <c r="AS250" s="5">
        <v>34.71</v>
      </c>
      <c r="AT250" s="5">
        <v>69.760000000000005</v>
      </c>
      <c r="AU250" s="5">
        <v>120.23</v>
      </c>
      <c r="AV250" s="5">
        <v>117.05</v>
      </c>
      <c r="AW250" s="5">
        <v>0.38400000000000001</v>
      </c>
      <c r="AX250" s="5">
        <v>5.67</v>
      </c>
      <c r="AY250" s="5">
        <v>10000000000</v>
      </c>
      <c r="AZ250" s="5">
        <v>121.38</v>
      </c>
      <c r="BA250" s="5">
        <v>22.14</v>
      </c>
      <c r="BB250" s="5">
        <v>8.8699999999999992</v>
      </c>
      <c r="BC250" s="5">
        <v>1.78</v>
      </c>
      <c r="BD250" s="5">
        <v>8.26</v>
      </c>
      <c r="BE250" s="5">
        <v>1.54</v>
      </c>
      <c r="BF250" s="5">
        <v>224.33</v>
      </c>
      <c r="BG250" s="5">
        <v>20.03</v>
      </c>
      <c r="BH250" s="5">
        <v>10000000000</v>
      </c>
      <c r="BI250" s="5">
        <v>226.1</v>
      </c>
      <c r="BJ250" s="5">
        <v>23.6</v>
      </c>
      <c r="BK250" s="5">
        <v>81.900000000000006</v>
      </c>
      <c r="BL250" s="5">
        <v>154.6</v>
      </c>
      <c r="BM250" s="5">
        <v>2.4900000000000002</v>
      </c>
      <c r="BN250" s="5">
        <v>30.63</v>
      </c>
      <c r="BO250" s="5">
        <v>37.26</v>
      </c>
      <c r="BP250" s="5">
        <v>643.42999999999995</v>
      </c>
      <c r="BQ250" s="5">
        <v>69.207549999999998</v>
      </c>
      <c r="BR250" s="5">
        <v>260.13350000000003</v>
      </c>
      <c r="BS250" s="5">
        <v>44.485720000000001</v>
      </c>
      <c r="BT250" s="5">
        <v>44.049799999999998</v>
      </c>
      <c r="BU250" s="5">
        <v>43.438389999999998</v>
      </c>
      <c r="BV250" s="5">
        <v>0.10109899999999999</v>
      </c>
      <c r="BW250" s="5">
        <v>9.6656000000000006E-2</v>
      </c>
      <c r="BX250" s="5">
        <v>90.153689999999997</v>
      </c>
      <c r="BY250" s="5">
        <v>18.995360000000002</v>
      </c>
      <c r="BZ250" s="5">
        <v>0</v>
      </c>
      <c r="CA250" s="5">
        <v>0.92631799999999997</v>
      </c>
      <c r="CB250" s="5">
        <v>823.92460000000005</v>
      </c>
      <c r="CC250" s="5">
        <v>848.69590000000005</v>
      </c>
      <c r="CD250" s="5">
        <v>93.653490000000005</v>
      </c>
      <c r="CE250" s="5">
        <v>518.80999999999995</v>
      </c>
      <c r="CF250" s="5">
        <v>98.49</v>
      </c>
      <c r="CG250" s="5">
        <v>115.87</v>
      </c>
      <c r="CH250" s="5">
        <v>449.47</v>
      </c>
      <c r="CI250" s="5">
        <v>471.05</v>
      </c>
      <c r="CJ250" s="5">
        <v>484.52</v>
      </c>
      <c r="CK250" s="5">
        <v>516.63</v>
      </c>
      <c r="CL250" s="5">
        <v>510.96</v>
      </c>
      <c r="CM250" s="5">
        <v>509.03</v>
      </c>
      <c r="CN250" s="5">
        <v>398.09</v>
      </c>
      <c r="CO250" s="5">
        <v>29.4</v>
      </c>
      <c r="CP250" s="5">
        <v>610.9</v>
      </c>
      <c r="CQ250" s="5">
        <v>613.04999999999995</v>
      </c>
      <c r="CR250" s="5">
        <v>10.9</v>
      </c>
      <c r="CS250" s="5">
        <v>11</v>
      </c>
      <c r="CT250" s="5">
        <v>25.52</v>
      </c>
      <c r="CU250" s="5">
        <v>70.42</v>
      </c>
      <c r="CV250" s="5">
        <v>99.47</v>
      </c>
      <c r="CW250" s="5">
        <v>0.95265220026195641</v>
      </c>
      <c r="CX250" s="5">
        <v>1.4670843884034128</v>
      </c>
    </row>
    <row r="251" spans="1:102" x14ac:dyDescent="0.25">
      <c r="A251" s="5">
        <v>14</v>
      </c>
      <c r="B251" s="23">
        <v>41402.471437280095</v>
      </c>
      <c r="C251" s="5">
        <v>8</v>
      </c>
      <c r="D251" s="5">
        <v>13</v>
      </c>
      <c r="E251" s="5">
        <v>642</v>
      </c>
      <c r="F251" s="5">
        <v>642</v>
      </c>
      <c r="G251" s="5">
        <v>642</v>
      </c>
      <c r="H251" s="5">
        <v>91.7</v>
      </c>
      <c r="I251" s="5">
        <v>91.7</v>
      </c>
      <c r="J251" s="5">
        <v>1800</v>
      </c>
      <c r="K251" s="5">
        <v>41</v>
      </c>
      <c r="L251" s="5">
        <v>41</v>
      </c>
      <c r="M251" s="5">
        <v>0.12</v>
      </c>
      <c r="N251" s="5">
        <v>0.119932</v>
      </c>
      <c r="O251" s="5">
        <v>1</v>
      </c>
      <c r="P251" s="5">
        <v>1.0694840000000001</v>
      </c>
      <c r="Q251" s="5">
        <v>-2.33</v>
      </c>
      <c r="R251" s="5">
        <v>-2.3291019999999998</v>
      </c>
      <c r="S251" s="5">
        <v>183.12</v>
      </c>
      <c r="T251" s="5">
        <v>183.125</v>
      </c>
      <c r="U251" s="5">
        <v>3.5</v>
      </c>
      <c r="V251" s="5">
        <v>3.5</v>
      </c>
      <c r="W251" s="5">
        <v>300</v>
      </c>
      <c r="X251" s="5">
        <v>300</v>
      </c>
      <c r="Y251" s="5">
        <v>0</v>
      </c>
      <c r="Z251" s="5">
        <v>0</v>
      </c>
      <c r="AA251" s="5">
        <v>300</v>
      </c>
      <c r="AB251" s="5">
        <v>300</v>
      </c>
      <c r="AC251" s="5">
        <v>0</v>
      </c>
      <c r="AD251" s="5">
        <v>162.11609999999999</v>
      </c>
      <c r="AE251" s="5">
        <v>0</v>
      </c>
      <c r="AF251" s="5">
        <v>142.5941</v>
      </c>
      <c r="AG251" s="5">
        <v>35</v>
      </c>
      <c r="AH251" s="5">
        <v>0.2</v>
      </c>
      <c r="AI251" s="5">
        <v>91.09</v>
      </c>
      <c r="AJ251" s="5">
        <v>122.52</v>
      </c>
      <c r="AK251" s="5">
        <v>194.78</v>
      </c>
      <c r="AL251" s="5">
        <v>197</v>
      </c>
      <c r="AM251" s="5">
        <v>527.92999999999995</v>
      </c>
      <c r="AN251" s="5">
        <v>241.8929</v>
      </c>
      <c r="AO251" s="5">
        <v>141.63999999999999</v>
      </c>
      <c r="AP251" s="5">
        <v>147.09</v>
      </c>
      <c r="AQ251" s="5">
        <v>161.15</v>
      </c>
      <c r="AR251" s="5">
        <v>720.01</v>
      </c>
      <c r="AS251" s="5">
        <v>53.17</v>
      </c>
      <c r="AT251" s="5">
        <v>61.7</v>
      </c>
      <c r="AU251" s="5">
        <v>103.54</v>
      </c>
      <c r="AV251" s="5">
        <v>112.26</v>
      </c>
      <c r="AW251" s="5">
        <v>8.3000000000000004E-2</v>
      </c>
      <c r="AX251" s="5">
        <v>1.1200000000000001</v>
      </c>
      <c r="AY251" s="5">
        <v>10000000000</v>
      </c>
      <c r="AZ251" s="5">
        <v>49.11</v>
      </c>
      <c r="BA251" s="5">
        <v>19.39</v>
      </c>
      <c r="BB251" s="5">
        <v>7.88</v>
      </c>
      <c r="BC251" s="5">
        <v>0.92</v>
      </c>
      <c r="BD251" s="5">
        <v>9.69</v>
      </c>
      <c r="BE251" s="5">
        <v>3.51</v>
      </c>
      <c r="BF251" s="5">
        <v>449.44</v>
      </c>
      <c r="BG251" s="5">
        <v>11.66</v>
      </c>
      <c r="BH251" s="5">
        <v>10000000000</v>
      </c>
      <c r="BI251" s="5">
        <v>223.2</v>
      </c>
      <c r="BJ251" s="5">
        <v>26.7</v>
      </c>
      <c r="BK251" s="5">
        <v>83.3</v>
      </c>
      <c r="BL251" s="5">
        <v>95.09</v>
      </c>
      <c r="BM251" s="5">
        <v>2.58</v>
      </c>
      <c r="BN251" s="5">
        <v>29.83</v>
      </c>
      <c r="BO251" s="5">
        <v>36.340000000000003</v>
      </c>
      <c r="BP251" s="5">
        <v>747.51</v>
      </c>
      <c r="BQ251" s="5">
        <v>62.36495</v>
      </c>
      <c r="BR251" s="5">
        <v>294.86619999999999</v>
      </c>
      <c r="BS251" s="5">
        <v>44.029310000000002</v>
      </c>
      <c r="BT251" s="5">
        <v>45.697710000000001</v>
      </c>
      <c r="BU251" s="5">
        <v>44.874920000000003</v>
      </c>
      <c r="BV251" s="5">
        <v>9.9631999999999998E-2</v>
      </c>
      <c r="BW251" s="5">
        <v>9.4743999999999995E-2</v>
      </c>
      <c r="BX251" s="5">
        <v>93.150099999999995</v>
      </c>
      <c r="BY251" s="5">
        <v>18.995360000000002</v>
      </c>
      <c r="BZ251" s="5">
        <v>0</v>
      </c>
      <c r="CA251" s="5">
        <v>0.925369</v>
      </c>
      <c r="CB251" s="5">
        <v>876.61210000000005</v>
      </c>
      <c r="CC251" s="5">
        <v>902.17909999999995</v>
      </c>
      <c r="CD251" s="5">
        <v>96.650099999999995</v>
      </c>
      <c r="CE251" s="5">
        <v>485.79</v>
      </c>
      <c r="CF251" s="5">
        <v>84.95</v>
      </c>
      <c r="CG251" s="5">
        <v>98.05</v>
      </c>
      <c r="CH251" s="5">
        <v>444.72</v>
      </c>
      <c r="CI251" s="5">
        <v>462.27</v>
      </c>
      <c r="CJ251" s="5">
        <v>479.98</v>
      </c>
      <c r="CK251" s="5">
        <v>505.18</v>
      </c>
      <c r="CL251" s="5">
        <v>500.4</v>
      </c>
      <c r="CM251" s="5">
        <v>498.62</v>
      </c>
      <c r="CN251" s="5">
        <v>381.47</v>
      </c>
      <c r="CO251" s="5">
        <v>27.87</v>
      </c>
      <c r="CP251" s="5">
        <v>639.70000000000005</v>
      </c>
      <c r="CQ251" s="5">
        <v>642.04999999999995</v>
      </c>
      <c r="CR251" s="5">
        <v>11.5</v>
      </c>
      <c r="CS251" s="5">
        <v>11.5</v>
      </c>
      <c r="CT251" s="5">
        <v>23.48</v>
      </c>
      <c r="CU251" s="5">
        <v>70.98</v>
      </c>
      <c r="CV251" s="5">
        <v>99.48</v>
      </c>
      <c r="CW251" s="5">
        <v>0.94727970302641218</v>
      </c>
      <c r="CX251" s="5">
        <v>3.3249517576227063</v>
      </c>
    </row>
    <row r="252" spans="1:102" x14ac:dyDescent="0.25">
      <c r="A252" s="5">
        <v>31</v>
      </c>
      <c r="B252" s="23">
        <v>41402.570516064814</v>
      </c>
      <c r="C252" s="5">
        <v>8</v>
      </c>
      <c r="D252" s="5">
        <v>29</v>
      </c>
      <c r="E252" s="5">
        <v>701</v>
      </c>
      <c r="F252" s="5">
        <v>701</v>
      </c>
      <c r="G252" s="5">
        <v>701</v>
      </c>
      <c r="H252" s="5">
        <v>91.7</v>
      </c>
      <c r="I252" s="5">
        <v>91.7</v>
      </c>
      <c r="J252" s="5">
        <v>1800</v>
      </c>
      <c r="K252" s="5">
        <v>18</v>
      </c>
      <c r="L252" s="5">
        <v>18</v>
      </c>
      <c r="M252" s="5">
        <v>0.1</v>
      </c>
      <c r="N252" s="5">
        <v>9.9976999999999996E-2</v>
      </c>
      <c r="O252" s="5">
        <v>1</v>
      </c>
      <c r="P252" s="5">
        <v>1.0694349999999999</v>
      </c>
      <c r="Q252" s="5">
        <v>-0.51</v>
      </c>
      <c r="R252" s="5">
        <v>-0.50537100000000001</v>
      </c>
      <c r="S252" s="5">
        <v>182.75</v>
      </c>
      <c r="T252" s="5">
        <v>182.75</v>
      </c>
      <c r="U252" s="5">
        <v>3.5</v>
      </c>
      <c r="V252" s="5">
        <v>3.5</v>
      </c>
      <c r="W252" s="5">
        <v>300</v>
      </c>
      <c r="X252" s="5">
        <v>300</v>
      </c>
      <c r="Y252" s="5">
        <v>0</v>
      </c>
      <c r="Z252" s="5">
        <v>0</v>
      </c>
      <c r="AA252" s="5">
        <v>300</v>
      </c>
      <c r="AB252" s="5">
        <v>300</v>
      </c>
      <c r="AC252" s="5">
        <v>0</v>
      </c>
      <c r="AD252" s="5">
        <v>136.34809999999999</v>
      </c>
      <c r="AE252" s="5">
        <v>0</v>
      </c>
      <c r="AF252" s="5">
        <v>136.34809999999999</v>
      </c>
      <c r="AG252" s="5">
        <v>35</v>
      </c>
      <c r="AH252" s="5">
        <v>0.2</v>
      </c>
      <c r="AI252" s="5">
        <v>79.42</v>
      </c>
      <c r="AJ252" s="5">
        <v>111.49</v>
      </c>
      <c r="AK252" s="5">
        <v>130.09</v>
      </c>
      <c r="AL252" s="5">
        <v>133.63999999999999</v>
      </c>
      <c r="AM252" s="5">
        <v>604.89</v>
      </c>
      <c r="AN252" s="5">
        <v>205.1558</v>
      </c>
      <c r="AO252" s="5">
        <v>104.31</v>
      </c>
      <c r="AP252" s="5">
        <v>125.21</v>
      </c>
      <c r="AQ252" s="5">
        <v>122.42</v>
      </c>
      <c r="AR252" s="5">
        <v>665.71</v>
      </c>
      <c r="AS252" s="5">
        <v>25.79</v>
      </c>
      <c r="AT252" s="5">
        <v>58.66</v>
      </c>
      <c r="AU252" s="5">
        <v>98.98</v>
      </c>
      <c r="AV252" s="5">
        <v>117.2</v>
      </c>
      <c r="AW252" s="5">
        <v>0.17399999999999999</v>
      </c>
      <c r="AX252" s="5">
        <v>2.41</v>
      </c>
      <c r="AY252" s="5">
        <v>10000000000</v>
      </c>
      <c r="AZ252" s="5">
        <v>106.79</v>
      </c>
      <c r="BA252" s="5">
        <v>19.34</v>
      </c>
      <c r="BB252" s="5">
        <v>9.41</v>
      </c>
      <c r="BC252" s="5">
        <v>0.61</v>
      </c>
      <c r="BD252" s="5">
        <v>7.65</v>
      </c>
      <c r="BE252" s="5">
        <v>4.7699999999999996</v>
      </c>
      <c r="BF252" s="5">
        <v>738.21</v>
      </c>
      <c r="BG252" s="5">
        <v>6.47</v>
      </c>
      <c r="BH252" s="5">
        <v>10000000000</v>
      </c>
      <c r="BI252" s="5">
        <v>218.7</v>
      </c>
      <c r="BJ252" s="5">
        <v>23.1</v>
      </c>
      <c r="BK252" s="5">
        <v>86.2</v>
      </c>
      <c r="BL252" s="5">
        <v>46.11</v>
      </c>
      <c r="BM252" s="5">
        <v>2.1800000000000002</v>
      </c>
      <c r="BN252" s="5">
        <v>29.52</v>
      </c>
      <c r="BO252" s="5">
        <v>37.450000000000003</v>
      </c>
      <c r="BP252" s="5">
        <v>695.08</v>
      </c>
      <c r="BQ252" s="5">
        <v>59.671199999999999</v>
      </c>
      <c r="BR252" s="5">
        <v>234.3877</v>
      </c>
      <c r="BS252" s="5">
        <v>43.071260000000002</v>
      </c>
      <c r="BT252" s="5">
        <v>35.833399999999997</v>
      </c>
      <c r="BU252" s="5">
        <v>35.584949999999999</v>
      </c>
      <c r="BV252" s="5">
        <v>9.7143999999999994E-2</v>
      </c>
      <c r="BW252" s="5">
        <v>9.8350000000000007E-2</v>
      </c>
      <c r="BX252" s="5">
        <v>100.711</v>
      </c>
      <c r="BY252" s="5">
        <v>18.995360000000002</v>
      </c>
      <c r="BZ252" s="5">
        <v>0</v>
      </c>
      <c r="CA252" s="5">
        <v>0.92256099999999996</v>
      </c>
      <c r="CB252" s="5">
        <v>747.4194</v>
      </c>
      <c r="CC252" s="5">
        <v>774.99749999999995</v>
      </c>
      <c r="CD252" s="5">
        <v>104.211</v>
      </c>
      <c r="CE252" s="5">
        <v>469.31</v>
      </c>
      <c r="CF252" s="5">
        <v>81.209999999999994</v>
      </c>
      <c r="CG252" s="5">
        <v>95.46</v>
      </c>
      <c r="CH252" s="5">
        <v>498.25</v>
      </c>
      <c r="CI252" s="5">
        <v>522</v>
      </c>
      <c r="CJ252" s="5">
        <v>535.55999999999995</v>
      </c>
      <c r="CK252" s="5">
        <v>559.34</v>
      </c>
      <c r="CL252" s="5">
        <v>557.98</v>
      </c>
      <c r="CM252" s="5">
        <v>543.6</v>
      </c>
      <c r="CN252" s="5">
        <v>476.69</v>
      </c>
      <c r="CO252" s="5">
        <v>28.67</v>
      </c>
      <c r="CP252" s="5">
        <v>699.1</v>
      </c>
      <c r="CQ252" s="5">
        <v>701.05</v>
      </c>
      <c r="CR252" s="5">
        <v>12.5</v>
      </c>
      <c r="CS252" s="5">
        <v>12.6</v>
      </c>
      <c r="CT252" s="5">
        <v>24.2</v>
      </c>
      <c r="CU252" s="5">
        <v>52.11</v>
      </c>
      <c r="CV252" s="5">
        <v>99.47</v>
      </c>
      <c r="CW252" s="5">
        <v>0.90689969625490552</v>
      </c>
      <c r="CX252" s="5">
        <v>4.3259115511358992</v>
      </c>
    </row>
    <row r="253" spans="1:102" ht="14.25" customHeight="1" x14ac:dyDescent="0.25">
      <c r="A253" s="5">
        <v>39</v>
      </c>
      <c r="B253" s="23">
        <v>41402.64324297454</v>
      </c>
      <c r="C253" s="5">
        <v>8</v>
      </c>
      <c r="D253" s="5">
        <v>35</v>
      </c>
      <c r="E253" s="5">
        <v>720</v>
      </c>
      <c r="F253" s="5">
        <v>720</v>
      </c>
      <c r="G253" s="5">
        <v>720</v>
      </c>
      <c r="H253" s="5">
        <v>91.7</v>
      </c>
      <c r="I253" s="5">
        <v>91.7</v>
      </c>
      <c r="J253" s="5">
        <v>1800</v>
      </c>
      <c r="K253" s="5">
        <v>17</v>
      </c>
      <c r="L253" s="5">
        <v>17</v>
      </c>
      <c r="M253" s="5">
        <v>0.23</v>
      </c>
      <c r="N253" s="5">
        <v>0.229958</v>
      </c>
      <c r="O253" s="5">
        <v>1</v>
      </c>
      <c r="P253" s="5">
        <v>1.0694459999999999</v>
      </c>
      <c r="Q253" s="5">
        <v>0.15</v>
      </c>
      <c r="R253" s="5">
        <v>0.153809</v>
      </c>
      <c r="S253" s="5">
        <v>183.37</v>
      </c>
      <c r="T253" s="5">
        <v>183.375</v>
      </c>
      <c r="U253" s="5">
        <v>3.5</v>
      </c>
      <c r="V253" s="5">
        <v>3.5</v>
      </c>
      <c r="W253" s="5">
        <v>300</v>
      </c>
      <c r="X253" s="5">
        <v>300</v>
      </c>
      <c r="Y253" s="5">
        <v>0</v>
      </c>
      <c r="Z253" s="5">
        <v>0</v>
      </c>
      <c r="AA253" s="5">
        <v>300</v>
      </c>
      <c r="AB253" s="5">
        <v>300</v>
      </c>
      <c r="AC253" s="5">
        <v>0</v>
      </c>
      <c r="AD253" s="5">
        <v>134.59880000000001</v>
      </c>
      <c r="AE253" s="5">
        <v>0</v>
      </c>
      <c r="AF253" s="5">
        <v>134.59880000000001</v>
      </c>
      <c r="AG253" s="5">
        <v>35</v>
      </c>
      <c r="AH253" s="5">
        <v>0.2</v>
      </c>
      <c r="AI253" s="5">
        <v>79.39</v>
      </c>
      <c r="AJ253" s="5">
        <v>110.06</v>
      </c>
      <c r="AK253" s="5">
        <v>120.73</v>
      </c>
      <c r="AL253" s="5">
        <v>123.43</v>
      </c>
      <c r="AM253" s="5">
        <v>619.13</v>
      </c>
      <c r="AN253" s="5">
        <v>203.90020000000001</v>
      </c>
      <c r="AO253" s="5">
        <v>104.28</v>
      </c>
      <c r="AP253" s="5">
        <v>125.46</v>
      </c>
      <c r="AQ253" s="5">
        <v>121.54</v>
      </c>
      <c r="AR253" s="5">
        <v>632.16</v>
      </c>
      <c r="AS253" s="5">
        <v>16.420000000000002</v>
      </c>
      <c r="AT253" s="5">
        <v>60.95</v>
      </c>
      <c r="AU253" s="5">
        <v>100.67</v>
      </c>
      <c r="AV253" s="5">
        <v>111.39</v>
      </c>
      <c r="AW253" s="5">
        <v>0.33800000000000002</v>
      </c>
      <c r="AX253" s="5">
        <v>4.93</v>
      </c>
      <c r="AY253" s="5">
        <v>10000000000</v>
      </c>
      <c r="AZ253" s="5">
        <v>175.17</v>
      </c>
      <c r="BA253" s="5">
        <v>18.260000000000002</v>
      </c>
      <c r="BB253" s="5">
        <v>10</v>
      </c>
      <c r="BC253" s="5">
        <v>1.02</v>
      </c>
      <c r="BD253" s="5">
        <v>6.73</v>
      </c>
      <c r="BE253" s="5">
        <v>3.41</v>
      </c>
      <c r="BF253" s="5">
        <v>579.96</v>
      </c>
      <c r="BG253" s="5">
        <v>10.17</v>
      </c>
      <c r="BH253" s="5">
        <v>10000000000</v>
      </c>
      <c r="BI253" s="5">
        <v>217.5</v>
      </c>
      <c r="BJ253" s="5">
        <v>21.4</v>
      </c>
      <c r="BK253" s="5">
        <v>84.7</v>
      </c>
      <c r="BL253" s="5">
        <v>71.540000000000006</v>
      </c>
      <c r="BM253" s="5">
        <v>2.19</v>
      </c>
      <c r="BN253" s="5">
        <v>29.9</v>
      </c>
      <c r="BO253" s="5">
        <v>38.08</v>
      </c>
      <c r="BP253" s="5">
        <v>661.43</v>
      </c>
      <c r="BQ253" s="5">
        <v>61.710880000000003</v>
      </c>
      <c r="BR253" s="5">
        <v>221.2748</v>
      </c>
      <c r="BS253" s="5">
        <v>42.834800000000001</v>
      </c>
      <c r="BT253" s="5">
        <v>34.640099999999997</v>
      </c>
      <c r="BU253" s="5">
        <v>34.404919999999997</v>
      </c>
      <c r="BV253" s="5">
        <v>9.665E-2</v>
      </c>
      <c r="BW253" s="5">
        <v>9.8570000000000005E-2</v>
      </c>
      <c r="BX253" s="5">
        <v>102.9209</v>
      </c>
      <c r="BY253" s="5">
        <v>18.995360000000002</v>
      </c>
      <c r="BZ253" s="5">
        <v>0</v>
      </c>
      <c r="CA253" s="5">
        <v>0.92168000000000005</v>
      </c>
      <c r="CB253" s="5">
        <v>737.44479999999999</v>
      </c>
      <c r="CC253" s="5">
        <v>765.60540000000003</v>
      </c>
      <c r="CD253" s="5">
        <v>106.42740000000001</v>
      </c>
      <c r="CE253" s="5">
        <v>535.30999999999995</v>
      </c>
      <c r="CF253" s="5">
        <v>85.24</v>
      </c>
      <c r="CG253" s="5">
        <v>97.33</v>
      </c>
      <c r="CH253" s="5">
        <v>503.67</v>
      </c>
      <c r="CI253" s="5">
        <v>529.95000000000005</v>
      </c>
      <c r="CJ253" s="5">
        <v>545.20000000000005</v>
      </c>
      <c r="CK253" s="5">
        <v>572.5</v>
      </c>
      <c r="CL253" s="5">
        <v>564.86</v>
      </c>
      <c r="CM253" s="5">
        <v>564.45000000000005</v>
      </c>
      <c r="CN253" s="5">
        <v>490.55</v>
      </c>
      <c r="CO253" s="5">
        <v>29.78</v>
      </c>
      <c r="CP253" s="5">
        <v>718.7</v>
      </c>
      <c r="CQ253" s="5">
        <v>720.04</v>
      </c>
      <c r="CR253" s="5">
        <v>12.9</v>
      </c>
      <c r="CS253" s="5">
        <v>12.9</v>
      </c>
      <c r="CT253" s="5">
        <v>24.94</v>
      </c>
      <c r="CU253" s="5">
        <v>44.11</v>
      </c>
      <c r="CV253" s="5">
        <v>99.43</v>
      </c>
      <c r="CW253" s="5">
        <v>0.89110121434189415</v>
      </c>
      <c r="CX253" s="5">
        <v>3.0386551409058593</v>
      </c>
    </row>
    <row r="254" spans="1:102" x14ac:dyDescent="0.25">
      <c r="A254" s="5">
        <v>14</v>
      </c>
      <c r="B254" s="23">
        <v>41410.68933119213</v>
      </c>
      <c r="C254" s="5">
        <v>9</v>
      </c>
      <c r="D254" s="5">
        <v>20</v>
      </c>
      <c r="E254" s="5">
        <v>910</v>
      </c>
      <c r="F254" s="5">
        <v>910</v>
      </c>
      <c r="G254" s="5">
        <v>910</v>
      </c>
      <c r="H254" s="5">
        <v>91.7</v>
      </c>
      <c r="I254" s="5">
        <v>91.7</v>
      </c>
      <c r="J254" s="5">
        <v>1800</v>
      </c>
      <c r="K254" s="5">
        <v>10</v>
      </c>
      <c r="L254" s="5">
        <v>10</v>
      </c>
      <c r="M254" s="5">
        <v>0.11</v>
      </c>
      <c r="N254" s="5">
        <v>0.109984</v>
      </c>
      <c r="O254" s="5">
        <v>1</v>
      </c>
      <c r="P254" s="5">
        <v>1.0690139999999999</v>
      </c>
      <c r="Q254" s="5">
        <v>4.8899999999999997</v>
      </c>
      <c r="R254" s="5">
        <v>4.888916</v>
      </c>
      <c r="S254" s="5">
        <v>185.82</v>
      </c>
      <c r="T254" s="5">
        <v>182.20570000000001</v>
      </c>
      <c r="U254" s="5">
        <v>5</v>
      </c>
      <c r="V254" s="5">
        <v>5</v>
      </c>
      <c r="W254" s="5">
        <v>300</v>
      </c>
      <c r="X254" s="5">
        <v>300</v>
      </c>
      <c r="Y254" s="5">
        <v>0</v>
      </c>
      <c r="Z254" s="5">
        <v>0</v>
      </c>
      <c r="AA254" s="5">
        <v>273.79000000000002</v>
      </c>
      <c r="AB254" s="5">
        <v>274</v>
      </c>
      <c r="AC254" s="5">
        <v>0</v>
      </c>
      <c r="AD254" s="5">
        <v>143.96719999999999</v>
      </c>
      <c r="AE254" s="5">
        <v>160</v>
      </c>
      <c r="AF254" s="5">
        <v>160</v>
      </c>
      <c r="AG254" s="5">
        <v>28</v>
      </c>
      <c r="AH254" s="5">
        <v>0.23</v>
      </c>
      <c r="AI254" s="5">
        <v>100.8</v>
      </c>
      <c r="AJ254" s="5">
        <v>116.24</v>
      </c>
      <c r="AK254" s="5">
        <v>140.66</v>
      </c>
      <c r="AL254" s="5">
        <v>144.47</v>
      </c>
      <c r="AM254" s="5">
        <v>688.31</v>
      </c>
      <c r="AN254" s="5">
        <v>216.30459999999999</v>
      </c>
      <c r="AO254" s="5">
        <v>117.06</v>
      </c>
      <c r="AP254" s="5">
        <v>132.72999999999999</v>
      </c>
      <c r="AQ254" s="5">
        <v>135.93</v>
      </c>
      <c r="AR254" s="5">
        <v>696.83</v>
      </c>
      <c r="AS254" s="5">
        <v>23.61</v>
      </c>
      <c r="AT254" s="5">
        <v>59.04</v>
      </c>
      <c r="AU254" s="5">
        <v>100.66</v>
      </c>
      <c r="AV254" s="5">
        <v>110.31</v>
      </c>
      <c r="AW254" s="5">
        <v>0.54500000000000004</v>
      </c>
      <c r="AX254" s="5">
        <v>8.4600000000000009</v>
      </c>
      <c r="AY254" s="5">
        <v>10000000000</v>
      </c>
      <c r="AZ254" s="5">
        <v>711.02</v>
      </c>
      <c r="BA254" s="5">
        <v>12.18</v>
      </c>
      <c r="BB254" s="5">
        <v>11.2</v>
      </c>
      <c r="BC254" s="5">
        <v>0.7</v>
      </c>
      <c r="BD254" s="5">
        <v>5.08</v>
      </c>
      <c r="BE254" s="5">
        <v>5.37</v>
      </c>
      <c r="BF254" s="5">
        <v>1070.24</v>
      </c>
      <c r="BG254" s="5">
        <v>6.22</v>
      </c>
      <c r="BH254" s="5">
        <v>10000000000</v>
      </c>
      <c r="BI254" s="5">
        <v>214.4</v>
      </c>
      <c r="BJ254" s="5">
        <v>19</v>
      </c>
      <c r="BK254" s="5">
        <v>84.7</v>
      </c>
      <c r="BL254" s="5">
        <v>46.21</v>
      </c>
      <c r="BM254" s="5">
        <v>2.3199999999999998</v>
      </c>
      <c r="BN254" s="5">
        <v>29.61</v>
      </c>
      <c r="BO254" s="5">
        <v>39.200000000000003</v>
      </c>
      <c r="BP254" s="5">
        <v>733.97</v>
      </c>
      <c r="BQ254" s="5">
        <v>59.981090000000002</v>
      </c>
      <c r="BR254" s="5">
        <v>245.39689999999999</v>
      </c>
      <c r="BS254" s="5">
        <v>36.232930000000003</v>
      </c>
      <c r="BT254" s="5">
        <v>31.311119999999999</v>
      </c>
      <c r="BU254" s="5">
        <v>32.112920000000003</v>
      </c>
      <c r="BV254" s="5">
        <v>0.10424</v>
      </c>
      <c r="BW254" s="5">
        <v>4.0973000000000002E-2</v>
      </c>
      <c r="BX254" s="5">
        <v>130.4118</v>
      </c>
      <c r="BY254" s="5">
        <v>19.277840000000001</v>
      </c>
      <c r="BZ254" s="5">
        <v>0</v>
      </c>
      <c r="CA254" s="5">
        <v>0.91496200000000005</v>
      </c>
      <c r="CB254" s="5">
        <v>780.58609999999999</v>
      </c>
      <c r="CC254" s="5">
        <v>816.43600000000004</v>
      </c>
      <c r="CD254" s="5">
        <v>135.4119</v>
      </c>
      <c r="CE254" s="5">
        <v>523.4</v>
      </c>
      <c r="CF254" s="5">
        <v>85.44</v>
      </c>
      <c r="CG254" s="5">
        <v>100.75</v>
      </c>
      <c r="CH254" s="5">
        <v>571.91999999999996</v>
      </c>
      <c r="CI254" s="5">
        <v>596.5</v>
      </c>
      <c r="CJ254" s="5">
        <v>613.26</v>
      </c>
      <c r="CK254" s="5">
        <v>635.12</v>
      </c>
      <c r="CL254" s="5">
        <v>631.48</v>
      </c>
      <c r="CM254" s="5">
        <v>616.79999999999995</v>
      </c>
      <c r="CN254" s="5">
        <v>554.76</v>
      </c>
      <c r="CO254" s="5">
        <v>28.65</v>
      </c>
      <c r="CP254" s="5">
        <v>902.4</v>
      </c>
      <c r="CQ254" s="5">
        <v>910.04</v>
      </c>
      <c r="CR254" s="5">
        <v>16.2</v>
      </c>
      <c r="CS254" s="5">
        <v>16.3</v>
      </c>
      <c r="CT254" s="5">
        <v>23.28</v>
      </c>
      <c r="CU254" s="5">
        <v>43.28</v>
      </c>
      <c r="CV254" s="5">
        <v>99.05</v>
      </c>
      <c r="CW254" s="5">
        <v>0.86751829876949671</v>
      </c>
      <c r="CX254" s="5">
        <v>4.6585732643921975</v>
      </c>
    </row>
    <row r="255" spans="1:102" x14ac:dyDescent="0.25">
      <c r="A255" s="5">
        <v>3</v>
      </c>
      <c r="B255" s="23">
        <v>41410.458199826389</v>
      </c>
      <c r="C255" s="5">
        <v>9</v>
      </c>
      <c r="D255" s="5">
        <v>10</v>
      </c>
      <c r="E255" s="5">
        <v>854</v>
      </c>
      <c r="F255" s="5">
        <v>854</v>
      </c>
      <c r="G255" s="5">
        <v>854.1</v>
      </c>
      <c r="H255" s="5">
        <v>91.7</v>
      </c>
      <c r="I255" s="5">
        <v>91.7</v>
      </c>
      <c r="J255" s="5">
        <v>1800</v>
      </c>
      <c r="K255" s="5">
        <v>41</v>
      </c>
      <c r="L255" s="5">
        <v>41</v>
      </c>
      <c r="M255" s="5">
        <v>0.1</v>
      </c>
      <c r="N255" s="5">
        <v>9.9979999999999999E-2</v>
      </c>
      <c r="O255" s="5">
        <v>1</v>
      </c>
      <c r="P255" s="5">
        <v>1.068948</v>
      </c>
      <c r="Q255" s="5">
        <v>4.16</v>
      </c>
      <c r="R255" s="5">
        <v>4.163818</v>
      </c>
      <c r="S255" s="5">
        <v>186.36</v>
      </c>
      <c r="T255" s="5">
        <v>186.3492</v>
      </c>
      <c r="U255" s="5">
        <v>4.3099999999999996</v>
      </c>
      <c r="V255" s="5">
        <v>4.3125</v>
      </c>
      <c r="W255" s="5">
        <v>300</v>
      </c>
      <c r="X255" s="5">
        <v>300</v>
      </c>
      <c r="Y255" s="5">
        <v>0</v>
      </c>
      <c r="Z255" s="5">
        <v>0</v>
      </c>
      <c r="AA255" s="5">
        <v>300</v>
      </c>
      <c r="AB255" s="5">
        <v>300</v>
      </c>
      <c r="AC255" s="5">
        <v>0</v>
      </c>
      <c r="AD255" s="5">
        <v>177.79159999999999</v>
      </c>
      <c r="AE255" s="5">
        <v>160</v>
      </c>
      <c r="AF255" s="5">
        <v>160</v>
      </c>
      <c r="AG255" s="5">
        <v>28</v>
      </c>
      <c r="AH255" s="5">
        <v>0.23</v>
      </c>
      <c r="AI255" s="5">
        <v>112.65</v>
      </c>
      <c r="AJ255" s="5">
        <v>133.58000000000001</v>
      </c>
      <c r="AK255" s="5">
        <v>229.85</v>
      </c>
      <c r="AL255" s="5">
        <v>231.92</v>
      </c>
      <c r="AM255" s="5">
        <v>570.74</v>
      </c>
      <c r="AN255" s="5">
        <v>262.99549999999999</v>
      </c>
      <c r="AO255" s="5">
        <v>164.48</v>
      </c>
      <c r="AP255" s="5">
        <v>170.72</v>
      </c>
      <c r="AQ255" s="5">
        <v>185.98</v>
      </c>
      <c r="AR255" s="5">
        <v>799.84</v>
      </c>
      <c r="AS255" s="5">
        <v>65.38</v>
      </c>
      <c r="AT255" s="5">
        <v>61.18</v>
      </c>
      <c r="AU255" s="5">
        <v>103.3</v>
      </c>
      <c r="AV255" s="5">
        <v>121.65</v>
      </c>
      <c r="AW255" s="5">
        <v>8.5999999999999993E-2</v>
      </c>
      <c r="AX255" s="5">
        <v>1.1499999999999999</v>
      </c>
      <c r="AY255" s="5">
        <v>10000000000</v>
      </c>
      <c r="AZ255" s="5">
        <v>396.61</v>
      </c>
      <c r="BA255" s="5">
        <v>16.420000000000002</v>
      </c>
      <c r="BB255" s="5">
        <v>8.93</v>
      </c>
      <c r="BC255" s="5">
        <v>0.93</v>
      </c>
      <c r="BD255" s="5">
        <v>8.16</v>
      </c>
      <c r="BE255" s="5">
        <v>5.51</v>
      </c>
      <c r="BF255" s="5">
        <v>862.19</v>
      </c>
      <c r="BG255" s="5">
        <v>10.36</v>
      </c>
      <c r="BH255" s="5">
        <v>10000000000</v>
      </c>
      <c r="BI255" s="5">
        <v>211.9</v>
      </c>
      <c r="BJ255" s="5">
        <v>23.5</v>
      </c>
      <c r="BK255" s="5">
        <v>83.3</v>
      </c>
      <c r="BL255" s="5">
        <v>92.51</v>
      </c>
      <c r="BM255" s="5">
        <v>2.83</v>
      </c>
      <c r="BN255" s="5">
        <v>29.83</v>
      </c>
      <c r="BO255" s="5">
        <v>37.31</v>
      </c>
      <c r="BP255" s="5">
        <v>834.48</v>
      </c>
      <c r="BQ255" s="5">
        <v>61.898119999999999</v>
      </c>
      <c r="BR255" s="5">
        <v>330.5514</v>
      </c>
      <c r="BS255" s="5">
        <v>39.00224</v>
      </c>
      <c r="BT255" s="5">
        <v>37.578490000000002</v>
      </c>
      <c r="BU255" s="5">
        <v>37.039059999999999</v>
      </c>
      <c r="BV255" s="5">
        <v>0.106298</v>
      </c>
      <c r="BW255" s="5">
        <v>0.103505</v>
      </c>
      <c r="BX255" s="5">
        <v>120.8117</v>
      </c>
      <c r="BY255" s="5">
        <v>18.995360000000002</v>
      </c>
      <c r="BZ255" s="5">
        <v>0</v>
      </c>
      <c r="CA255" s="5">
        <v>0.91603299999999999</v>
      </c>
      <c r="CB255" s="5">
        <v>944.82150000000001</v>
      </c>
      <c r="CC255" s="5">
        <v>977.94420000000002</v>
      </c>
      <c r="CD255" s="5">
        <v>125.12390000000001</v>
      </c>
      <c r="CE255" s="5">
        <v>519.86</v>
      </c>
      <c r="CF255" s="5">
        <v>85.64</v>
      </c>
      <c r="CG255" s="5">
        <v>98.77</v>
      </c>
      <c r="CH255" s="5">
        <v>489.27</v>
      </c>
      <c r="CI255" s="5">
        <v>507.74</v>
      </c>
      <c r="CJ255" s="5">
        <v>522.66</v>
      </c>
      <c r="CK255" s="5">
        <v>543.61</v>
      </c>
      <c r="CL255" s="5">
        <v>547.38</v>
      </c>
      <c r="CM255" s="5">
        <v>545.03</v>
      </c>
      <c r="CN255" s="5">
        <v>410.33</v>
      </c>
      <c r="CO255" s="5">
        <v>31.74</v>
      </c>
      <c r="CP255" s="5">
        <v>850.9</v>
      </c>
      <c r="CQ255" s="5">
        <v>854.05</v>
      </c>
      <c r="CR255" s="5">
        <v>15.2</v>
      </c>
      <c r="CS255" s="5">
        <v>15.3</v>
      </c>
      <c r="CT255" s="5">
        <v>27.17</v>
      </c>
      <c r="CU255" s="5">
        <v>34.020000000000003</v>
      </c>
      <c r="CV255" s="5">
        <v>99.12</v>
      </c>
      <c r="CW255" s="5">
        <v>0.85190141706229539</v>
      </c>
      <c r="CX255" s="5">
        <v>4.6939768080132476</v>
      </c>
    </row>
    <row r="256" spans="1:102" x14ac:dyDescent="0.25">
      <c r="A256" s="5">
        <v>39</v>
      </c>
      <c r="B256" s="23">
        <v>41409.719858657409</v>
      </c>
      <c r="C256" s="5">
        <v>9</v>
      </c>
      <c r="D256" s="5">
        <v>5</v>
      </c>
      <c r="E256" s="5">
        <v>826</v>
      </c>
      <c r="F256" s="5">
        <v>826</v>
      </c>
      <c r="G256" s="5">
        <v>826</v>
      </c>
      <c r="H256" s="5">
        <v>91.7</v>
      </c>
      <c r="I256" s="5">
        <v>91.7</v>
      </c>
      <c r="J256" s="5">
        <v>1800</v>
      </c>
      <c r="K256" s="5">
        <v>20</v>
      </c>
      <c r="L256" s="5">
        <v>20</v>
      </c>
      <c r="M256" s="5">
        <v>0.11</v>
      </c>
      <c r="N256" s="5">
        <v>0.109946</v>
      </c>
      <c r="O256" s="5">
        <v>1</v>
      </c>
      <c r="P256" s="5">
        <v>1.068989</v>
      </c>
      <c r="Q256" s="5">
        <v>3.53</v>
      </c>
      <c r="R256" s="5">
        <v>3.5266109999999999</v>
      </c>
      <c r="S256" s="5">
        <v>186.18</v>
      </c>
      <c r="T256" s="5">
        <v>186.1875</v>
      </c>
      <c r="U256" s="5">
        <v>3.89</v>
      </c>
      <c r="V256" s="5">
        <v>3.875</v>
      </c>
      <c r="W256" s="5">
        <v>300</v>
      </c>
      <c r="X256" s="5">
        <v>300</v>
      </c>
      <c r="Y256" s="5">
        <v>0</v>
      </c>
      <c r="Z256" s="5">
        <v>0</v>
      </c>
      <c r="AA256" s="5">
        <v>300</v>
      </c>
      <c r="AB256" s="5">
        <v>300</v>
      </c>
      <c r="AC256" s="5">
        <v>0</v>
      </c>
      <c r="AD256" s="5">
        <v>147.86259999999999</v>
      </c>
      <c r="AE256" s="5">
        <v>160</v>
      </c>
      <c r="AF256" s="5">
        <v>160</v>
      </c>
      <c r="AG256" s="5">
        <v>28</v>
      </c>
      <c r="AH256" s="5">
        <v>0.23</v>
      </c>
      <c r="AI256" s="5">
        <v>97.55</v>
      </c>
      <c r="AJ256" s="5">
        <v>117.94</v>
      </c>
      <c r="AK256" s="5">
        <v>149.47999999999999</v>
      </c>
      <c r="AL256" s="5">
        <v>153.4</v>
      </c>
      <c r="AM256" s="5">
        <v>614.30999999999995</v>
      </c>
      <c r="AN256" s="5">
        <v>221.58539999999999</v>
      </c>
      <c r="AO256" s="5">
        <v>123.28</v>
      </c>
      <c r="AP256" s="5">
        <v>135.21</v>
      </c>
      <c r="AQ256" s="5">
        <v>142.65</v>
      </c>
      <c r="AR256" s="5">
        <v>715.25</v>
      </c>
      <c r="AS256" s="5">
        <v>26.21</v>
      </c>
      <c r="AT256" s="5">
        <v>59.08</v>
      </c>
      <c r="AU256" s="5">
        <v>99.39</v>
      </c>
      <c r="AV256" s="5">
        <v>112.86</v>
      </c>
      <c r="AW256" s="5">
        <v>0.15</v>
      </c>
      <c r="AX256" s="5">
        <v>2.0699999999999998</v>
      </c>
      <c r="AY256" s="5">
        <v>10000000000</v>
      </c>
      <c r="AZ256" s="5">
        <v>438.37</v>
      </c>
      <c r="BA256" s="5">
        <v>17.5</v>
      </c>
      <c r="BB256" s="5">
        <v>9.74</v>
      </c>
      <c r="BC256" s="5">
        <v>0.66</v>
      </c>
      <c r="BD256" s="5">
        <v>7.07</v>
      </c>
      <c r="BE256" s="5">
        <v>6.04</v>
      </c>
      <c r="BF256" s="5">
        <v>1038.28</v>
      </c>
      <c r="BG256" s="5">
        <v>6.74</v>
      </c>
      <c r="BH256" s="5">
        <v>10000000000</v>
      </c>
      <c r="BI256" s="5">
        <v>211.3</v>
      </c>
      <c r="BJ256" s="5">
        <v>21.7</v>
      </c>
      <c r="BK256" s="5">
        <v>85.1</v>
      </c>
      <c r="BL256" s="5">
        <v>51.69</v>
      </c>
      <c r="BM256" s="5">
        <v>2.38</v>
      </c>
      <c r="BN256" s="5">
        <v>29.58</v>
      </c>
      <c r="BO256" s="5">
        <v>37.950000000000003</v>
      </c>
      <c r="BP256" s="5">
        <v>747.83</v>
      </c>
      <c r="BQ256" s="5">
        <v>59.975990000000003</v>
      </c>
      <c r="BR256" s="5">
        <v>253.10720000000001</v>
      </c>
      <c r="BS256" s="5">
        <v>40.552199999999999</v>
      </c>
      <c r="BT256" s="5">
        <v>32.944400000000002</v>
      </c>
      <c r="BU256" s="5">
        <v>32.724060000000001</v>
      </c>
      <c r="BV256" s="5">
        <v>0.108683</v>
      </c>
      <c r="BW256" s="5">
        <v>0.109553</v>
      </c>
      <c r="BX256" s="5">
        <v>116.0215</v>
      </c>
      <c r="BY256" s="5">
        <v>18.995360000000002</v>
      </c>
      <c r="BZ256" s="5">
        <v>0</v>
      </c>
      <c r="CA256" s="5">
        <v>0.91789299999999996</v>
      </c>
      <c r="CB256" s="5">
        <v>802.46420000000001</v>
      </c>
      <c r="CC256" s="5">
        <v>834.2029</v>
      </c>
      <c r="CD256" s="5">
        <v>119.8974</v>
      </c>
      <c r="CE256" s="5">
        <v>485.48</v>
      </c>
      <c r="CF256" s="5">
        <v>83.57</v>
      </c>
      <c r="CG256" s="5">
        <v>97.89</v>
      </c>
      <c r="CH256" s="5">
        <v>511.27</v>
      </c>
      <c r="CI256" s="5">
        <v>534.57000000000005</v>
      </c>
      <c r="CJ256" s="5">
        <v>550.41999999999996</v>
      </c>
      <c r="CK256" s="5">
        <v>571.41999999999996</v>
      </c>
      <c r="CL256" s="5">
        <v>567.65</v>
      </c>
      <c r="CM256" s="5">
        <v>559.16999999999996</v>
      </c>
      <c r="CN256" s="5">
        <v>478.14</v>
      </c>
      <c r="CO256" s="5">
        <v>30.29</v>
      </c>
      <c r="CP256" s="5">
        <v>822.5</v>
      </c>
      <c r="CQ256" s="5">
        <v>826.05</v>
      </c>
      <c r="CR256" s="5">
        <v>14.7</v>
      </c>
      <c r="CS256" s="5">
        <v>14.8</v>
      </c>
      <c r="CT256" s="5">
        <v>26.24</v>
      </c>
      <c r="CU256" s="5">
        <v>47.12</v>
      </c>
      <c r="CV256" s="5">
        <v>98.75</v>
      </c>
      <c r="CW256" s="5">
        <v>0.89388338965453962</v>
      </c>
      <c r="CX256" s="5">
        <v>5.399055673513419</v>
      </c>
    </row>
    <row r="257" spans="1:102" x14ac:dyDescent="0.25">
      <c r="A257" s="5">
        <v>8</v>
      </c>
      <c r="B257" s="23">
        <v>41410.656769374997</v>
      </c>
      <c r="C257" s="5">
        <v>9</v>
      </c>
      <c r="D257" s="5">
        <v>14</v>
      </c>
      <c r="E257" s="5">
        <v>873</v>
      </c>
      <c r="F257" s="5">
        <v>873</v>
      </c>
      <c r="G257" s="5">
        <v>873</v>
      </c>
      <c r="H257" s="5">
        <v>91.7</v>
      </c>
      <c r="I257" s="5">
        <v>91.7</v>
      </c>
      <c r="J257" s="5">
        <v>1800</v>
      </c>
      <c r="K257" s="5">
        <v>24</v>
      </c>
      <c r="L257" s="5">
        <v>24</v>
      </c>
      <c r="M257" s="5">
        <v>0.31</v>
      </c>
      <c r="N257" s="5">
        <v>0.31002099999999999</v>
      </c>
      <c r="O257" s="5">
        <v>1</v>
      </c>
      <c r="P257" s="5">
        <v>1.0689690000000001</v>
      </c>
      <c r="Q257" s="5">
        <v>4.59</v>
      </c>
      <c r="R257" s="5">
        <v>4.5922850000000004</v>
      </c>
      <c r="S257" s="5">
        <v>186.49</v>
      </c>
      <c r="T257" s="5">
        <v>185.64</v>
      </c>
      <c r="U257" s="5">
        <v>4.59</v>
      </c>
      <c r="V257" s="5">
        <v>4.59375</v>
      </c>
      <c r="W257" s="5">
        <v>300</v>
      </c>
      <c r="X257" s="5">
        <v>300</v>
      </c>
      <c r="Y257" s="5">
        <v>0</v>
      </c>
      <c r="Z257" s="5">
        <v>0</v>
      </c>
      <c r="AA257" s="5">
        <v>300</v>
      </c>
      <c r="AB257" s="5">
        <v>300</v>
      </c>
      <c r="AC257" s="5">
        <v>0</v>
      </c>
      <c r="AD257" s="5">
        <v>149.69630000000001</v>
      </c>
      <c r="AE257" s="5">
        <v>160</v>
      </c>
      <c r="AF257" s="5">
        <v>160</v>
      </c>
      <c r="AG257" s="5">
        <v>28</v>
      </c>
      <c r="AH257" s="5">
        <v>0.23</v>
      </c>
      <c r="AI257" s="5">
        <v>101.34</v>
      </c>
      <c r="AJ257" s="5">
        <v>119.22</v>
      </c>
      <c r="AK257" s="5">
        <v>148.27000000000001</v>
      </c>
      <c r="AL257" s="5">
        <v>150</v>
      </c>
      <c r="AM257" s="5">
        <v>647.30999999999995</v>
      </c>
      <c r="AN257" s="5">
        <v>227.18780000000001</v>
      </c>
      <c r="AO257" s="5">
        <v>128.53</v>
      </c>
      <c r="AP257" s="5">
        <v>149.79</v>
      </c>
      <c r="AQ257" s="5">
        <v>146.69</v>
      </c>
      <c r="AR257" s="5">
        <v>671.33</v>
      </c>
      <c r="AS257" s="5">
        <v>19.71</v>
      </c>
      <c r="AT257" s="5">
        <v>64.260000000000005</v>
      </c>
      <c r="AU257" s="5">
        <v>106.14</v>
      </c>
      <c r="AV257" s="5">
        <v>117.27</v>
      </c>
      <c r="AW257" s="5">
        <v>0.70299999999999996</v>
      </c>
      <c r="AX257" s="5">
        <v>11.45</v>
      </c>
      <c r="AY257" s="5">
        <v>10000000000</v>
      </c>
      <c r="AZ257" s="5">
        <v>641.46</v>
      </c>
      <c r="BA257" s="5">
        <v>15</v>
      </c>
      <c r="BB257" s="5">
        <v>11.07</v>
      </c>
      <c r="BC257" s="5">
        <v>1.53</v>
      </c>
      <c r="BD257" s="5">
        <v>5.26</v>
      </c>
      <c r="BE257" s="5">
        <v>3.1</v>
      </c>
      <c r="BF257" s="5">
        <v>613.54</v>
      </c>
      <c r="BG257" s="5">
        <v>13.84</v>
      </c>
      <c r="BH257" s="5">
        <v>10000000000</v>
      </c>
      <c r="BI257" s="5">
        <v>212.2</v>
      </c>
      <c r="BJ257" s="5">
        <v>19.2</v>
      </c>
      <c r="BK257" s="5">
        <v>83.5</v>
      </c>
      <c r="BL257" s="5">
        <v>107.84</v>
      </c>
      <c r="BM257" s="5">
        <v>2.46</v>
      </c>
      <c r="BN257" s="5">
        <v>30.37</v>
      </c>
      <c r="BO257" s="5">
        <v>39.06</v>
      </c>
      <c r="BP257" s="5">
        <v>706.16</v>
      </c>
      <c r="BQ257" s="5">
        <v>64.630260000000007</v>
      </c>
      <c r="BR257" s="5">
        <v>245.6387</v>
      </c>
      <c r="BS257" s="5">
        <v>38.287149999999997</v>
      </c>
      <c r="BT257" s="5">
        <v>32.235320000000002</v>
      </c>
      <c r="BU257" s="5">
        <v>32.258069999999996</v>
      </c>
      <c r="BV257" s="5">
        <v>0.10506</v>
      </c>
      <c r="BW257" s="5">
        <v>8.8277999999999995E-2</v>
      </c>
      <c r="BX257" s="5">
        <v>122.91549999999999</v>
      </c>
      <c r="BY257" s="5">
        <v>18.995360000000002</v>
      </c>
      <c r="BZ257" s="5">
        <v>0</v>
      </c>
      <c r="CA257" s="5">
        <v>0.91516500000000001</v>
      </c>
      <c r="CB257" s="5">
        <v>808.78129999999999</v>
      </c>
      <c r="CC257" s="5">
        <v>842.53440000000001</v>
      </c>
      <c r="CD257" s="5">
        <v>127.5093</v>
      </c>
      <c r="CE257" s="5">
        <v>588.98</v>
      </c>
      <c r="CF257" s="5">
        <v>89.78</v>
      </c>
      <c r="CG257" s="5">
        <v>103.43</v>
      </c>
      <c r="CH257" s="5">
        <v>533.99</v>
      </c>
      <c r="CI257" s="5">
        <v>558.33000000000004</v>
      </c>
      <c r="CJ257" s="5">
        <v>574.02</v>
      </c>
      <c r="CK257" s="5">
        <v>603.04999999999995</v>
      </c>
      <c r="CL257" s="5">
        <v>596.48</v>
      </c>
      <c r="CM257" s="5">
        <v>600.45000000000005</v>
      </c>
      <c r="CN257" s="5">
        <v>504.44</v>
      </c>
      <c r="CO257" s="5">
        <v>35.33</v>
      </c>
      <c r="CP257" s="5">
        <v>873.4</v>
      </c>
      <c r="CQ257" s="5">
        <v>873.04</v>
      </c>
      <c r="CR257" s="5">
        <v>15.6</v>
      </c>
      <c r="CS257" s="5">
        <v>15.6</v>
      </c>
      <c r="CT257" s="5">
        <v>28.02</v>
      </c>
      <c r="CU257" s="5">
        <v>20.56</v>
      </c>
      <c r="CV257" s="5">
        <v>99</v>
      </c>
      <c r="CW257" s="5">
        <v>0.81883176710592598</v>
      </c>
      <c r="CX257" s="5">
        <v>2.5383784780283705</v>
      </c>
    </row>
    <row r="258" spans="1:102" x14ac:dyDescent="0.25">
      <c r="A258" s="5">
        <v>4</v>
      </c>
      <c r="B258" s="23">
        <v>41410.463624328702</v>
      </c>
      <c r="C258" s="5">
        <v>9</v>
      </c>
      <c r="D258" s="5">
        <v>11</v>
      </c>
      <c r="E258" s="5">
        <v>859</v>
      </c>
      <c r="F258" s="5">
        <v>859</v>
      </c>
      <c r="G258" s="5">
        <v>859</v>
      </c>
      <c r="H258" s="5">
        <v>91.7</v>
      </c>
      <c r="I258" s="5">
        <v>91.7</v>
      </c>
      <c r="J258" s="5">
        <v>1800</v>
      </c>
      <c r="K258" s="5">
        <v>24</v>
      </c>
      <c r="L258" s="5">
        <v>24</v>
      </c>
      <c r="M258" s="5">
        <v>0.18</v>
      </c>
      <c r="N258" s="5">
        <v>0.180037</v>
      </c>
      <c r="O258" s="5">
        <v>1</v>
      </c>
      <c r="P258" s="5">
        <v>1.068921</v>
      </c>
      <c r="Q258" s="5">
        <v>4.28</v>
      </c>
      <c r="R258" s="5">
        <v>4.2846679999999999</v>
      </c>
      <c r="S258" s="5">
        <v>186.39</v>
      </c>
      <c r="T258" s="5">
        <v>186.36869999999999</v>
      </c>
      <c r="U258" s="5">
        <v>4.38</v>
      </c>
      <c r="V258" s="5">
        <v>4.375</v>
      </c>
      <c r="W258" s="5">
        <v>300</v>
      </c>
      <c r="X258" s="5">
        <v>300</v>
      </c>
      <c r="Y258" s="5">
        <v>0</v>
      </c>
      <c r="Z258" s="5">
        <v>0</v>
      </c>
      <c r="AA258" s="5">
        <v>300</v>
      </c>
      <c r="AB258" s="5">
        <v>300</v>
      </c>
      <c r="AC258" s="5">
        <v>0</v>
      </c>
      <c r="AD258" s="5">
        <v>152.28899999999999</v>
      </c>
      <c r="AE258" s="5">
        <v>160</v>
      </c>
      <c r="AF258" s="5">
        <v>160</v>
      </c>
      <c r="AG258" s="5">
        <v>28</v>
      </c>
      <c r="AH258" s="5">
        <v>0.23</v>
      </c>
      <c r="AI258" s="5">
        <v>102.04</v>
      </c>
      <c r="AJ258" s="5">
        <v>120.33</v>
      </c>
      <c r="AK258" s="5">
        <v>156.41999999999999</v>
      </c>
      <c r="AL258" s="5">
        <v>159.08000000000001</v>
      </c>
      <c r="AM258" s="5">
        <v>624.48</v>
      </c>
      <c r="AN258" s="5">
        <v>228.9897</v>
      </c>
      <c r="AO258" s="5">
        <v>130.30000000000001</v>
      </c>
      <c r="AP258" s="5">
        <v>143.72999999999999</v>
      </c>
      <c r="AQ258" s="5">
        <v>149.46</v>
      </c>
      <c r="AR258" s="5">
        <v>706.41</v>
      </c>
      <c r="AS258" s="5">
        <v>26.11</v>
      </c>
      <c r="AT258" s="5">
        <v>61.31</v>
      </c>
      <c r="AU258" s="5">
        <v>101.93</v>
      </c>
      <c r="AV258" s="5">
        <v>117.71</v>
      </c>
      <c r="AW258" s="5">
        <v>0.29199999999999998</v>
      </c>
      <c r="AX258" s="5">
        <v>4.2</v>
      </c>
      <c r="AY258" s="5">
        <v>10000000000</v>
      </c>
      <c r="AZ258" s="5">
        <v>482.6</v>
      </c>
      <c r="BA258" s="5">
        <v>17.46</v>
      </c>
      <c r="BB258" s="5">
        <v>10.25</v>
      </c>
      <c r="BC258" s="5">
        <v>1.06</v>
      </c>
      <c r="BD258" s="5">
        <v>6.29</v>
      </c>
      <c r="BE258" s="5">
        <v>4.57</v>
      </c>
      <c r="BF258" s="5">
        <v>833.93</v>
      </c>
      <c r="BG258" s="5">
        <v>10.39</v>
      </c>
      <c r="BH258" s="5">
        <v>10000000000</v>
      </c>
      <c r="BI258" s="5">
        <v>210.8</v>
      </c>
      <c r="BJ258" s="5">
        <v>20.7</v>
      </c>
      <c r="BK258" s="5">
        <v>84.2</v>
      </c>
      <c r="BL258" s="5">
        <v>81.790000000000006</v>
      </c>
      <c r="BM258" s="5">
        <v>2.4700000000000002</v>
      </c>
      <c r="BN258" s="5">
        <v>29.95</v>
      </c>
      <c r="BO258" s="5">
        <v>38.39</v>
      </c>
      <c r="BP258" s="5">
        <v>739.82</v>
      </c>
      <c r="BQ258" s="5">
        <v>62.067030000000003</v>
      </c>
      <c r="BR258" s="5">
        <v>256.98439999999999</v>
      </c>
      <c r="BS258" s="5">
        <v>39.00844</v>
      </c>
      <c r="BT258" s="5">
        <v>32.602330000000002</v>
      </c>
      <c r="BU258" s="5">
        <v>32.34742</v>
      </c>
      <c r="BV258" s="5">
        <v>0.10631400000000001</v>
      </c>
      <c r="BW258" s="5">
        <v>0.105889</v>
      </c>
      <c r="BX258" s="5">
        <v>120.7208</v>
      </c>
      <c r="BY258" s="5">
        <v>18.995360000000002</v>
      </c>
      <c r="BZ258" s="5">
        <v>0</v>
      </c>
      <c r="CA258" s="5">
        <v>0.91603699999999999</v>
      </c>
      <c r="CB258" s="5">
        <v>822.26919999999996</v>
      </c>
      <c r="CC258" s="5">
        <v>855.39059999999995</v>
      </c>
      <c r="CD258" s="5">
        <v>125.1177</v>
      </c>
      <c r="CE258" s="5">
        <v>550.01</v>
      </c>
      <c r="CF258" s="5">
        <v>86.84</v>
      </c>
      <c r="CG258" s="5">
        <v>99.52</v>
      </c>
      <c r="CH258" s="5">
        <v>518.80999999999995</v>
      </c>
      <c r="CI258" s="5">
        <v>542.89</v>
      </c>
      <c r="CJ258" s="5">
        <v>557.21</v>
      </c>
      <c r="CK258" s="5">
        <v>581.72</v>
      </c>
      <c r="CL258" s="5">
        <v>579.12</v>
      </c>
      <c r="CM258" s="5">
        <v>579.11</v>
      </c>
      <c r="CN258" s="5">
        <v>483.4</v>
      </c>
      <c r="CO258" s="5">
        <v>32.51</v>
      </c>
      <c r="CP258" s="5">
        <v>855.3</v>
      </c>
      <c r="CQ258" s="5">
        <v>859.05</v>
      </c>
      <c r="CR258" s="5">
        <v>15.3</v>
      </c>
      <c r="CS258" s="5">
        <v>15.4</v>
      </c>
      <c r="CT258" s="5">
        <v>27.35</v>
      </c>
      <c r="CU258" s="5">
        <v>35.979999999999997</v>
      </c>
      <c r="CV258" s="5">
        <v>99.09</v>
      </c>
      <c r="CW258" s="5">
        <v>0.86026571138294849</v>
      </c>
      <c r="CX258" s="5">
        <v>3.9314143010200748</v>
      </c>
    </row>
    <row r="259" spans="1:102" x14ac:dyDescent="0.25">
      <c r="A259" s="5">
        <v>40</v>
      </c>
      <c r="B259" s="23">
        <v>41409.725277488425</v>
      </c>
      <c r="C259" s="5">
        <v>9</v>
      </c>
      <c r="D259" s="5">
        <v>6</v>
      </c>
      <c r="E259" s="5">
        <v>831</v>
      </c>
      <c r="F259" s="5">
        <v>831</v>
      </c>
      <c r="G259" s="5">
        <v>831</v>
      </c>
      <c r="H259" s="5">
        <v>91.7</v>
      </c>
      <c r="I259" s="5">
        <v>91.7</v>
      </c>
      <c r="J259" s="5">
        <v>1800</v>
      </c>
      <c r="K259" s="5">
        <v>44</v>
      </c>
      <c r="L259" s="5">
        <v>44</v>
      </c>
      <c r="M259" s="5">
        <v>0.2</v>
      </c>
      <c r="N259" s="5">
        <v>0.20002400000000001</v>
      </c>
      <c r="O259" s="5">
        <v>1</v>
      </c>
      <c r="P259" s="5">
        <v>1.069089</v>
      </c>
      <c r="Q259" s="5">
        <v>3.64</v>
      </c>
      <c r="R259" s="5">
        <v>3.6364749999999999</v>
      </c>
      <c r="S259" s="5">
        <v>186.21</v>
      </c>
      <c r="T259" s="5">
        <v>186.20310000000001</v>
      </c>
      <c r="U259" s="5">
        <v>3.96</v>
      </c>
      <c r="V259" s="5">
        <v>3.96875</v>
      </c>
      <c r="W259" s="5">
        <v>300</v>
      </c>
      <c r="X259" s="5">
        <v>300</v>
      </c>
      <c r="Y259" s="5">
        <v>0</v>
      </c>
      <c r="Z259" s="5">
        <v>0</v>
      </c>
      <c r="AA259" s="5">
        <v>300</v>
      </c>
      <c r="AB259" s="5">
        <v>300</v>
      </c>
      <c r="AC259" s="5">
        <v>0</v>
      </c>
      <c r="AD259" s="5">
        <v>177.94290000000001</v>
      </c>
      <c r="AE259" s="5">
        <v>160</v>
      </c>
      <c r="AF259" s="5">
        <v>160</v>
      </c>
      <c r="AG259" s="5">
        <v>28</v>
      </c>
      <c r="AH259" s="5">
        <v>0.23</v>
      </c>
      <c r="AI259" s="5">
        <v>110.13</v>
      </c>
      <c r="AJ259" s="5">
        <v>128.86000000000001</v>
      </c>
      <c r="AK259" s="5">
        <v>220.06</v>
      </c>
      <c r="AL259" s="5">
        <v>220.47</v>
      </c>
      <c r="AM259" s="5">
        <v>557.71</v>
      </c>
      <c r="AN259" s="5">
        <v>267.21839999999997</v>
      </c>
      <c r="AO259" s="5">
        <v>170</v>
      </c>
      <c r="AP259" s="5">
        <v>162.28</v>
      </c>
      <c r="AQ259" s="5">
        <v>189.86</v>
      </c>
      <c r="AR259" s="5">
        <v>743.42</v>
      </c>
      <c r="AS259" s="5">
        <v>50.05</v>
      </c>
      <c r="AT259" s="5">
        <v>66.98</v>
      </c>
      <c r="AU259" s="5">
        <v>113.6</v>
      </c>
      <c r="AV259" s="5">
        <v>112.18</v>
      </c>
      <c r="AW259" s="5">
        <v>0.17699999999999999</v>
      </c>
      <c r="AX259" s="5">
        <v>2.4500000000000002</v>
      </c>
      <c r="AY259" s="5">
        <v>10000000000</v>
      </c>
      <c r="AZ259" s="5">
        <v>416.46</v>
      </c>
      <c r="BA259" s="5">
        <v>15.25</v>
      </c>
      <c r="BB259" s="5">
        <v>9.2899999999999991</v>
      </c>
      <c r="BC259" s="5">
        <v>1.58</v>
      </c>
      <c r="BD259" s="5">
        <v>7.78</v>
      </c>
      <c r="BE259" s="5">
        <v>3.04</v>
      </c>
      <c r="BF259" s="5">
        <v>502.21</v>
      </c>
      <c r="BG259" s="5">
        <v>17</v>
      </c>
      <c r="BH259" s="5">
        <v>10000000000</v>
      </c>
      <c r="BI259" s="5">
        <v>211.1</v>
      </c>
      <c r="BJ259" s="5">
        <v>22.5</v>
      </c>
      <c r="BK259" s="5">
        <v>81.8</v>
      </c>
      <c r="BL259" s="5">
        <v>152.37</v>
      </c>
      <c r="BM259" s="5">
        <v>2.89</v>
      </c>
      <c r="BN259" s="5">
        <v>30.45</v>
      </c>
      <c r="BO259" s="5">
        <v>37.65</v>
      </c>
      <c r="BP259" s="5">
        <v>777.09</v>
      </c>
      <c r="BQ259" s="5">
        <v>66.989689999999996</v>
      </c>
      <c r="BR259" s="5">
        <v>314.64449999999999</v>
      </c>
      <c r="BS259" s="5">
        <v>40.334269999999997</v>
      </c>
      <c r="BT259" s="5">
        <v>38.91827</v>
      </c>
      <c r="BU259" s="5">
        <v>38.39367</v>
      </c>
      <c r="BV259" s="5">
        <v>0.108608</v>
      </c>
      <c r="BW259" s="5">
        <v>0.105701</v>
      </c>
      <c r="BX259" s="5">
        <v>116.7086</v>
      </c>
      <c r="BY259" s="5">
        <v>18.995360000000002</v>
      </c>
      <c r="BZ259" s="5">
        <v>0</v>
      </c>
      <c r="CA259" s="5">
        <v>0.91764000000000001</v>
      </c>
      <c r="CB259" s="5">
        <v>947.46420000000001</v>
      </c>
      <c r="CC259" s="5">
        <v>979.41110000000003</v>
      </c>
      <c r="CD259" s="5">
        <v>120.6767</v>
      </c>
      <c r="CE259" s="5">
        <v>535.82000000000005</v>
      </c>
      <c r="CF259" s="5">
        <v>95.5</v>
      </c>
      <c r="CG259" s="5">
        <v>110.34</v>
      </c>
      <c r="CH259" s="5">
        <v>473.95</v>
      </c>
      <c r="CI259" s="5">
        <v>493.17</v>
      </c>
      <c r="CJ259" s="5">
        <v>507.56</v>
      </c>
      <c r="CK259" s="5">
        <v>528.13</v>
      </c>
      <c r="CL259" s="5">
        <v>529.69000000000005</v>
      </c>
      <c r="CM259" s="5">
        <v>530.66999999999996</v>
      </c>
      <c r="CN259" s="5">
        <v>398.61</v>
      </c>
      <c r="CO259" s="5">
        <v>29.1</v>
      </c>
      <c r="CP259" s="5">
        <v>827.3</v>
      </c>
      <c r="CQ259" s="5">
        <v>831.04</v>
      </c>
      <c r="CR259" s="5">
        <v>14.8</v>
      </c>
      <c r="CS259" s="5">
        <v>14.9</v>
      </c>
      <c r="CT259" s="5">
        <v>24.93</v>
      </c>
      <c r="CU259" s="5">
        <v>49.96</v>
      </c>
      <c r="CV259" s="5">
        <v>98.77</v>
      </c>
      <c r="CW259" s="5">
        <v>0.88314374751950064</v>
      </c>
      <c r="CX259" s="5">
        <v>2.684756992459282</v>
      </c>
    </row>
    <row r="260" spans="1:102" x14ac:dyDescent="0.25">
      <c r="A260" s="5">
        <v>41</v>
      </c>
      <c r="B260" s="23">
        <v>41409.73069921296</v>
      </c>
      <c r="C260" s="5">
        <v>9</v>
      </c>
      <c r="D260" s="5">
        <v>7</v>
      </c>
      <c r="E260" s="5">
        <v>835</v>
      </c>
      <c r="F260" s="5">
        <v>835</v>
      </c>
      <c r="G260" s="5">
        <v>835</v>
      </c>
      <c r="H260" s="5">
        <v>91.7</v>
      </c>
      <c r="I260" s="5">
        <v>91.7</v>
      </c>
      <c r="J260" s="5">
        <v>1800</v>
      </c>
      <c r="K260" s="5">
        <v>36</v>
      </c>
      <c r="L260" s="5">
        <v>36</v>
      </c>
      <c r="M260" s="5">
        <v>0.25</v>
      </c>
      <c r="N260" s="5">
        <v>0.249914</v>
      </c>
      <c r="O260" s="5">
        <v>1</v>
      </c>
      <c r="P260" s="5">
        <v>1.0689740000000001</v>
      </c>
      <c r="Q260" s="5">
        <v>3.73</v>
      </c>
      <c r="R260" s="5">
        <v>3.7353519999999998</v>
      </c>
      <c r="S260" s="5">
        <v>186.24</v>
      </c>
      <c r="T260" s="5">
        <v>186.23439999999999</v>
      </c>
      <c r="U260" s="5">
        <v>4.03</v>
      </c>
      <c r="V260" s="5">
        <v>4.03125</v>
      </c>
      <c r="W260" s="5">
        <v>300</v>
      </c>
      <c r="X260" s="5">
        <v>300</v>
      </c>
      <c r="Y260" s="5">
        <v>0</v>
      </c>
      <c r="Z260" s="5">
        <v>0</v>
      </c>
      <c r="AA260" s="5">
        <v>300</v>
      </c>
      <c r="AB260" s="5">
        <v>300</v>
      </c>
      <c r="AC260" s="5">
        <v>0</v>
      </c>
      <c r="AD260" s="5">
        <v>166.77010000000001</v>
      </c>
      <c r="AE260" s="5">
        <v>160</v>
      </c>
      <c r="AF260" s="5">
        <v>160</v>
      </c>
      <c r="AG260" s="5">
        <v>28</v>
      </c>
      <c r="AH260" s="5">
        <v>0.23</v>
      </c>
      <c r="AI260" s="5">
        <v>105.78</v>
      </c>
      <c r="AJ260" s="5">
        <v>124.07</v>
      </c>
      <c r="AK260" s="5">
        <v>183.2</v>
      </c>
      <c r="AL260" s="5">
        <v>184.4</v>
      </c>
      <c r="AM260" s="5">
        <v>581.13</v>
      </c>
      <c r="AN260" s="5">
        <v>249.9186</v>
      </c>
      <c r="AO260" s="5">
        <v>152.36000000000001</v>
      </c>
      <c r="AP260" s="5">
        <v>150.99</v>
      </c>
      <c r="AQ260" s="5">
        <v>171.54</v>
      </c>
      <c r="AR260" s="5">
        <v>717.66</v>
      </c>
      <c r="AS260" s="5">
        <v>30.84</v>
      </c>
      <c r="AT260" s="5">
        <v>64.959999999999994</v>
      </c>
      <c r="AU260" s="5">
        <v>109</v>
      </c>
      <c r="AV260" s="5">
        <v>110.51</v>
      </c>
      <c r="AW260" s="5">
        <v>0.22800000000000001</v>
      </c>
      <c r="AX260" s="5">
        <v>3.22</v>
      </c>
      <c r="AY260" s="5">
        <v>10000000000</v>
      </c>
      <c r="AZ260" s="5">
        <v>436.51</v>
      </c>
      <c r="BA260" s="5">
        <v>16.36</v>
      </c>
      <c r="BB260" s="5">
        <v>9.65</v>
      </c>
      <c r="BC260" s="5">
        <v>1.47</v>
      </c>
      <c r="BD260" s="5">
        <v>7.22</v>
      </c>
      <c r="BE260" s="5">
        <v>3.21</v>
      </c>
      <c r="BF260" s="5">
        <v>555.46</v>
      </c>
      <c r="BG260" s="5">
        <v>15.26</v>
      </c>
      <c r="BH260" s="5">
        <v>10000000000</v>
      </c>
      <c r="BI260" s="5">
        <v>209.9</v>
      </c>
      <c r="BJ260" s="5">
        <v>21.7</v>
      </c>
      <c r="BK260" s="5">
        <v>82.5</v>
      </c>
      <c r="BL260" s="5">
        <v>129.16</v>
      </c>
      <c r="BM260" s="5">
        <v>2.71</v>
      </c>
      <c r="BN260" s="5">
        <v>30.34</v>
      </c>
      <c r="BO260" s="5">
        <v>37.950000000000003</v>
      </c>
      <c r="BP260" s="5">
        <v>750.44</v>
      </c>
      <c r="BQ260" s="5">
        <v>65.2774</v>
      </c>
      <c r="BR260" s="5">
        <v>279.30709999999999</v>
      </c>
      <c r="BS260" s="5">
        <v>40.324869999999997</v>
      </c>
      <c r="BT260" s="5">
        <v>36.48312</v>
      </c>
      <c r="BU260" s="5">
        <v>36.081769999999999</v>
      </c>
      <c r="BV260" s="5">
        <v>0.108567</v>
      </c>
      <c r="BW260" s="5">
        <v>0.1081</v>
      </c>
      <c r="BX260" s="5">
        <v>116.676</v>
      </c>
      <c r="BY260" s="5">
        <v>18.995360000000002</v>
      </c>
      <c r="BZ260" s="5">
        <v>0</v>
      </c>
      <c r="CA260" s="5">
        <v>0.91764199999999996</v>
      </c>
      <c r="CB260" s="5">
        <v>890.47059999999999</v>
      </c>
      <c r="CC260" s="5">
        <v>922.42139999999995</v>
      </c>
      <c r="CD260" s="5">
        <v>120.7064</v>
      </c>
      <c r="CE260" s="5">
        <v>542.30999999999995</v>
      </c>
      <c r="CF260" s="5">
        <v>92.54</v>
      </c>
      <c r="CG260" s="5">
        <v>106.42</v>
      </c>
      <c r="CH260" s="5">
        <v>482.51</v>
      </c>
      <c r="CI260" s="5">
        <v>504.5</v>
      </c>
      <c r="CJ260" s="5">
        <v>518.97</v>
      </c>
      <c r="CK260" s="5">
        <v>549.57000000000005</v>
      </c>
      <c r="CL260" s="5">
        <v>540.42999999999995</v>
      </c>
      <c r="CM260" s="5">
        <v>544.02</v>
      </c>
      <c r="CN260" s="5">
        <v>429.94</v>
      </c>
      <c r="CO260" s="5">
        <v>28.68</v>
      </c>
      <c r="CP260" s="5">
        <v>831.4</v>
      </c>
      <c r="CQ260" s="5">
        <v>835.04</v>
      </c>
      <c r="CR260" s="5">
        <v>14.9</v>
      </c>
      <c r="CS260" s="5">
        <v>15</v>
      </c>
      <c r="CT260" s="5">
        <v>24.89</v>
      </c>
      <c r="CU260" s="5">
        <v>49.45</v>
      </c>
      <c r="CV260" s="5">
        <v>98.78</v>
      </c>
      <c r="CW260" s="5">
        <v>0.87430196003340976</v>
      </c>
      <c r="CX260" s="5">
        <v>2.8065092917072452</v>
      </c>
    </row>
    <row r="261" spans="1:102" x14ac:dyDescent="0.25">
      <c r="A261" s="5">
        <v>37</v>
      </c>
      <c r="B261" s="23">
        <v>41409.709013483793</v>
      </c>
      <c r="C261" s="5">
        <v>9</v>
      </c>
      <c r="D261" s="5">
        <v>3</v>
      </c>
      <c r="E261" s="5">
        <v>817</v>
      </c>
      <c r="F261" s="5">
        <v>817</v>
      </c>
      <c r="G261" s="5">
        <v>817.1</v>
      </c>
      <c r="H261" s="5">
        <v>91.7</v>
      </c>
      <c r="I261" s="5">
        <v>91.7</v>
      </c>
      <c r="J261" s="5">
        <v>1800</v>
      </c>
      <c r="K261" s="5">
        <v>13</v>
      </c>
      <c r="L261" s="5">
        <v>13</v>
      </c>
      <c r="M261" s="5">
        <v>0.13</v>
      </c>
      <c r="N261" s="5">
        <v>0.130047</v>
      </c>
      <c r="O261" s="5">
        <v>1</v>
      </c>
      <c r="P261" s="5">
        <v>1.068967</v>
      </c>
      <c r="Q261" s="5">
        <v>3.32</v>
      </c>
      <c r="R261" s="5">
        <v>3.3178709999999998</v>
      </c>
      <c r="S261" s="5">
        <v>186.13</v>
      </c>
      <c r="T261" s="5">
        <v>186.125</v>
      </c>
      <c r="U261" s="5">
        <v>3.75</v>
      </c>
      <c r="V261" s="5">
        <v>3.75</v>
      </c>
      <c r="W261" s="5">
        <v>300</v>
      </c>
      <c r="X261" s="5">
        <v>300</v>
      </c>
      <c r="Y261" s="5">
        <v>0</v>
      </c>
      <c r="Z261" s="5">
        <v>0</v>
      </c>
      <c r="AA261" s="5">
        <v>300</v>
      </c>
      <c r="AB261" s="5">
        <v>300</v>
      </c>
      <c r="AC261" s="5">
        <v>0</v>
      </c>
      <c r="AD261" s="5">
        <v>137.86580000000001</v>
      </c>
      <c r="AE261" s="5">
        <v>160</v>
      </c>
      <c r="AF261" s="5">
        <v>160</v>
      </c>
      <c r="AG261" s="5">
        <v>28</v>
      </c>
      <c r="AH261" s="5">
        <v>0.23</v>
      </c>
      <c r="AI261" s="5">
        <v>92.19</v>
      </c>
      <c r="AJ261" s="5">
        <v>112.28</v>
      </c>
      <c r="AK261" s="5">
        <v>129.93</v>
      </c>
      <c r="AL261" s="5">
        <v>133.93</v>
      </c>
      <c r="AM261" s="5">
        <v>641.70000000000005</v>
      </c>
      <c r="AN261" s="5">
        <v>207.84379999999999</v>
      </c>
      <c r="AO261" s="5">
        <v>109.55</v>
      </c>
      <c r="AP261" s="5">
        <v>124.48</v>
      </c>
      <c r="AQ261" s="5">
        <v>127.9</v>
      </c>
      <c r="AR261" s="5">
        <v>672.04</v>
      </c>
      <c r="AS261" s="5">
        <v>20.38</v>
      </c>
      <c r="AT261" s="5">
        <v>59.38</v>
      </c>
      <c r="AU261" s="5">
        <v>99.22</v>
      </c>
      <c r="AV261" s="5">
        <v>110.55</v>
      </c>
      <c r="AW261" s="5">
        <v>0.245</v>
      </c>
      <c r="AX261" s="5">
        <v>3.47</v>
      </c>
      <c r="AY261" s="5">
        <v>10000000000</v>
      </c>
      <c r="AZ261" s="5">
        <v>511.79</v>
      </c>
      <c r="BA261" s="5">
        <v>16.47</v>
      </c>
      <c r="BB261" s="5">
        <v>10.4</v>
      </c>
      <c r="BC261" s="5">
        <v>0.72</v>
      </c>
      <c r="BD261" s="5">
        <v>6.23</v>
      </c>
      <c r="BE261" s="5">
        <v>5.39</v>
      </c>
      <c r="BF261" s="5">
        <v>985.99</v>
      </c>
      <c r="BG261" s="5">
        <v>6.91</v>
      </c>
      <c r="BH261" s="5">
        <v>10000000000</v>
      </c>
      <c r="BI261" s="5">
        <v>213.2</v>
      </c>
      <c r="BJ261" s="5">
        <v>20.5</v>
      </c>
      <c r="BK261" s="5">
        <v>85.4</v>
      </c>
      <c r="BL261" s="5">
        <v>49.85</v>
      </c>
      <c r="BM261" s="5">
        <v>2.23</v>
      </c>
      <c r="BN261" s="5">
        <v>29.63</v>
      </c>
      <c r="BO261" s="5">
        <v>38.479999999999997</v>
      </c>
      <c r="BP261" s="5">
        <v>704.61</v>
      </c>
      <c r="BQ261" s="5">
        <v>60.295099999999998</v>
      </c>
      <c r="BR261" s="5">
        <v>233.29560000000001</v>
      </c>
      <c r="BS261" s="5">
        <v>40.592860000000002</v>
      </c>
      <c r="BT261" s="5">
        <v>32.141550000000002</v>
      </c>
      <c r="BU261" s="5">
        <v>32.500230000000002</v>
      </c>
      <c r="BV261" s="5">
        <v>0.10856499999999999</v>
      </c>
      <c r="BW261" s="5">
        <v>8.0995999999999999E-2</v>
      </c>
      <c r="BX261" s="5">
        <v>115.9765</v>
      </c>
      <c r="BY261" s="5">
        <v>18.995360000000002</v>
      </c>
      <c r="BZ261" s="5">
        <v>0</v>
      </c>
      <c r="CA261" s="5">
        <v>0.91794900000000001</v>
      </c>
      <c r="CB261" s="5">
        <v>751.92169999999999</v>
      </c>
      <c r="CC261" s="5">
        <v>783.61329999999998</v>
      </c>
      <c r="CD261" s="5">
        <v>119.7295</v>
      </c>
      <c r="CE261" s="5">
        <v>503.63</v>
      </c>
      <c r="CF261" s="5">
        <v>84.31</v>
      </c>
      <c r="CG261" s="5">
        <v>98.46</v>
      </c>
      <c r="CH261" s="5">
        <v>533.16999999999996</v>
      </c>
      <c r="CI261" s="5">
        <v>556.55999999999995</v>
      </c>
      <c r="CJ261" s="5">
        <v>571.05999999999995</v>
      </c>
      <c r="CK261" s="5">
        <v>593.29999999999995</v>
      </c>
      <c r="CL261" s="5">
        <v>590.52</v>
      </c>
      <c r="CM261" s="5">
        <v>581.08000000000004</v>
      </c>
      <c r="CN261" s="5">
        <v>513.83000000000004</v>
      </c>
      <c r="CO261" s="5">
        <v>28.77</v>
      </c>
      <c r="CP261" s="5">
        <v>812.1</v>
      </c>
      <c r="CQ261" s="5">
        <v>817.06</v>
      </c>
      <c r="CR261" s="5">
        <v>14.5</v>
      </c>
      <c r="CS261" s="5">
        <v>14.6</v>
      </c>
      <c r="CT261" s="5">
        <v>25.98</v>
      </c>
      <c r="CU261" s="5">
        <v>47.83</v>
      </c>
      <c r="CV261" s="5">
        <v>98.73</v>
      </c>
      <c r="CW261" s="5">
        <v>0.88464009518839026</v>
      </c>
      <c r="CX261" s="5">
        <v>4.7682101130654235</v>
      </c>
    </row>
    <row r="262" spans="1:102" x14ac:dyDescent="0.25">
      <c r="A262" s="5">
        <v>15</v>
      </c>
      <c r="B262" s="23">
        <v>41410.694753842596</v>
      </c>
      <c r="C262" s="5">
        <v>9</v>
      </c>
      <c r="D262" s="5">
        <v>21</v>
      </c>
      <c r="E262" s="5">
        <v>915</v>
      </c>
      <c r="F262" s="5">
        <v>915</v>
      </c>
      <c r="G262" s="5">
        <v>915</v>
      </c>
      <c r="H262" s="5">
        <v>91.7</v>
      </c>
      <c r="I262" s="5">
        <v>91.7</v>
      </c>
      <c r="J262" s="5">
        <v>1800</v>
      </c>
      <c r="K262" s="5">
        <v>26</v>
      </c>
      <c r="L262" s="5">
        <v>26</v>
      </c>
      <c r="M262" s="5">
        <v>0.15</v>
      </c>
      <c r="N262" s="5">
        <v>0.150029</v>
      </c>
      <c r="O262" s="5">
        <v>1</v>
      </c>
      <c r="P262" s="5">
        <v>1.0690230000000001</v>
      </c>
      <c r="Q262" s="5">
        <v>4.7300000000000004</v>
      </c>
      <c r="R262" s="5">
        <v>4.7351070000000002</v>
      </c>
      <c r="S262" s="5">
        <v>185.4</v>
      </c>
      <c r="T262" s="5">
        <v>182.94810000000001</v>
      </c>
      <c r="U262" s="5">
        <v>5</v>
      </c>
      <c r="V262" s="5">
        <v>5</v>
      </c>
      <c r="W262" s="5">
        <v>300</v>
      </c>
      <c r="X262" s="5">
        <v>300</v>
      </c>
      <c r="Y262" s="5">
        <v>0</v>
      </c>
      <c r="Z262" s="5">
        <v>0</v>
      </c>
      <c r="AA262" s="5">
        <v>260.68</v>
      </c>
      <c r="AB262" s="5">
        <v>261</v>
      </c>
      <c r="AC262" s="5">
        <v>0</v>
      </c>
      <c r="AD262" s="5">
        <v>163.7552</v>
      </c>
      <c r="AE262" s="5">
        <v>160</v>
      </c>
      <c r="AF262" s="5">
        <v>160</v>
      </c>
      <c r="AG262" s="5">
        <v>28</v>
      </c>
      <c r="AH262" s="5">
        <v>0.23</v>
      </c>
      <c r="AI262" s="5">
        <v>109.03</v>
      </c>
      <c r="AJ262" s="5">
        <v>125.33</v>
      </c>
      <c r="AK262" s="5">
        <v>176.67</v>
      </c>
      <c r="AL262" s="5">
        <v>179.32</v>
      </c>
      <c r="AM262" s="5">
        <v>632.17999999999995</v>
      </c>
      <c r="AN262" s="5">
        <v>243.67939999999999</v>
      </c>
      <c r="AO262" s="5">
        <v>144.81</v>
      </c>
      <c r="AP262" s="5">
        <v>152.06</v>
      </c>
      <c r="AQ262" s="5">
        <v>164.93</v>
      </c>
      <c r="AR262" s="5">
        <v>749.61</v>
      </c>
      <c r="AS262" s="5">
        <v>31.87</v>
      </c>
      <c r="AT262" s="5">
        <v>61.3</v>
      </c>
      <c r="AU262" s="5">
        <v>102.75</v>
      </c>
      <c r="AV262" s="5">
        <v>110.89</v>
      </c>
      <c r="AW262" s="5">
        <v>0.245</v>
      </c>
      <c r="AX262" s="5">
        <v>3.47</v>
      </c>
      <c r="AY262" s="5">
        <v>10000000000</v>
      </c>
      <c r="AZ262" s="5">
        <v>483.39</v>
      </c>
      <c r="BA262" s="5">
        <v>13.73</v>
      </c>
      <c r="BB262" s="5">
        <v>10.26</v>
      </c>
      <c r="BC262" s="5">
        <v>1.01</v>
      </c>
      <c r="BD262" s="5">
        <v>6.38</v>
      </c>
      <c r="BE262" s="5">
        <v>4.72</v>
      </c>
      <c r="BF262" s="5">
        <v>865.5</v>
      </c>
      <c r="BG262" s="5">
        <v>9.8000000000000007</v>
      </c>
      <c r="BH262" s="5">
        <v>10000000000</v>
      </c>
      <c r="BI262" s="5">
        <v>210.6</v>
      </c>
      <c r="BJ262" s="5">
        <v>20.6</v>
      </c>
      <c r="BK262" s="5">
        <v>83.7</v>
      </c>
      <c r="BL262" s="5">
        <v>81.44</v>
      </c>
      <c r="BM262" s="5">
        <v>2.62</v>
      </c>
      <c r="BN262" s="5">
        <v>29.89</v>
      </c>
      <c r="BO262" s="5">
        <v>38.4</v>
      </c>
      <c r="BP262" s="5">
        <v>786.02</v>
      </c>
      <c r="BQ262" s="5">
        <v>62.065620000000003</v>
      </c>
      <c r="BR262" s="5">
        <v>278.00819999999999</v>
      </c>
      <c r="BS262" s="5">
        <v>36.615250000000003</v>
      </c>
      <c r="BT262" s="5">
        <v>32.557769999999998</v>
      </c>
      <c r="BU262" s="5">
        <v>32.179609999999997</v>
      </c>
      <c r="BV262" s="5">
        <v>0.10406799999999999</v>
      </c>
      <c r="BW262" s="5">
        <v>0.102315</v>
      </c>
      <c r="BX262" s="5">
        <v>128.7405</v>
      </c>
      <c r="BY262" s="5">
        <v>18.995360000000002</v>
      </c>
      <c r="BZ262" s="5">
        <v>0</v>
      </c>
      <c r="CA262" s="5">
        <v>0.91473899999999997</v>
      </c>
      <c r="CB262" s="5">
        <v>873.78380000000004</v>
      </c>
      <c r="CC262" s="5">
        <v>909.19420000000002</v>
      </c>
      <c r="CD262" s="5">
        <v>133.7405</v>
      </c>
      <c r="CE262" s="5">
        <v>552.64</v>
      </c>
      <c r="CF262" s="5">
        <v>87.22</v>
      </c>
      <c r="CG262" s="5">
        <v>100.23</v>
      </c>
      <c r="CH262" s="5">
        <v>526.72</v>
      </c>
      <c r="CI262" s="5">
        <v>548.73</v>
      </c>
      <c r="CJ262" s="5">
        <v>564.72</v>
      </c>
      <c r="CK262" s="5">
        <v>586.04999999999995</v>
      </c>
      <c r="CL262" s="5">
        <v>586.66999999999996</v>
      </c>
      <c r="CM262" s="5">
        <v>585.53</v>
      </c>
      <c r="CN262" s="5">
        <v>482.52</v>
      </c>
      <c r="CO262" s="5">
        <v>28.69</v>
      </c>
      <c r="CP262" s="5">
        <v>910.6</v>
      </c>
      <c r="CQ262" s="5">
        <v>915.04</v>
      </c>
      <c r="CR262" s="5">
        <v>16.3</v>
      </c>
      <c r="CS262" s="5">
        <v>16.399999999999999</v>
      </c>
      <c r="CT262" s="5">
        <v>23.28</v>
      </c>
      <c r="CU262" s="5">
        <v>41.45</v>
      </c>
      <c r="CV262" s="5">
        <v>99.05</v>
      </c>
      <c r="CW262" s="5">
        <v>0.8620949703106261</v>
      </c>
      <c r="CX262" s="5">
        <v>4.0690882598661551</v>
      </c>
    </row>
    <row r="263" spans="1:102" x14ac:dyDescent="0.25">
      <c r="A263" s="5">
        <v>17</v>
      </c>
      <c r="B263" s="23">
        <v>41410.710798194443</v>
      </c>
      <c r="C263" s="5">
        <v>9</v>
      </c>
      <c r="D263" s="5">
        <v>24</v>
      </c>
      <c r="E263" s="5">
        <v>934</v>
      </c>
      <c r="F263" s="5">
        <v>934</v>
      </c>
      <c r="G263" s="5">
        <v>934.1</v>
      </c>
      <c r="H263" s="5">
        <v>91.7</v>
      </c>
      <c r="I263" s="5">
        <v>91.7</v>
      </c>
      <c r="J263" s="5">
        <v>1800</v>
      </c>
      <c r="K263" s="5">
        <v>41</v>
      </c>
      <c r="L263" s="5">
        <v>41</v>
      </c>
      <c r="M263" s="5">
        <v>0.34</v>
      </c>
      <c r="N263" s="5">
        <v>0.34009800000000001</v>
      </c>
      <c r="O263" s="5">
        <v>1</v>
      </c>
      <c r="P263" s="5">
        <v>1.0689820000000001</v>
      </c>
      <c r="Q263" s="5">
        <v>4.12</v>
      </c>
      <c r="R263" s="5">
        <v>4.1198730000000001</v>
      </c>
      <c r="S263" s="5">
        <v>183.77</v>
      </c>
      <c r="T263" s="5">
        <v>181.2259</v>
      </c>
      <c r="U263" s="5">
        <v>5</v>
      </c>
      <c r="V263" s="5">
        <v>5</v>
      </c>
      <c r="W263" s="5">
        <v>300</v>
      </c>
      <c r="X263" s="5">
        <v>300</v>
      </c>
      <c r="Y263" s="5">
        <v>0</v>
      </c>
      <c r="Z263" s="5">
        <v>0</v>
      </c>
      <c r="AA263" s="5">
        <v>210.87</v>
      </c>
      <c r="AB263" s="5">
        <v>211</v>
      </c>
      <c r="AC263" s="5">
        <v>0</v>
      </c>
      <c r="AD263" s="5">
        <v>182.1182</v>
      </c>
      <c r="AE263" s="5">
        <v>160</v>
      </c>
      <c r="AF263" s="5">
        <v>160</v>
      </c>
      <c r="AG263" s="5">
        <v>28</v>
      </c>
      <c r="AH263" s="5">
        <v>0.23</v>
      </c>
      <c r="AI263" s="5">
        <v>114.53</v>
      </c>
      <c r="AJ263" s="5">
        <v>131.58000000000001</v>
      </c>
      <c r="AK263" s="5">
        <v>215.55</v>
      </c>
      <c r="AL263" s="5">
        <v>214.65</v>
      </c>
      <c r="AM263" s="5">
        <v>617.25</v>
      </c>
      <c r="AN263" s="5">
        <v>276.98590000000002</v>
      </c>
      <c r="AO263" s="5">
        <v>179.35</v>
      </c>
      <c r="AP263" s="5">
        <v>170.43</v>
      </c>
      <c r="AQ263" s="5">
        <v>198.76</v>
      </c>
      <c r="AR263" s="5">
        <v>737.94</v>
      </c>
      <c r="AS263" s="5">
        <v>36.229999999999997</v>
      </c>
      <c r="AT263" s="5">
        <v>72.400000000000006</v>
      </c>
      <c r="AU263" s="5">
        <v>126.68</v>
      </c>
      <c r="AV263" s="5">
        <v>115.87</v>
      </c>
      <c r="AW263" s="5">
        <v>0.69</v>
      </c>
      <c r="AX263" s="5">
        <v>11.19</v>
      </c>
      <c r="AY263" s="5">
        <v>10000000000</v>
      </c>
      <c r="AZ263" s="5">
        <v>552.27</v>
      </c>
      <c r="BA263" s="5">
        <v>11.94</v>
      </c>
      <c r="BB263" s="5">
        <v>10.68</v>
      </c>
      <c r="BC263" s="5">
        <v>2.12</v>
      </c>
      <c r="BD263" s="5">
        <v>5.86</v>
      </c>
      <c r="BE263" s="5">
        <v>1.78</v>
      </c>
      <c r="BF263" s="5">
        <v>341.44</v>
      </c>
      <c r="BG263" s="5">
        <v>19.88</v>
      </c>
      <c r="BH263" s="5">
        <v>10000000000</v>
      </c>
      <c r="BI263" s="5">
        <v>212.3</v>
      </c>
      <c r="BJ263" s="5">
        <v>19.7</v>
      </c>
      <c r="BK263" s="5">
        <v>81.099999999999994</v>
      </c>
      <c r="BL263" s="5">
        <v>182.97</v>
      </c>
      <c r="BM263" s="5">
        <v>3</v>
      </c>
      <c r="BN263" s="5">
        <v>30.93</v>
      </c>
      <c r="BO263" s="5">
        <v>38.81</v>
      </c>
      <c r="BP263" s="5">
        <v>775</v>
      </c>
      <c r="BQ263" s="5">
        <v>71.348749999999995</v>
      </c>
      <c r="BR263" s="5">
        <v>307.00540000000001</v>
      </c>
      <c r="BS263" s="5">
        <v>35.807850000000002</v>
      </c>
      <c r="BT263" s="5">
        <v>35.048580000000001</v>
      </c>
      <c r="BU263" s="5">
        <v>34.51182</v>
      </c>
      <c r="BV263" s="5">
        <v>0.10465099999999999</v>
      </c>
      <c r="BW263" s="5">
        <v>0.10076300000000001</v>
      </c>
      <c r="BX263" s="5">
        <v>132.70769999999999</v>
      </c>
      <c r="BY263" s="5">
        <v>18.995360000000002</v>
      </c>
      <c r="BZ263" s="5">
        <v>0</v>
      </c>
      <c r="CA263" s="5">
        <v>0.91523600000000005</v>
      </c>
      <c r="CB263" s="5">
        <v>967.20309999999995</v>
      </c>
      <c r="CC263" s="5">
        <v>1003.677</v>
      </c>
      <c r="CD263" s="5">
        <v>137.71010000000001</v>
      </c>
      <c r="CE263" s="5">
        <v>585.82000000000005</v>
      </c>
      <c r="CF263" s="5">
        <v>105.98</v>
      </c>
      <c r="CG263" s="5">
        <v>125.16</v>
      </c>
      <c r="CH263" s="5">
        <v>516.61</v>
      </c>
      <c r="CI263" s="5">
        <v>536.55999999999995</v>
      </c>
      <c r="CJ263" s="5">
        <v>552.38</v>
      </c>
      <c r="CK263" s="5">
        <v>576.97</v>
      </c>
      <c r="CL263" s="5">
        <v>576.70000000000005</v>
      </c>
      <c r="CM263" s="5">
        <v>578.01</v>
      </c>
      <c r="CN263" s="5">
        <v>450.1</v>
      </c>
      <c r="CO263" s="5">
        <v>28.16</v>
      </c>
      <c r="CP263" s="5">
        <v>930.2</v>
      </c>
      <c r="CQ263" s="5">
        <v>934.05</v>
      </c>
      <c r="CR263" s="5">
        <v>16.7</v>
      </c>
      <c r="CS263" s="5">
        <v>16.7</v>
      </c>
      <c r="CT263" s="5">
        <v>22.84</v>
      </c>
      <c r="CU263" s="5">
        <v>42.56</v>
      </c>
      <c r="CV263" s="5">
        <v>99.05</v>
      </c>
      <c r="CW263" s="5">
        <v>0.86284380313132047</v>
      </c>
      <c r="CX263" s="5">
        <v>1.5358619695737505</v>
      </c>
    </row>
    <row r="264" spans="1:102" x14ac:dyDescent="0.25">
      <c r="A264" s="5">
        <v>1</v>
      </c>
      <c r="B264" s="23">
        <v>41410.447354189811</v>
      </c>
      <c r="C264" s="5">
        <v>9</v>
      </c>
      <c r="D264" s="5">
        <v>8</v>
      </c>
      <c r="E264" s="5">
        <v>840</v>
      </c>
      <c r="F264" s="5">
        <v>840</v>
      </c>
      <c r="G264" s="5">
        <v>840.1</v>
      </c>
      <c r="H264" s="5">
        <v>91.7</v>
      </c>
      <c r="I264" s="5">
        <v>91.7</v>
      </c>
      <c r="J264" s="5">
        <v>1800</v>
      </c>
      <c r="K264" s="5">
        <v>18</v>
      </c>
      <c r="L264" s="5">
        <v>18</v>
      </c>
      <c r="M264" s="5">
        <v>0.28999999999999998</v>
      </c>
      <c r="N264" s="5">
        <v>0.28998099999999999</v>
      </c>
      <c r="O264" s="5">
        <v>1</v>
      </c>
      <c r="P264" s="5">
        <v>1.0690189999999999</v>
      </c>
      <c r="Q264" s="5">
        <v>3.84</v>
      </c>
      <c r="R264" s="5">
        <v>3.845215</v>
      </c>
      <c r="S264" s="5">
        <v>186.27</v>
      </c>
      <c r="T264" s="5">
        <v>186.26560000000001</v>
      </c>
      <c r="U264" s="5">
        <v>4.0999999999999996</v>
      </c>
      <c r="V264" s="5">
        <v>4.09375</v>
      </c>
      <c r="W264" s="5">
        <v>300</v>
      </c>
      <c r="X264" s="5">
        <v>300</v>
      </c>
      <c r="Y264" s="5">
        <v>0</v>
      </c>
      <c r="Z264" s="5">
        <v>0</v>
      </c>
      <c r="AA264" s="5">
        <v>300</v>
      </c>
      <c r="AB264" s="5">
        <v>300</v>
      </c>
      <c r="AC264" s="5">
        <v>0</v>
      </c>
      <c r="AD264" s="5">
        <v>139.80869999999999</v>
      </c>
      <c r="AE264" s="5">
        <v>160</v>
      </c>
      <c r="AF264" s="5">
        <v>160</v>
      </c>
      <c r="AG264" s="5">
        <v>28</v>
      </c>
      <c r="AH264" s="5">
        <v>0.23</v>
      </c>
      <c r="AI264" s="5">
        <v>93.81</v>
      </c>
      <c r="AJ264" s="5">
        <v>114.56</v>
      </c>
      <c r="AK264" s="5">
        <v>129.88</v>
      </c>
      <c r="AL264" s="5">
        <v>131.55000000000001</v>
      </c>
      <c r="AM264" s="5">
        <v>661.61</v>
      </c>
      <c r="AN264" s="5">
        <v>212.11269999999999</v>
      </c>
      <c r="AO264" s="5">
        <v>113.38</v>
      </c>
      <c r="AP264" s="5">
        <v>139.47999999999999</v>
      </c>
      <c r="AQ264" s="5">
        <v>130.61000000000001</v>
      </c>
      <c r="AR264" s="5">
        <v>659.18</v>
      </c>
      <c r="AS264" s="5">
        <v>16.5</v>
      </c>
      <c r="AT264" s="5">
        <v>61.91</v>
      </c>
      <c r="AU264" s="5">
        <v>102.8</v>
      </c>
      <c r="AV264" s="5">
        <v>121.78</v>
      </c>
      <c r="AW264" s="5">
        <v>0.82</v>
      </c>
      <c r="AX264" s="5">
        <v>13.84</v>
      </c>
      <c r="AY264" s="5">
        <v>10000000000</v>
      </c>
      <c r="AZ264" s="5">
        <v>711.1</v>
      </c>
      <c r="BA264" s="5">
        <v>19.95</v>
      </c>
      <c r="BB264" s="5">
        <v>11.15</v>
      </c>
      <c r="BC264" s="5">
        <v>1.38</v>
      </c>
      <c r="BD264" s="5">
        <v>4.97</v>
      </c>
      <c r="BE264" s="5">
        <v>3.28</v>
      </c>
      <c r="BF264" s="5">
        <v>635.33000000000004</v>
      </c>
      <c r="BG264" s="5">
        <v>12.39</v>
      </c>
      <c r="BH264" s="5">
        <v>10000000000</v>
      </c>
      <c r="BI264" s="5">
        <v>214.2</v>
      </c>
      <c r="BJ264" s="5">
        <v>19.399999999999999</v>
      </c>
      <c r="BK264" s="5">
        <v>86.2</v>
      </c>
      <c r="BL264" s="5">
        <v>93.28</v>
      </c>
      <c r="BM264" s="5">
        <v>2.2999999999999998</v>
      </c>
      <c r="BN264" s="5">
        <v>30.21</v>
      </c>
      <c r="BO264" s="5">
        <v>38.950000000000003</v>
      </c>
      <c r="BP264" s="5">
        <v>693.25</v>
      </c>
      <c r="BQ264" s="5">
        <v>62.599739999999997</v>
      </c>
      <c r="BR264" s="5">
        <v>228.9419</v>
      </c>
      <c r="BS264" s="5">
        <v>39.34111</v>
      </c>
      <c r="BT264" s="5">
        <v>31.904540000000001</v>
      </c>
      <c r="BU264" s="5">
        <v>32.38026</v>
      </c>
      <c r="BV264" s="5">
        <v>0.1069</v>
      </c>
      <c r="BW264" s="5">
        <v>7.0713999999999999E-2</v>
      </c>
      <c r="BX264" s="5">
        <v>119.8964</v>
      </c>
      <c r="BY264" s="5">
        <v>18.995360000000002</v>
      </c>
      <c r="BZ264" s="5">
        <v>0</v>
      </c>
      <c r="CA264" s="5">
        <v>0.91643200000000002</v>
      </c>
      <c r="CB264" s="5">
        <v>760.90539999999999</v>
      </c>
      <c r="CC264" s="5">
        <v>793.73350000000005</v>
      </c>
      <c r="CD264" s="5">
        <v>123.9901</v>
      </c>
      <c r="CE264" s="5">
        <v>585.4</v>
      </c>
      <c r="CF264" s="5">
        <v>86.22</v>
      </c>
      <c r="CG264" s="5">
        <v>99.36</v>
      </c>
      <c r="CH264" s="5">
        <v>543.55999999999995</v>
      </c>
      <c r="CI264" s="5">
        <v>571.33000000000004</v>
      </c>
      <c r="CJ264" s="5">
        <v>583.72</v>
      </c>
      <c r="CK264" s="5">
        <v>613.75</v>
      </c>
      <c r="CL264" s="5">
        <v>606.14</v>
      </c>
      <c r="CM264" s="5">
        <v>608.88</v>
      </c>
      <c r="CN264" s="5">
        <v>524.11</v>
      </c>
      <c r="CO264" s="5">
        <v>31.69</v>
      </c>
      <c r="CP264" s="5">
        <v>841.1</v>
      </c>
      <c r="CQ264" s="5">
        <v>840.06</v>
      </c>
      <c r="CR264" s="5">
        <v>15.1</v>
      </c>
      <c r="CS264" s="5">
        <v>15.1</v>
      </c>
      <c r="CT264" s="5">
        <v>22.36</v>
      </c>
      <c r="CU264" s="5">
        <v>22.21</v>
      </c>
      <c r="CV264" s="5">
        <v>99.17</v>
      </c>
      <c r="CW264" s="5">
        <v>0.8074153189975688</v>
      </c>
      <c r="CX264" s="5">
        <v>2.6483222463120253</v>
      </c>
    </row>
    <row r="265" spans="1:102" x14ac:dyDescent="0.25">
      <c r="A265" s="5">
        <v>9</v>
      </c>
      <c r="B265" s="23">
        <v>41410.662217488425</v>
      </c>
      <c r="C265" s="5">
        <v>9</v>
      </c>
      <c r="D265" s="5">
        <v>15</v>
      </c>
      <c r="E265" s="5">
        <v>878</v>
      </c>
      <c r="F265" s="5">
        <v>878</v>
      </c>
      <c r="G265" s="5">
        <v>878.1</v>
      </c>
      <c r="H265" s="5">
        <v>91.7</v>
      </c>
      <c r="I265" s="5">
        <v>91.7</v>
      </c>
      <c r="J265" s="5">
        <v>1800</v>
      </c>
      <c r="K265" s="5">
        <v>40</v>
      </c>
      <c r="L265" s="5">
        <v>40</v>
      </c>
      <c r="M265" s="5">
        <v>0.23</v>
      </c>
      <c r="N265" s="5">
        <v>0.23003599999999999</v>
      </c>
      <c r="O265" s="5">
        <v>1</v>
      </c>
      <c r="P265" s="5">
        <v>1.068951</v>
      </c>
      <c r="Q265" s="5">
        <v>4.71</v>
      </c>
      <c r="R265" s="5">
        <v>4.7131350000000003</v>
      </c>
      <c r="S265" s="5">
        <v>186.53</v>
      </c>
      <c r="T265" s="5">
        <v>185.6927</v>
      </c>
      <c r="U265" s="5">
        <v>4.67</v>
      </c>
      <c r="V265" s="5">
        <v>4.65625</v>
      </c>
      <c r="W265" s="5">
        <v>300</v>
      </c>
      <c r="X265" s="5">
        <v>300</v>
      </c>
      <c r="Y265" s="5">
        <v>0</v>
      </c>
      <c r="Z265" s="5">
        <v>0</v>
      </c>
      <c r="AA265" s="5">
        <v>300</v>
      </c>
      <c r="AB265" s="5">
        <v>300</v>
      </c>
      <c r="AC265" s="5">
        <v>0</v>
      </c>
      <c r="AD265" s="5">
        <v>172.81229999999999</v>
      </c>
      <c r="AE265" s="5">
        <v>160</v>
      </c>
      <c r="AF265" s="5">
        <v>160</v>
      </c>
      <c r="AG265" s="5">
        <v>28</v>
      </c>
      <c r="AH265" s="5">
        <v>0.23</v>
      </c>
      <c r="AI265" s="5">
        <v>111.31</v>
      </c>
      <c r="AJ265" s="5">
        <v>127.87</v>
      </c>
      <c r="AK265" s="5">
        <v>201.87</v>
      </c>
      <c r="AL265" s="5">
        <v>202.47</v>
      </c>
      <c r="AM265" s="5">
        <v>591.83000000000004</v>
      </c>
      <c r="AN265" s="5">
        <v>259.54349999999999</v>
      </c>
      <c r="AO265" s="5">
        <v>161.41999999999999</v>
      </c>
      <c r="AP265" s="5">
        <v>163.11000000000001</v>
      </c>
      <c r="AQ265" s="5">
        <v>180.9</v>
      </c>
      <c r="AR265" s="5">
        <v>731.17</v>
      </c>
      <c r="AS265" s="5">
        <v>40.47</v>
      </c>
      <c r="AT265" s="5">
        <v>67.040000000000006</v>
      </c>
      <c r="AU265" s="5">
        <v>114.38</v>
      </c>
      <c r="AV265" s="5">
        <v>116.34</v>
      </c>
      <c r="AW265" s="5">
        <v>0.35399999999999998</v>
      </c>
      <c r="AX265" s="5">
        <v>5.18</v>
      </c>
      <c r="AY265" s="5">
        <v>10000000000</v>
      </c>
      <c r="AZ265" s="5">
        <v>459.67</v>
      </c>
      <c r="BA265" s="5">
        <v>15.22</v>
      </c>
      <c r="BB265" s="5">
        <v>9.99</v>
      </c>
      <c r="BC265" s="5">
        <v>1.68</v>
      </c>
      <c r="BD265" s="5">
        <v>6.73</v>
      </c>
      <c r="BE265" s="5">
        <v>2.96</v>
      </c>
      <c r="BF265" s="5">
        <v>530.66</v>
      </c>
      <c r="BG265" s="5">
        <v>16.77</v>
      </c>
      <c r="BH265" s="5">
        <v>10000000000</v>
      </c>
      <c r="BI265" s="5">
        <v>210.3</v>
      </c>
      <c r="BJ265" s="5">
        <v>21</v>
      </c>
      <c r="BK265" s="5">
        <v>82.6</v>
      </c>
      <c r="BL265" s="5">
        <v>147.38</v>
      </c>
      <c r="BM265" s="5">
        <v>2.81</v>
      </c>
      <c r="BN265" s="5">
        <v>30.52</v>
      </c>
      <c r="BO265" s="5">
        <v>38.24</v>
      </c>
      <c r="BP265" s="5">
        <v>766.3</v>
      </c>
      <c r="BQ265" s="5">
        <v>67.036770000000004</v>
      </c>
      <c r="BR265" s="5">
        <v>296.48599999999999</v>
      </c>
      <c r="BS265" s="5">
        <v>38.326340000000002</v>
      </c>
      <c r="BT265" s="5">
        <v>35.858110000000003</v>
      </c>
      <c r="BU265" s="5">
        <v>35.382080000000002</v>
      </c>
      <c r="BV265" s="5">
        <v>0.105126</v>
      </c>
      <c r="BW265" s="5">
        <v>0.103327</v>
      </c>
      <c r="BX265" s="5">
        <v>122.723</v>
      </c>
      <c r="BY265" s="5">
        <v>18.995360000000002</v>
      </c>
      <c r="BZ265" s="5">
        <v>0</v>
      </c>
      <c r="CA265" s="5">
        <v>0.91521699999999995</v>
      </c>
      <c r="CB265" s="5">
        <v>917.45749999999998</v>
      </c>
      <c r="CC265" s="5">
        <v>951.17579999999998</v>
      </c>
      <c r="CD265" s="5">
        <v>127.3792</v>
      </c>
      <c r="CE265" s="5">
        <v>560.4</v>
      </c>
      <c r="CF265" s="5">
        <v>96.14</v>
      </c>
      <c r="CG265" s="5">
        <v>111.56</v>
      </c>
      <c r="CH265" s="5">
        <v>498.84</v>
      </c>
      <c r="CI265" s="5">
        <v>519.54999999999995</v>
      </c>
      <c r="CJ265" s="5">
        <v>533.5</v>
      </c>
      <c r="CK265" s="5">
        <v>558.08000000000004</v>
      </c>
      <c r="CL265" s="5">
        <v>554.27</v>
      </c>
      <c r="CM265" s="5">
        <v>557.20000000000005</v>
      </c>
      <c r="CN265" s="5">
        <v>433.85</v>
      </c>
      <c r="CO265" s="5">
        <v>30.45</v>
      </c>
      <c r="CP265" s="5">
        <v>875.4</v>
      </c>
      <c r="CQ265" s="5">
        <v>878.05</v>
      </c>
      <c r="CR265" s="5">
        <v>15.7</v>
      </c>
      <c r="CS265" s="5">
        <v>15.7</v>
      </c>
      <c r="CT265" s="5">
        <v>25.76</v>
      </c>
      <c r="CU265" s="5">
        <v>32.51</v>
      </c>
      <c r="CV265" s="5">
        <v>99.02</v>
      </c>
      <c r="CW265" s="5">
        <v>0.8448379044606289</v>
      </c>
      <c r="CX265" s="5">
        <v>2.5007201972034614</v>
      </c>
    </row>
    <row r="266" spans="1:102" x14ac:dyDescent="0.25">
      <c r="A266" s="5">
        <v>2</v>
      </c>
      <c r="B266" s="23">
        <v>41411.461628287034</v>
      </c>
      <c r="C266" s="5">
        <v>9</v>
      </c>
      <c r="D266" s="5">
        <v>26</v>
      </c>
      <c r="E266" s="5">
        <v>948</v>
      </c>
      <c r="F266" s="5">
        <v>948</v>
      </c>
      <c r="G266" s="5">
        <v>948.1</v>
      </c>
      <c r="H266" s="5">
        <v>91.7</v>
      </c>
      <c r="I266" s="5">
        <v>91.7</v>
      </c>
      <c r="J266" s="5">
        <v>1800</v>
      </c>
      <c r="K266" s="5">
        <v>33</v>
      </c>
      <c r="L266" s="5">
        <v>33</v>
      </c>
      <c r="M266" s="5">
        <v>0.18</v>
      </c>
      <c r="N266" s="5">
        <v>0.17996699999999999</v>
      </c>
      <c r="O266" s="5">
        <v>1</v>
      </c>
      <c r="P266" s="5">
        <v>1.069372</v>
      </c>
      <c r="Q266" s="5">
        <v>3.66</v>
      </c>
      <c r="R266" s="5">
        <v>3.6584469999999998</v>
      </c>
      <c r="S266" s="5">
        <v>182.57</v>
      </c>
      <c r="T266" s="5">
        <v>179.92740000000001</v>
      </c>
      <c r="U266" s="5">
        <v>5</v>
      </c>
      <c r="V266" s="5">
        <v>5</v>
      </c>
      <c r="W266" s="5">
        <v>300</v>
      </c>
      <c r="X266" s="5">
        <v>300</v>
      </c>
      <c r="Y266" s="5">
        <v>0</v>
      </c>
      <c r="Z266" s="5">
        <v>0</v>
      </c>
      <c r="AA266" s="5">
        <v>174.17</v>
      </c>
      <c r="AB266" s="5">
        <v>174</v>
      </c>
      <c r="AC266" s="5">
        <v>0</v>
      </c>
      <c r="AD266" s="5">
        <v>175.739</v>
      </c>
      <c r="AE266" s="5">
        <v>160</v>
      </c>
      <c r="AF266" s="5">
        <v>160</v>
      </c>
      <c r="AG266" s="5">
        <v>28</v>
      </c>
      <c r="AH266" s="5">
        <v>0.23</v>
      </c>
      <c r="AI266" s="5">
        <v>109.38</v>
      </c>
      <c r="AJ266" s="5">
        <v>133.03</v>
      </c>
      <c r="AK266" s="5">
        <v>203.81</v>
      </c>
      <c r="AL266" s="5">
        <v>205.33</v>
      </c>
      <c r="AM266" s="5">
        <v>646.52</v>
      </c>
      <c r="AN266" s="5">
        <v>262.3535</v>
      </c>
      <c r="AO266" s="5">
        <v>162.61000000000001</v>
      </c>
      <c r="AP266" s="5">
        <v>180.03</v>
      </c>
      <c r="AQ266" s="5">
        <v>183.29</v>
      </c>
      <c r="AR266" s="5">
        <v>790.37</v>
      </c>
      <c r="AS266" s="5">
        <v>41.18</v>
      </c>
      <c r="AT266" s="5">
        <v>64.59</v>
      </c>
      <c r="AU266" s="5">
        <v>109.6</v>
      </c>
      <c r="AV266" s="5">
        <v>113.56</v>
      </c>
      <c r="AW266" s="5">
        <v>0.34599999999999997</v>
      </c>
      <c r="AX266" s="5">
        <v>5.0599999999999996</v>
      </c>
      <c r="AY266" s="5">
        <v>10000000000</v>
      </c>
      <c r="AZ266" s="5">
        <v>518.59</v>
      </c>
      <c r="BA266" s="5">
        <v>12.48</v>
      </c>
      <c r="BB266" s="5">
        <v>10.51</v>
      </c>
      <c r="BC266" s="5">
        <v>1.39</v>
      </c>
      <c r="BD266" s="5">
        <v>5.92</v>
      </c>
      <c r="BE266" s="5">
        <v>3.13</v>
      </c>
      <c r="BF266" s="5">
        <v>564.08000000000004</v>
      </c>
      <c r="BG266" s="5">
        <v>13.26</v>
      </c>
      <c r="BH266" s="5">
        <v>10000000000</v>
      </c>
      <c r="BI266" s="5">
        <v>213.7</v>
      </c>
      <c r="BJ266" s="5">
        <v>20.7</v>
      </c>
      <c r="BK266" s="5">
        <v>85.1</v>
      </c>
      <c r="BL266" s="5">
        <v>120.84</v>
      </c>
      <c r="BM266" s="5">
        <v>2.83</v>
      </c>
      <c r="BN266" s="5">
        <v>30.22</v>
      </c>
      <c r="BO266" s="5">
        <v>38.380000000000003</v>
      </c>
      <c r="BP266" s="5">
        <v>828.35</v>
      </c>
      <c r="BQ266" s="5">
        <v>65.04401</v>
      </c>
      <c r="BR266" s="5">
        <v>302.45819999999998</v>
      </c>
      <c r="BS266" s="5">
        <v>35.335790000000003</v>
      </c>
      <c r="BT266" s="5">
        <v>33.097490000000001</v>
      </c>
      <c r="BU266" s="5">
        <v>32.62885</v>
      </c>
      <c r="BV266" s="5">
        <v>0.104661</v>
      </c>
      <c r="BW266" s="5">
        <v>0.10181900000000001</v>
      </c>
      <c r="BX266" s="5">
        <v>135.6223</v>
      </c>
      <c r="BY266" s="5">
        <v>18.995360000000002</v>
      </c>
      <c r="BZ266" s="5">
        <v>0</v>
      </c>
      <c r="CA266" s="5">
        <v>0.91585099999999997</v>
      </c>
      <c r="CB266" s="5">
        <v>933.71169999999995</v>
      </c>
      <c r="CC266" s="5">
        <v>970.95169999999996</v>
      </c>
      <c r="CD266" s="5">
        <v>140.6223</v>
      </c>
      <c r="CE266" s="5">
        <v>589.75</v>
      </c>
      <c r="CF266" s="5">
        <v>92.92</v>
      </c>
      <c r="CG266" s="5">
        <v>107.38</v>
      </c>
      <c r="CH266" s="5">
        <v>541.80999999999995</v>
      </c>
      <c r="CI266" s="5">
        <v>561.14</v>
      </c>
      <c r="CJ266" s="5">
        <v>578.54</v>
      </c>
      <c r="CK266" s="5">
        <v>601.87</v>
      </c>
      <c r="CL266" s="5">
        <v>598.34</v>
      </c>
      <c r="CM266" s="5">
        <v>601.1</v>
      </c>
      <c r="CN266" s="5">
        <v>480.29</v>
      </c>
      <c r="CO266" s="5">
        <v>34.61</v>
      </c>
      <c r="CP266" s="5">
        <v>948.8</v>
      </c>
      <c r="CQ266" s="5">
        <v>948.05</v>
      </c>
      <c r="CR266" s="5">
        <v>17</v>
      </c>
      <c r="CS266" s="5">
        <v>17</v>
      </c>
      <c r="CT266" s="5">
        <v>25.11</v>
      </c>
      <c r="CU266" s="5">
        <v>22.94</v>
      </c>
      <c r="CV266" s="5">
        <v>99.91</v>
      </c>
      <c r="CW266" s="5">
        <v>0.81918739286567999</v>
      </c>
      <c r="CX266" s="5">
        <v>2.5640565396695782</v>
      </c>
    </row>
    <row r="267" spans="1:102" x14ac:dyDescent="0.25">
      <c r="A267" s="5">
        <v>38</v>
      </c>
      <c r="B267" s="23">
        <v>41409.714436817128</v>
      </c>
      <c r="C267" s="5">
        <v>9</v>
      </c>
      <c r="D267" s="5">
        <v>4</v>
      </c>
      <c r="E267" s="5">
        <v>821</v>
      </c>
      <c r="F267" s="5">
        <v>821</v>
      </c>
      <c r="G267" s="5">
        <v>821.1</v>
      </c>
      <c r="H267" s="5">
        <v>91.7</v>
      </c>
      <c r="I267" s="5">
        <v>91.7</v>
      </c>
      <c r="J267" s="5">
        <v>1800</v>
      </c>
      <c r="K267" s="5">
        <v>38</v>
      </c>
      <c r="L267" s="5">
        <v>38</v>
      </c>
      <c r="M267" s="5">
        <v>0.12</v>
      </c>
      <c r="N267" s="5">
        <v>0.120003</v>
      </c>
      <c r="O267" s="5">
        <v>1</v>
      </c>
      <c r="P267" s="5">
        <v>1.069037</v>
      </c>
      <c r="Q267" s="5">
        <v>3.41</v>
      </c>
      <c r="R267" s="5">
        <v>3.4057620000000002</v>
      </c>
      <c r="S267" s="5">
        <v>186.15</v>
      </c>
      <c r="T267" s="5">
        <v>186.15629999999999</v>
      </c>
      <c r="U267" s="5">
        <v>3.81</v>
      </c>
      <c r="V267" s="5">
        <v>3.8125</v>
      </c>
      <c r="W267" s="5">
        <v>300</v>
      </c>
      <c r="X267" s="5">
        <v>300</v>
      </c>
      <c r="Y267" s="5">
        <v>0</v>
      </c>
      <c r="Z267" s="5">
        <v>0</v>
      </c>
      <c r="AA267" s="5">
        <v>300</v>
      </c>
      <c r="AB267" s="5">
        <v>300</v>
      </c>
      <c r="AC267" s="5">
        <v>0</v>
      </c>
      <c r="AD267" s="5">
        <v>173.02209999999999</v>
      </c>
      <c r="AE267" s="5">
        <v>160</v>
      </c>
      <c r="AF267" s="5">
        <v>160</v>
      </c>
      <c r="AG267" s="5">
        <v>28</v>
      </c>
      <c r="AH267" s="5">
        <v>0.23</v>
      </c>
      <c r="AI267" s="5">
        <v>107.16</v>
      </c>
      <c r="AJ267" s="5">
        <v>129.08000000000001</v>
      </c>
      <c r="AK267" s="5">
        <v>208.24</v>
      </c>
      <c r="AL267" s="5">
        <v>210.68</v>
      </c>
      <c r="AM267" s="5">
        <v>560.72</v>
      </c>
      <c r="AN267" s="5">
        <v>256.2088</v>
      </c>
      <c r="AO267" s="5">
        <v>158.46</v>
      </c>
      <c r="AP267" s="5">
        <v>158.29</v>
      </c>
      <c r="AQ267" s="5">
        <v>179.33</v>
      </c>
      <c r="AR267" s="5">
        <v>776.43</v>
      </c>
      <c r="AS267" s="5">
        <v>49.77</v>
      </c>
      <c r="AT267" s="5">
        <v>61.56</v>
      </c>
      <c r="AU267" s="5">
        <v>102.8</v>
      </c>
      <c r="AV267" s="5">
        <v>116.94</v>
      </c>
      <c r="AW267" s="5">
        <v>8.5999999999999993E-2</v>
      </c>
      <c r="AX267" s="5">
        <v>1.1599999999999999</v>
      </c>
      <c r="AY267" s="5">
        <v>10000000000</v>
      </c>
      <c r="AZ267" s="5">
        <v>400.71</v>
      </c>
      <c r="BA267" s="5">
        <v>15.23</v>
      </c>
      <c r="BB267" s="5">
        <v>8.81</v>
      </c>
      <c r="BC267" s="5">
        <v>0.95</v>
      </c>
      <c r="BD267" s="5">
        <v>8.43</v>
      </c>
      <c r="BE267" s="5">
        <v>5.07</v>
      </c>
      <c r="BF267" s="5">
        <v>784.11</v>
      </c>
      <c r="BG267" s="5">
        <v>10.8</v>
      </c>
      <c r="BH267" s="5">
        <v>10000000000</v>
      </c>
      <c r="BI267" s="5">
        <v>211.3</v>
      </c>
      <c r="BJ267" s="5">
        <v>23.7</v>
      </c>
      <c r="BK267" s="5">
        <v>83.3</v>
      </c>
      <c r="BL267" s="5">
        <v>94.03</v>
      </c>
      <c r="BM267" s="5">
        <v>2.76</v>
      </c>
      <c r="BN267" s="5">
        <v>29.86</v>
      </c>
      <c r="BO267" s="5">
        <v>37.22</v>
      </c>
      <c r="BP267" s="5">
        <v>808.97</v>
      </c>
      <c r="BQ267" s="5">
        <v>62.259950000000003</v>
      </c>
      <c r="BR267" s="5">
        <v>308.33229999999998</v>
      </c>
      <c r="BS267" s="5">
        <v>40.710599999999999</v>
      </c>
      <c r="BT267" s="5">
        <v>38.279319999999998</v>
      </c>
      <c r="BU267" s="5">
        <v>37.818779999999997</v>
      </c>
      <c r="BV267" s="5">
        <v>0.108193</v>
      </c>
      <c r="BW267" s="5">
        <v>0.106493</v>
      </c>
      <c r="BX267" s="5">
        <v>115.4216</v>
      </c>
      <c r="BY267" s="5">
        <v>18.995360000000002</v>
      </c>
      <c r="BZ267" s="5">
        <v>0</v>
      </c>
      <c r="CA267" s="5">
        <v>0.91806699999999997</v>
      </c>
      <c r="CB267" s="5">
        <v>921.66830000000004</v>
      </c>
      <c r="CC267" s="5">
        <v>953.23099999999999</v>
      </c>
      <c r="CD267" s="5">
        <v>119.239</v>
      </c>
      <c r="CE267" s="5">
        <v>509.56</v>
      </c>
      <c r="CF267" s="5">
        <v>85.83</v>
      </c>
      <c r="CG267" s="5">
        <v>99.01</v>
      </c>
      <c r="CH267" s="5">
        <v>474.77</v>
      </c>
      <c r="CI267" s="5">
        <v>494.11</v>
      </c>
      <c r="CJ267" s="5">
        <v>508.13</v>
      </c>
      <c r="CK267" s="5">
        <v>530.30999999999995</v>
      </c>
      <c r="CL267" s="5">
        <v>531.62</v>
      </c>
      <c r="CM267" s="5">
        <v>531.09</v>
      </c>
      <c r="CN267" s="5">
        <v>406.47</v>
      </c>
      <c r="CO267" s="5">
        <v>28.64</v>
      </c>
      <c r="CP267" s="5">
        <v>817.5</v>
      </c>
      <c r="CQ267" s="5">
        <v>821.06</v>
      </c>
      <c r="CR267" s="5">
        <v>14.6</v>
      </c>
      <c r="CS267" s="5">
        <v>14.7</v>
      </c>
      <c r="CT267" s="5">
        <v>25.59</v>
      </c>
      <c r="CU267" s="5">
        <v>48.91</v>
      </c>
      <c r="CV267" s="5">
        <v>98.74</v>
      </c>
      <c r="CW267" s="5">
        <v>0.87866467086559064</v>
      </c>
      <c r="CX267" s="5">
        <v>4.4548298812885445</v>
      </c>
    </row>
    <row r="268" spans="1:102" x14ac:dyDescent="0.25">
      <c r="A268" s="5">
        <v>7</v>
      </c>
      <c r="B268" s="23">
        <v>41410.487179212963</v>
      </c>
      <c r="C268" s="5">
        <v>9</v>
      </c>
      <c r="D268" s="5">
        <v>13</v>
      </c>
      <c r="E268" s="5">
        <v>868</v>
      </c>
      <c r="F268" s="5">
        <v>868</v>
      </c>
      <c r="G268" s="5">
        <v>868.1</v>
      </c>
      <c r="H268" s="5">
        <v>91.7</v>
      </c>
      <c r="I268" s="5">
        <v>91.7</v>
      </c>
      <c r="J268" s="5">
        <v>1800</v>
      </c>
      <c r="K268" s="5">
        <v>10</v>
      </c>
      <c r="L268" s="5">
        <v>10</v>
      </c>
      <c r="M268" s="5">
        <v>0.13</v>
      </c>
      <c r="N268" s="5">
        <v>0.129964</v>
      </c>
      <c r="O268" s="5">
        <v>1</v>
      </c>
      <c r="P268" s="5">
        <v>1.0689630000000001</v>
      </c>
      <c r="Q268" s="5">
        <v>4.4800000000000004</v>
      </c>
      <c r="R268" s="5">
        <v>4.4824219999999997</v>
      </c>
      <c r="S268" s="5">
        <v>186.46</v>
      </c>
      <c r="T268" s="5">
        <v>185.232</v>
      </c>
      <c r="U268" s="5">
        <v>4.5199999999999996</v>
      </c>
      <c r="V268" s="5">
        <v>4.53125</v>
      </c>
      <c r="W268" s="5">
        <v>300</v>
      </c>
      <c r="X268" s="5">
        <v>300</v>
      </c>
      <c r="Y268" s="5">
        <v>0</v>
      </c>
      <c r="Z268" s="5">
        <v>0</v>
      </c>
      <c r="AA268" s="5">
        <v>300</v>
      </c>
      <c r="AB268" s="5">
        <v>300</v>
      </c>
      <c r="AC268" s="5">
        <v>0</v>
      </c>
      <c r="AD268" s="5">
        <v>138.68700000000001</v>
      </c>
      <c r="AE268" s="5">
        <v>160</v>
      </c>
      <c r="AF268" s="5">
        <v>160</v>
      </c>
      <c r="AG268" s="5">
        <v>28</v>
      </c>
      <c r="AH268" s="5">
        <v>0.23</v>
      </c>
      <c r="AI268" s="5">
        <v>96.94</v>
      </c>
      <c r="AJ268" s="5">
        <v>113.4</v>
      </c>
      <c r="AK268" s="5">
        <v>130.88</v>
      </c>
      <c r="AL268" s="5">
        <v>135.05000000000001</v>
      </c>
      <c r="AM268" s="5">
        <v>676.18</v>
      </c>
      <c r="AN268" s="5">
        <v>209.02029999999999</v>
      </c>
      <c r="AO268" s="5">
        <v>110.07</v>
      </c>
      <c r="AP268" s="5">
        <v>128.24</v>
      </c>
      <c r="AQ268" s="5">
        <v>128.41</v>
      </c>
      <c r="AR268" s="5">
        <v>671.51</v>
      </c>
      <c r="AS268" s="5">
        <v>20.81</v>
      </c>
      <c r="AT268" s="5">
        <v>59.4</v>
      </c>
      <c r="AU268" s="5">
        <v>100.02</v>
      </c>
      <c r="AV268" s="5">
        <v>112.57</v>
      </c>
      <c r="AW268" s="5">
        <v>0.504</v>
      </c>
      <c r="AX268" s="5">
        <v>7.73</v>
      </c>
      <c r="AY268" s="5">
        <v>10000000000</v>
      </c>
      <c r="AZ268" s="5">
        <v>663.08</v>
      </c>
      <c r="BA268" s="5">
        <v>13.81</v>
      </c>
      <c r="BB268" s="5">
        <v>11.08</v>
      </c>
      <c r="BC268" s="5">
        <v>0.77</v>
      </c>
      <c r="BD268" s="5">
        <v>5.2</v>
      </c>
      <c r="BE268" s="5">
        <v>5.25</v>
      </c>
      <c r="BF268" s="5">
        <v>1032.99</v>
      </c>
      <c r="BG268" s="5">
        <v>6.96</v>
      </c>
      <c r="BH268" s="5">
        <v>10000000000</v>
      </c>
      <c r="BI268" s="5">
        <v>214.3</v>
      </c>
      <c r="BJ268" s="5">
        <v>19.2</v>
      </c>
      <c r="BK268" s="5">
        <v>84.9</v>
      </c>
      <c r="BL268" s="5">
        <v>50.26</v>
      </c>
      <c r="BM268" s="5">
        <v>2.2400000000000002</v>
      </c>
      <c r="BN268" s="5">
        <v>29.68</v>
      </c>
      <c r="BO268" s="5">
        <v>39.1</v>
      </c>
      <c r="BP268" s="5">
        <v>706.49</v>
      </c>
      <c r="BQ268" s="5">
        <v>60.314839999999997</v>
      </c>
      <c r="BR268" s="5">
        <v>234.82390000000001</v>
      </c>
      <c r="BS268" s="5">
        <v>37.979219999999998</v>
      </c>
      <c r="BT268" s="5">
        <v>31.456250000000001</v>
      </c>
      <c r="BU268" s="5">
        <v>32.22372</v>
      </c>
      <c r="BV268" s="5">
        <v>0.104558</v>
      </c>
      <c r="BW268" s="5">
        <v>4.8787999999999998E-2</v>
      </c>
      <c r="BX268" s="5">
        <v>124.00069999999999</v>
      </c>
      <c r="BY268" s="5">
        <v>19.1402</v>
      </c>
      <c r="BZ268" s="5">
        <v>0</v>
      </c>
      <c r="CA268" s="5">
        <v>0.91477299999999995</v>
      </c>
      <c r="CB268" s="5">
        <v>753.63369999999998</v>
      </c>
      <c r="CC268" s="5">
        <v>787.66600000000005</v>
      </c>
      <c r="CD268" s="5">
        <v>128.53110000000001</v>
      </c>
      <c r="CE268" s="5">
        <v>530.05999999999995</v>
      </c>
      <c r="CF268" s="5">
        <v>85.12</v>
      </c>
      <c r="CG268" s="5">
        <v>99.79</v>
      </c>
      <c r="CH268" s="5">
        <v>560.5</v>
      </c>
      <c r="CI268" s="5">
        <v>586.83000000000004</v>
      </c>
      <c r="CJ268" s="5">
        <v>600.9</v>
      </c>
      <c r="CK268" s="5">
        <v>626.91</v>
      </c>
      <c r="CL268" s="5">
        <v>621.16999999999996</v>
      </c>
      <c r="CM268" s="5">
        <v>610.84</v>
      </c>
      <c r="CN268" s="5">
        <v>547.16999999999996</v>
      </c>
      <c r="CO268" s="5">
        <v>32.25</v>
      </c>
      <c r="CP268" s="5">
        <v>861.1</v>
      </c>
      <c r="CQ268" s="5">
        <v>868.05</v>
      </c>
      <c r="CR268" s="5">
        <v>15.4</v>
      </c>
      <c r="CS268" s="5">
        <v>15.6</v>
      </c>
      <c r="CT268" s="5">
        <v>26.66</v>
      </c>
      <c r="CU268" s="5">
        <v>40.96</v>
      </c>
      <c r="CV268" s="5">
        <v>99.06</v>
      </c>
      <c r="CW268" s="5">
        <v>0.87513871843499214</v>
      </c>
      <c r="CX268" s="5">
        <v>4.5944782717837089</v>
      </c>
    </row>
    <row r="269" spans="1:102" x14ac:dyDescent="0.25">
      <c r="A269" s="5">
        <v>16</v>
      </c>
      <c r="B269" s="23">
        <v>41410.705374039353</v>
      </c>
      <c r="C269" s="5">
        <v>9</v>
      </c>
      <c r="D269" s="5">
        <v>23</v>
      </c>
      <c r="E269" s="5">
        <v>929</v>
      </c>
      <c r="F269" s="5">
        <v>929</v>
      </c>
      <c r="G269" s="5">
        <v>929</v>
      </c>
      <c r="H269" s="5">
        <v>91.7</v>
      </c>
      <c r="I269" s="5">
        <v>91.7</v>
      </c>
      <c r="J269" s="5">
        <v>1800</v>
      </c>
      <c r="K269" s="5">
        <v>24</v>
      </c>
      <c r="L269" s="5">
        <v>24</v>
      </c>
      <c r="M269" s="5">
        <v>0.23</v>
      </c>
      <c r="N269" s="5">
        <v>0.22998199999999999</v>
      </c>
      <c r="O269" s="5">
        <v>1</v>
      </c>
      <c r="P269" s="5">
        <v>1.068986</v>
      </c>
      <c r="Q269" s="5">
        <v>4.28</v>
      </c>
      <c r="R269" s="5">
        <v>4.2846679999999999</v>
      </c>
      <c r="S269" s="5">
        <v>184.2</v>
      </c>
      <c r="T269" s="5">
        <v>181.76519999999999</v>
      </c>
      <c r="U269" s="5">
        <v>5</v>
      </c>
      <c r="V269" s="5">
        <v>5</v>
      </c>
      <c r="W269" s="5">
        <v>300</v>
      </c>
      <c r="X269" s="5">
        <v>300</v>
      </c>
      <c r="Y269" s="5">
        <v>0</v>
      </c>
      <c r="Z269" s="5">
        <v>0</v>
      </c>
      <c r="AA269" s="5">
        <v>223.98</v>
      </c>
      <c r="AB269" s="5">
        <v>224</v>
      </c>
      <c r="AC269" s="5">
        <v>0</v>
      </c>
      <c r="AD269" s="5">
        <v>163.3279</v>
      </c>
      <c r="AE269" s="5">
        <v>160</v>
      </c>
      <c r="AF269" s="5">
        <v>160</v>
      </c>
      <c r="AG269" s="5">
        <v>28</v>
      </c>
      <c r="AH269" s="5">
        <v>0.23</v>
      </c>
      <c r="AI269" s="5">
        <v>106.96</v>
      </c>
      <c r="AJ269" s="5">
        <v>124.43</v>
      </c>
      <c r="AK269" s="5">
        <v>169.85</v>
      </c>
      <c r="AL269" s="5">
        <v>171.97</v>
      </c>
      <c r="AM269" s="5">
        <v>651.54</v>
      </c>
      <c r="AN269" s="5">
        <v>244.10910000000001</v>
      </c>
      <c r="AO269" s="5">
        <v>145.43</v>
      </c>
      <c r="AP269" s="5">
        <v>151.12</v>
      </c>
      <c r="AQ269" s="5">
        <v>165.04</v>
      </c>
      <c r="AR269" s="5">
        <v>733.15</v>
      </c>
      <c r="AS269" s="5">
        <v>24.41</v>
      </c>
      <c r="AT269" s="5">
        <v>62.87</v>
      </c>
      <c r="AU269" s="5">
        <v>105.4</v>
      </c>
      <c r="AV269" s="5">
        <v>116.07</v>
      </c>
      <c r="AW269" s="5">
        <v>0.432</v>
      </c>
      <c r="AX269" s="5">
        <v>6.48</v>
      </c>
      <c r="AY269" s="5">
        <v>10000000000</v>
      </c>
      <c r="AZ269" s="5">
        <v>583.91999999999996</v>
      </c>
      <c r="BA269" s="5">
        <v>12.46</v>
      </c>
      <c r="BB269" s="5">
        <v>10.81</v>
      </c>
      <c r="BC269" s="5">
        <v>1.28</v>
      </c>
      <c r="BD269" s="5">
        <v>5.71</v>
      </c>
      <c r="BE269" s="5">
        <v>3.6</v>
      </c>
      <c r="BF269" s="5">
        <v>689.32</v>
      </c>
      <c r="BG269" s="5">
        <v>11.81</v>
      </c>
      <c r="BH269" s="5">
        <v>10000000000</v>
      </c>
      <c r="BI269" s="5">
        <v>211.8</v>
      </c>
      <c r="BJ269" s="5">
        <v>19.8</v>
      </c>
      <c r="BK269" s="5">
        <v>83.3</v>
      </c>
      <c r="BL269" s="5">
        <v>98.18</v>
      </c>
      <c r="BM269" s="5">
        <v>2.64</v>
      </c>
      <c r="BN269" s="5">
        <v>30.13</v>
      </c>
      <c r="BO269" s="5">
        <v>38.79</v>
      </c>
      <c r="BP269" s="5">
        <v>770.49</v>
      </c>
      <c r="BQ269" s="5">
        <v>63.457859999999997</v>
      </c>
      <c r="BR269" s="5">
        <v>269.21679999999998</v>
      </c>
      <c r="BS269" s="5">
        <v>36.034320000000001</v>
      </c>
      <c r="BT269" s="5">
        <v>32.283799999999999</v>
      </c>
      <c r="BU269" s="5">
        <v>32.102240000000002</v>
      </c>
      <c r="BV269" s="5">
        <v>0.104432</v>
      </c>
      <c r="BW269" s="5">
        <v>9.1730999999999993E-2</v>
      </c>
      <c r="BX269" s="5">
        <v>131.4718</v>
      </c>
      <c r="BY269" s="5">
        <v>18.995360000000002</v>
      </c>
      <c r="BZ269" s="5">
        <v>0</v>
      </c>
      <c r="CA269" s="5">
        <v>0.91508</v>
      </c>
      <c r="CB269" s="5">
        <v>872.20119999999997</v>
      </c>
      <c r="CC269" s="5">
        <v>908.34249999999997</v>
      </c>
      <c r="CD269" s="5">
        <v>136.4718</v>
      </c>
      <c r="CE269" s="5">
        <v>582.55999999999995</v>
      </c>
      <c r="CF269" s="5">
        <v>90.4</v>
      </c>
      <c r="CG269" s="5">
        <v>103.32</v>
      </c>
      <c r="CH269" s="5">
        <v>537.54999999999995</v>
      </c>
      <c r="CI269" s="5">
        <v>560.29999999999995</v>
      </c>
      <c r="CJ269" s="5">
        <v>577.98</v>
      </c>
      <c r="CK269" s="5">
        <v>604.54999999999995</v>
      </c>
      <c r="CL269" s="5">
        <v>598.49</v>
      </c>
      <c r="CM269" s="5">
        <v>601.75</v>
      </c>
      <c r="CN269" s="5">
        <v>500.55</v>
      </c>
      <c r="CO269" s="5">
        <v>29.6</v>
      </c>
      <c r="CP269" s="5">
        <v>924</v>
      </c>
      <c r="CQ269" s="5">
        <v>929.04</v>
      </c>
      <c r="CR269" s="5">
        <v>16.600000000000001</v>
      </c>
      <c r="CS269" s="5">
        <v>16.600000000000001</v>
      </c>
      <c r="CT269" s="5">
        <v>23.67</v>
      </c>
      <c r="CU269" s="5">
        <v>41.99</v>
      </c>
      <c r="CV269" s="5">
        <v>99.06</v>
      </c>
      <c r="CW269" s="5">
        <v>0.86220139600215773</v>
      </c>
      <c r="CX269" s="5">
        <v>3.1039250256077677</v>
      </c>
    </row>
    <row r="270" spans="1:102" x14ac:dyDescent="0.25">
      <c r="A270" s="5">
        <v>11</v>
      </c>
      <c r="B270" s="23">
        <v>41410.673085937502</v>
      </c>
      <c r="C270" s="5">
        <v>9</v>
      </c>
      <c r="D270" s="5">
        <v>17</v>
      </c>
      <c r="E270" s="5">
        <v>892</v>
      </c>
      <c r="F270" s="5">
        <v>892</v>
      </c>
      <c r="G270" s="5">
        <v>892</v>
      </c>
      <c r="H270" s="5">
        <v>91.7</v>
      </c>
      <c r="I270" s="5">
        <v>91.7</v>
      </c>
      <c r="J270" s="5">
        <v>1800</v>
      </c>
      <c r="K270" s="5">
        <v>39</v>
      </c>
      <c r="L270" s="5">
        <v>39</v>
      </c>
      <c r="M270" s="5">
        <v>0.3</v>
      </c>
      <c r="N270" s="5">
        <v>0.29998999999999998</v>
      </c>
      <c r="O270" s="5">
        <v>1</v>
      </c>
      <c r="P270" s="5">
        <v>1.069061</v>
      </c>
      <c r="Q270" s="5">
        <v>5.03</v>
      </c>
      <c r="R270" s="5">
        <v>5.0317379999999998</v>
      </c>
      <c r="S270" s="5">
        <v>186.62</v>
      </c>
      <c r="T270" s="5">
        <v>184.7604</v>
      </c>
      <c r="U270" s="5">
        <v>4.88</v>
      </c>
      <c r="V270" s="5">
        <v>4.875</v>
      </c>
      <c r="W270" s="5">
        <v>300</v>
      </c>
      <c r="X270" s="5">
        <v>300</v>
      </c>
      <c r="Y270" s="5">
        <v>0</v>
      </c>
      <c r="Z270" s="5">
        <v>0</v>
      </c>
      <c r="AA270" s="5">
        <v>300</v>
      </c>
      <c r="AB270" s="5">
        <v>300</v>
      </c>
      <c r="AC270" s="5">
        <v>0</v>
      </c>
      <c r="AD270" s="5">
        <v>172.7389</v>
      </c>
      <c r="AE270" s="5">
        <v>160</v>
      </c>
      <c r="AF270" s="5">
        <v>160</v>
      </c>
      <c r="AG270" s="5">
        <v>28</v>
      </c>
      <c r="AH270" s="5">
        <v>0.23</v>
      </c>
      <c r="AI270" s="5">
        <v>112.98</v>
      </c>
      <c r="AJ270" s="5">
        <v>127.06</v>
      </c>
      <c r="AK270" s="5">
        <v>195.79</v>
      </c>
      <c r="AL270" s="5">
        <v>195.79</v>
      </c>
      <c r="AM270" s="5">
        <v>601.91</v>
      </c>
      <c r="AN270" s="5">
        <v>260.31610000000001</v>
      </c>
      <c r="AO270" s="5">
        <v>162.38999999999999</v>
      </c>
      <c r="AP270" s="5">
        <v>160.79</v>
      </c>
      <c r="AQ270" s="5">
        <v>181.29</v>
      </c>
      <c r="AR270" s="5">
        <v>713.39</v>
      </c>
      <c r="AS270" s="5">
        <v>33.409999999999997</v>
      </c>
      <c r="AT270" s="5">
        <v>68.64</v>
      </c>
      <c r="AU270" s="5">
        <v>117.98</v>
      </c>
      <c r="AV270" s="5">
        <v>114.39</v>
      </c>
      <c r="AW270" s="5">
        <v>0.58599999999999997</v>
      </c>
      <c r="AX270" s="5">
        <v>9.2100000000000009</v>
      </c>
      <c r="AY270" s="5">
        <v>10000000000</v>
      </c>
      <c r="AZ270" s="5">
        <v>512.66</v>
      </c>
      <c r="BA270" s="5">
        <v>14.34</v>
      </c>
      <c r="BB270" s="5">
        <v>10.44</v>
      </c>
      <c r="BC270" s="5">
        <v>1.9</v>
      </c>
      <c r="BD270" s="5">
        <v>6.2</v>
      </c>
      <c r="BE270" s="5">
        <v>2.4300000000000002</v>
      </c>
      <c r="BF270" s="5">
        <v>458.49</v>
      </c>
      <c r="BG270" s="5">
        <v>18.170000000000002</v>
      </c>
      <c r="BH270" s="5">
        <v>10000000000</v>
      </c>
      <c r="BI270" s="5">
        <v>210.2</v>
      </c>
      <c r="BJ270" s="5">
        <v>20.2</v>
      </c>
      <c r="BK270" s="5">
        <v>81.400000000000006</v>
      </c>
      <c r="BL270" s="5">
        <v>158.38</v>
      </c>
      <c r="BM270" s="5">
        <v>2.83</v>
      </c>
      <c r="BN270" s="5">
        <v>30.72</v>
      </c>
      <c r="BO270" s="5">
        <v>38.61</v>
      </c>
      <c r="BP270" s="5">
        <v>748.53</v>
      </c>
      <c r="BQ270" s="5">
        <v>68.292240000000007</v>
      </c>
      <c r="BR270" s="5">
        <v>289.52789999999999</v>
      </c>
      <c r="BS270" s="5">
        <v>37.650550000000003</v>
      </c>
      <c r="BT270" s="5">
        <v>35.211689999999997</v>
      </c>
      <c r="BU270" s="5">
        <v>34.758020000000002</v>
      </c>
      <c r="BV270" s="5">
        <v>0.104017</v>
      </c>
      <c r="BW270" s="5">
        <v>0.101961</v>
      </c>
      <c r="BX270" s="5">
        <v>124.76479999999999</v>
      </c>
      <c r="BY270" s="5">
        <v>18.995360000000002</v>
      </c>
      <c r="BZ270" s="5">
        <v>0</v>
      </c>
      <c r="CA270" s="5">
        <v>0.91439899999999996</v>
      </c>
      <c r="CB270" s="5">
        <v>916.27329999999995</v>
      </c>
      <c r="CC270" s="5">
        <v>950.60080000000005</v>
      </c>
      <c r="CD270" s="5">
        <v>129.63980000000001</v>
      </c>
      <c r="CE270" s="5">
        <v>570.39</v>
      </c>
      <c r="CF270" s="5">
        <v>98.9</v>
      </c>
      <c r="CG270" s="5">
        <v>115.57</v>
      </c>
      <c r="CH270" s="5">
        <v>502.21</v>
      </c>
      <c r="CI270" s="5">
        <v>524.29999999999995</v>
      </c>
      <c r="CJ270" s="5">
        <v>539.23</v>
      </c>
      <c r="CK270" s="5">
        <v>572.19000000000005</v>
      </c>
      <c r="CL270" s="5">
        <v>561.91999999999996</v>
      </c>
      <c r="CM270" s="5">
        <v>564.4</v>
      </c>
      <c r="CN270" s="5">
        <v>443.86</v>
      </c>
      <c r="CO270" s="5">
        <v>28.11</v>
      </c>
      <c r="CP270" s="5">
        <v>888.8</v>
      </c>
      <c r="CQ270" s="5">
        <v>892.05</v>
      </c>
      <c r="CR270" s="5">
        <v>15.9</v>
      </c>
      <c r="CS270" s="5">
        <v>16</v>
      </c>
      <c r="CT270" s="5">
        <v>23.52</v>
      </c>
      <c r="CU270" s="5">
        <v>38.03</v>
      </c>
      <c r="CV270" s="5">
        <v>99.03</v>
      </c>
      <c r="CW270" s="5">
        <v>0.84338445472565604</v>
      </c>
      <c r="CX270" s="5">
        <v>2.0494242249833445</v>
      </c>
    </row>
    <row r="271" spans="1:102" x14ac:dyDescent="0.25">
      <c r="A271" s="5">
        <v>12</v>
      </c>
      <c r="B271" s="23">
        <v>41410.678523043978</v>
      </c>
      <c r="C271" s="5">
        <v>9</v>
      </c>
      <c r="D271" s="5">
        <v>18</v>
      </c>
      <c r="E271" s="5">
        <v>896</v>
      </c>
      <c r="F271" s="5">
        <v>896</v>
      </c>
      <c r="G271" s="5">
        <v>896.1</v>
      </c>
      <c r="H271" s="5">
        <v>91.7</v>
      </c>
      <c r="I271" s="5">
        <v>91.7</v>
      </c>
      <c r="J271" s="5">
        <v>1800</v>
      </c>
      <c r="K271" s="5">
        <v>16</v>
      </c>
      <c r="L271" s="5">
        <v>16</v>
      </c>
      <c r="M271" s="5">
        <v>0.28000000000000003</v>
      </c>
      <c r="N271" s="5">
        <v>0.28000000000000003</v>
      </c>
      <c r="O271" s="5">
        <v>1</v>
      </c>
      <c r="P271" s="5">
        <v>1.069075</v>
      </c>
      <c r="Q271" s="5">
        <v>5.12</v>
      </c>
      <c r="R271" s="5">
        <v>5.1196289999999998</v>
      </c>
      <c r="S271" s="5">
        <v>186.65</v>
      </c>
      <c r="T271" s="5">
        <v>183.75229999999999</v>
      </c>
      <c r="U271" s="5">
        <v>4.9400000000000004</v>
      </c>
      <c r="V271" s="5">
        <v>4.9375</v>
      </c>
      <c r="W271" s="5">
        <v>300</v>
      </c>
      <c r="X271" s="5">
        <v>300</v>
      </c>
      <c r="Y271" s="5">
        <v>0</v>
      </c>
      <c r="Z271" s="5">
        <v>0</v>
      </c>
      <c r="AA271" s="5">
        <v>300</v>
      </c>
      <c r="AB271" s="5">
        <v>300</v>
      </c>
      <c r="AC271" s="5">
        <v>0</v>
      </c>
      <c r="AD271" s="5">
        <v>146.21979999999999</v>
      </c>
      <c r="AE271" s="5">
        <v>160</v>
      </c>
      <c r="AF271" s="5">
        <v>160</v>
      </c>
      <c r="AG271" s="5">
        <v>28</v>
      </c>
      <c r="AH271" s="5">
        <v>0.23</v>
      </c>
      <c r="AI271" s="5">
        <v>102.39</v>
      </c>
      <c r="AJ271" s="5">
        <v>115.32</v>
      </c>
      <c r="AK271" s="5">
        <v>137.82</v>
      </c>
      <c r="AL271" s="5">
        <v>140.32</v>
      </c>
      <c r="AM271" s="5">
        <v>672.41</v>
      </c>
      <c r="AN271" s="5">
        <v>220.9999</v>
      </c>
      <c r="AO271" s="5">
        <v>122.14</v>
      </c>
      <c r="AP271" s="5">
        <v>133.72</v>
      </c>
      <c r="AQ271" s="5">
        <v>140.13</v>
      </c>
      <c r="AR271" s="5">
        <v>670.42</v>
      </c>
      <c r="AS271" s="5">
        <v>15.67</v>
      </c>
      <c r="AT271" s="5">
        <v>61.89</v>
      </c>
      <c r="AU271" s="5">
        <v>102.76</v>
      </c>
      <c r="AV271" s="5">
        <v>112.19</v>
      </c>
      <c r="AW271" s="5">
        <v>0.874</v>
      </c>
      <c r="AX271" s="5">
        <v>15</v>
      </c>
      <c r="AY271" s="5">
        <v>10000000000</v>
      </c>
      <c r="AZ271" s="5">
        <v>783.29</v>
      </c>
      <c r="BA271" s="5">
        <v>12.52</v>
      </c>
      <c r="BB271" s="5">
        <v>11.39</v>
      </c>
      <c r="BC271" s="5">
        <v>1.3</v>
      </c>
      <c r="BD271" s="5">
        <v>4.8</v>
      </c>
      <c r="BE271" s="5">
        <v>3.58</v>
      </c>
      <c r="BF271" s="5">
        <v>732.81</v>
      </c>
      <c r="BG271" s="5">
        <v>11.39</v>
      </c>
      <c r="BH271" s="5">
        <v>10000000000</v>
      </c>
      <c r="BI271" s="5">
        <v>212.9</v>
      </c>
      <c r="BJ271" s="5">
        <v>18.600000000000001</v>
      </c>
      <c r="BK271" s="5">
        <v>83.4</v>
      </c>
      <c r="BL271" s="5">
        <v>86.12</v>
      </c>
      <c r="BM271" s="5">
        <v>2.39</v>
      </c>
      <c r="BN271" s="5">
        <v>30.15</v>
      </c>
      <c r="BO271" s="5">
        <v>39.36</v>
      </c>
      <c r="BP271" s="5">
        <v>705.9</v>
      </c>
      <c r="BQ271" s="5">
        <v>62.546460000000003</v>
      </c>
      <c r="BR271" s="5">
        <v>237.6567</v>
      </c>
      <c r="BS271" s="5">
        <v>37.055779999999999</v>
      </c>
      <c r="BT271" s="5">
        <v>31.66319</v>
      </c>
      <c r="BU271" s="5">
        <v>32.152079999999998</v>
      </c>
      <c r="BV271" s="5">
        <v>0.103946</v>
      </c>
      <c r="BW271" s="5">
        <v>5.9969000000000001E-2</v>
      </c>
      <c r="BX271" s="5">
        <v>127.0129</v>
      </c>
      <c r="BY271" s="5">
        <v>18.995360000000002</v>
      </c>
      <c r="BZ271" s="5">
        <v>0</v>
      </c>
      <c r="CA271" s="5">
        <v>0.91449199999999997</v>
      </c>
      <c r="CB271" s="5">
        <v>791.28229999999996</v>
      </c>
      <c r="CC271" s="5">
        <v>826.22670000000005</v>
      </c>
      <c r="CD271" s="5">
        <v>131.9495</v>
      </c>
      <c r="CE271" s="5">
        <v>593.03</v>
      </c>
      <c r="CF271" s="5">
        <v>88.84</v>
      </c>
      <c r="CG271" s="5">
        <v>101.05</v>
      </c>
      <c r="CH271" s="5">
        <v>551.16999999999996</v>
      </c>
      <c r="CI271" s="5">
        <v>578.28</v>
      </c>
      <c r="CJ271" s="5">
        <v>598.25</v>
      </c>
      <c r="CK271" s="5">
        <v>626.84</v>
      </c>
      <c r="CL271" s="5">
        <v>615.46</v>
      </c>
      <c r="CM271" s="5">
        <v>617.36</v>
      </c>
      <c r="CN271" s="5">
        <v>535.79</v>
      </c>
      <c r="CO271" s="5">
        <v>28.47</v>
      </c>
      <c r="CP271" s="5">
        <v>889.4</v>
      </c>
      <c r="CQ271" s="5">
        <v>896.06</v>
      </c>
      <c r="CR271" s="5">
        <v>15.9</v>
      </c>
      <c r="CS271" s="5">
        <v>16.100000000000001</v>
      </c>
      <c r="CT271" s="5">
        <v>23.27</v>
      </c>
      <c r="CU271" s="5">
        <v>42.16</v>
      </c>
      <c r="CV271" s="5">
        <v>99.03</v>
      </c>
      <c r="CW271" s="5">
        <v>0.85612508853490521</v>
      </c>
      <c r="CX271" s="5">
        <v>3.0649278169549605</v>
      </c>
    </row>
    <row r="272" spans="1:102" x14ac:dyDescent="0.25">
      <c r="A272" s="5">
        <v>2</v>
      </c>
      <c r="B272" s="23">
        <v>41410.452774641206</v>
      </c>
      <c r="C272" s="5">
        <v>9</v>
      </c>
      <c r="D272" s="5">
        <v>9</v>
      </c>
      <c r="E272" s="5">
        <v>850</v>
      </c>
      <c r="F272" s="5">
        <v>850</v>
      </c>
      <c r="G272" s="5">
        <v>850.1</v>
      </c>
      <c r="H272" s="5">
        <v>91.7</v>
      </c>
      <c r="I272" s="5">
        <v>91.7</v>
      </c>
      <c r="J272" s="5">
        <v>1800</v>
      </c>
      <c r="K272" s="5">
        <v>33</v>
      </c>
      <c r="L272" s="5">
        <v>33</v>
      </c>
      <c r="M272" s="5">
        <v>0.3</v>
      </c>
      <c r="N272" s="5">
        <v>0.30011199999999999</v>
      </c>
      <c r="O272" s="5">
        <v>1</v>
      </c>
      <c r="P272" s="5">
        <v>1.0689310000000001</v>
      </c>
      <c r="Q272" s="5">
        <v>4.07</v>
      </c>
      <c r="R272" s="5">
        <v>4.0649410000000001</v>
      </c>
      <c r="S272" s="5">
        <v>186.33</v>
      </c>
      <c r="T272" s="5">
        <v>186.32810000000001</v>
      </c>
      <c r="U272" s="5">
        <v>4.25</v>
      </c>
      <c r="V272" s="5">
        <v>4.25</v>
      </c>
      <c r="W272" s="5">
        <v>300</v>
      </c>
      <c r="X272" s="5">
        <v>300</v>
      </c>
      <c r="Y272" s="5">
        <v>0</v>
      </c>
      <c r="Z272" s="5">
        <v>0</v>
      </c>
      <c r="AA272" s="5">
        <v>300</v>
      </c>
      <c r="AB272" s="5">
        <v>300</v>
      </c>
      <c r="AC272" s="5">
        <v>0</v>
      </c>
      <c r="AD272" s="5">
        <v>156.1328</v>
      </c>
      <c r="AE272" s="5">
        <v>160</v>
      </c>
      <c r="AF272" s="5">
        <v>160</v>
      </c>
      <c r="AG272" s="5">
        <v>28</v>
      </c>
      <c r="AH272" s="5">
        <v>0.23</v>
      </c>
      <c r="AI272" s="5">
        <v>101.82</v>
      </c>
      <c r="AJ272" s="5">
        <v>123.33</v>
      </c>
      <c r="AK272" s="5">
        <v>166.69</v>
      </c>
      <c r="AL272" s="5">
        <v>167.08</v>
      </c>
      <c r="AM272" s="5">
        <v>619.46</v>
      </c>
      <c r="AN272" s="5">
        <v>237.32560000000001</v>
      </c>
      <c r="AO272" s="5">
        <v>139.31</v>
      </c>
      <c r="AP272" s="5">
        <v>162.26</v>
      </c>
      <c r="AQ272" s="5">
        <v>157.5</v>
      </c>
      <c r="AR272" s="5">
        <v>693.76</v>
      </c>
      <c r="AS272" s="5">
        <v>27.37</v>
      </c>
      <c r="AT272" s="5">
        <v>66.55</v>
      </c>
      <c r="AU272" s="5">
        <v>111.53</v>
      </c>
      <c r="AV272" s="5">
        <v>123.97</v>
      </c>
      <c r="AW272" s="5">
        <v>0.61</v>
      </c>
      <c r="AX272" s="5">
        <v>9.65</v>
      </c>
      <c r="AY272" s="5">
        <v>10000000000</v>
      </c>
      <c r="AZ272" s="5">
        <v>549.57000000000005</v>
      </c>
      <c r="BA272" s="5">
        <v>17.48</v>
      </c>
      <c r="BB272" s="5">
        <v>10.59</v>
      </c>
      <c r="BC272" s="5">
        <v>1.76</v>
      </c>
      <c r="BD272" s="5">
        <v>5.82</v>
      </c>
      <c r="BE272" s="5">
        <v>2.6</v>
      </c>
      <c r="BF272" s="5">
        <v>479.53</v>
      </c>
      <c r="BG272" s="5">
        <v>16.57</v>
      </c>
      <c r="BH272" s="5">
        <v>10000000000</v>
      </c>
      <c r="BI272" s="5">
        <v>211.8</v>
      </c>
      <c r="BJ272" s="5">
        <v>20.399999999999999</v>
      </c>
      <c r="BK272" s="5">
        <v>85</v>
      </c>
      <c r="BL272" s="5">
        <v>137.69</v>
      </c>
      <c r="BM272" s="5">
        <v>2.58</v>
      </c>
      <c r="BN272" s="5">
        <v>30.55</v>
      </c>
      <c r="BO272" s="5">
        <v>38.49</v>
      </c>
      <c r="BP272" s="5">
        <v>727.02</v>
      </c>
      <c r="BQ272" s="5">
        <v>66.642290000000003</v>
      </c>
      <c r="BR272" s="5">
        <v>261.96370000000002</v>
      </c>
      <c r="BS272" s="5">
        <v>39.26491</v>
      </c>
      <c r="BT272" s="5">
        <v>33.501690000000004</v>
      </c>
      <c r="BU272" s="5">
        <v>33.180599999999998</v>
      </c>
      <c r="BV272" s="5">
        <v>0.10675800000000001</v>
      </c>
      <c r="BW272" s="5">
        <v>0.10780099999999999</v>
      </c>
      <c r="BX272" s="5">
        <v>119.99460000000001</v>
      </c>
      <c r="BY272" s="5">
        <v>18.995360000000002</v>
      </c>
      <c r="BZ272" s="5">
        <v>0</v>
      </c>
      <c r="CA272" s="5">
        <v>0.91635299999999997</v>
      </c>
      <c r="CB272" s="5">
        <v>841.12599999999998</v>
      </c>
      <c r="CC272" s="5">
        <v>874.02419999999995</v>
      </c>
      <c r="CD272" s="5">
        <v>124.24460000000001</v>
      </c>
      <c r="CE272" s="5">
        <v>576.80999999999995</v>
      </c>
      <c r="CF272" s="5">
        <v>94.34</v>
      </c>
      <c r="CG272" s="5">
        <v>109.38</v>
      </c>
      <c r="CH272" s="5">
        <v>510.64</v>
      </c>
      <c r="CI272" s="5">
        <v>537.73</v>
      </c>
      <c r="CJ272" s="5">
        <v>551.39</v>
      </c>
      <c r="CK272" s="5">
        <v>580.63</v>
      </c>
      <c r="CL272" s="5">
        <v>574.01</v>
      </c>
      <c r="CM272" s="5">
        <v>578.02</v>
      </c>
      <c r="CN272" s="5">
        <v>470.62</v>
      </c>
      <c r="CO272" s="5">
        <v>34.46</v>
      </c>
      <c r="CP272" s="5">
        <v>851.6</v>
      </c>
      <c r="CQ272" s="5">
        <v>850.06</v>
      </c>
      <c r="CR272" s="5">
        <v>15.3</v>
      </c>
      <c r="CS272" s="5">
        <v>15.2</v>
      </c>
      <c r="CT272" s="5">
        <v>25.9</v>
      </c>
      <c r="CU272" s="5">
        <v>18.850000000000001</v>
      </c>
      <c r="CV272" s="5">
        <v>99.15</v>
      </c>
      <c r="CW272" s="5">
        <v>0.81079968292110416</v>
      </c>
      <c r="CX272" s="5">
        <v>2.1080791755948707</v>
      </c>
    </row>
    <row r="273" spans="1:102" x14ac:dyDescent="0.25">
      <c r="A273" s="5">
        <v>1</v>
      </c>
      <c r="B273" s="23">
        <v>41411.442112106481</v>
      </c>
      <c r="C273" s="5">
        <v>9</v>
      </c>
      <c r="D273" s="5">
        <v>25</v>
      </c>
      <c r="E273" s="5">
        <v>943</v>
      </c>
      <c r="F273" s="5">
        <v>943</v>
      </c>
      <c r="G273" s="5">
        <v>943</v>
      </c>
      <c r="H273" s="5">
        <v>91.7</v>
      </c>
      <c r="I273" s="5">
        <v>91.7</v>
      </c>
      <c r="J273" s="5">
        <v>1800</v>
      </c>
      <c r="K273" s="5">
        <v>32</v>
      </c>
      <c r="L273" s="5">
        <v>32</v>
      </c>
      <c r="M273" s="5">
        <v>0.31</v>
      </c>
      <c r="N273" s="5">
        <v>0.31007299999999999</v>
      </c>
      <c r="O273" s="5">
        <v>1</v>
      </c>
      <c r="P273" s="5">
        <v>1.069542</v>
      </c>
      <c r="Q273" s="5">
        <v>3.83</v>
      </c>
      <c r="R273" s="5">
        <v>3.8342290000000001</v>
      </c>
      <c r="S273" s="5">
        <v>183</v>
      </c>
      <c r="T273" s="5">
        <v>180.471</v>
      </c>
      <c r="U273" s="5">
        <v>5</v>
      </c>
      <c r="V273" s="5">
        <v>5</v>
      </c>
      <c r="W273" s="5">
        <v>300</v>
      </c>
      <c r="X273" s="5">
        <v>300</v>
      </c>
      <c r="Y273" s="5">
        <v>0</v>
      </c>
      <c r="Z273" s="5">
        <v>0</v>
      </c>
      <c r="AA273" s="5">
        <v>187.28</v>
      </c>
      <c r="AB273" s="5">
        <v>187</v>
      </c>
      <c r="AC273" s="5">
        <v>0</v>
      </c>
      <c r="AD273" s="5">
        <v>172.16239999999999</v>
      </c>
      <c r="AE273" s="5">
        <v>160</v>
      </c>
      <c r="AF273" s="5">
        <v>160</v>
      </c>
      <c r="AG273" s="5">
        <v>28</v>
      </c>
      <c r="AH273" s="5">
        <v>0.23</v>
      </c>
      <c r="AI273" s="5">
        <v>108.06</v>
      </c>
      <c r="AJ273" s="5">
        <v>129.07</v>
      </c>
      <c r="AK273" s="5">
        <v>188.54</v>
      </c>
      <c r="AL273" s="5">
        <v>188.28</v>
      </c>
      <c r="AM273" s="5">
        <v>650.99</v>
      </c>
      <c r="AN273" s="5">
        <v>258.85469999999998</v>
      </c>
      <c r="AO273" s="5">
        <v>160.09</v>
      </c>
      <c r="AP273" s="5">
        <v>169.59</v>
      </c>
      <c r="AQ273" s="5">
        <v>179.24</v>
      </c>
      <c r="AR273" s="5">
        <v>751.45</v>
      </c>
      <c r="AS273" s="5">
        <v>28.46</v>
      </c>
      <c r="AT273" s="5">
        <v>67.63</v>
      </c>
      <c r="AU273" s="5">
        <v>115.33</v>
      </c>
      <c r="AV273" s="5">
        <v>117.69</v>
      </c>
      <c r="AW273" s="5">
        <v>0.72599999999999998</v>
      </c>
      <c r="AX273" s="5">
        <v>11.91</v>
      </c>
      <c r="AY273" s="5">
        <v>10000000000</v>
      </c>
      <c r="AZ273" s="5">
        <v>648.86</v>
      </c>
      <c r="BA273" s="5">
        <v>15.22</v>
      </c>
      <c r="BB273" s="5">
        <v>10.93</v>
      </c>
      <c r="BC273" s="5">
        <v>1.78</v>
      </c>
      <c r="BD273" s="5">
        <v>5.33</v>
      </c>
      <c r="BE273" s="5">
        <v>2.29</v>
      </c>
      <c r="BF273" s="5">
        <v>434.88</v>
      </c>
      <c r="BG273" s="5">
        <v>16.309999999999999</v>
      </c>
      <c r="BH273" s="5">
        <v>10000000000</v>
      </c>
      <c r="BI273" s="5">
        <v>213.4</v>
      </c>
      <c r="BJ273" s="5">
        <v>19.8</v>
      </c>
      <c r="BK273" s="5">
        <v>84.5</v>
      </c>
      <c r="BL273" s="5">
        <v>146.52000000000001</v>
      </c>
      <c r="BM273" s="5">
        <v>2.81</v>
      </c>
      <c r="BN273" s="5">
        <v>30.57</v>
      </c>
      <c r="BO273" s="5">
        <v>38.770000000000003</v>
      </c>
      <c r="BP273" s="5">
        <v>789.5</v>
      </c>
      <c r="BQ273" s="5">
        <v>67.480050000000006</v>
      </c>
      <c r="BR273" s="5">
        <v>284.32569999999998</v>
      </c>
      <c r="BS273" s="5">
        <v>35.509979999999999</v>
      </c>
      <c r="BT273" s="5">
        <v>32.673490000000001</v>
      </c>
      <c r="BU273" s="5">
        <v>32.233989999999999</v>
      </c>
      <c r="BV273" s="5">
        <v>0.10488500000000001</v>
      </c>
      <c r="BW273" s="5">
        <v>0.102505</v>
      </c>
      <c r="BX273" s="5">
        <v>134.38740000000001</v>
      </c>
      <c r="BY273" s="5">
        <v>18.995360000000002</v>
      </c>
      <c r="BZ273" s="5">
        <v>0</v>
      </c>
      <c r="CA273" s="5">
        <v>0.915493</v>
      </c>
      <c r="CB273" s="5">
        <v>914.23440000000005</v>
      </c>
      <c r="CC273" s="5">
        <v>951.14210000000003</v>
      </c>
      <c r="CD273" s="5">
        <v>139.34479999999999</v>
      </c>
      <c r="CE273" s="5">
        <v>599.71</v>
      </c>
      <c r="CF273" s="5">
        <v>95.72</v>
      </c>
      <c r="CG273" s="5">
        <v>112.62</v>
      </c>
      <c r="CH273" s="5">
        <v>536.35</v>
      </c>
      <c r="CI273" s="5">
        <v>560.27</v>
      </c>
      <c r="CJ273" s="5">
        <v>578.12</v>
      </c>
      <c r="CK273" s="5">
        <v>603.59</v>
      </c>
      <c r="CL273" s="5">
        <v>601.75</v>
      </c>
      <c r="CM273" s="5">
        <v>603.42999999999995</v>
      </c>
      <c r="CN273" s="5">
        <v>486.55</v>
      </c>
      <c r="CO273" s="5">
        <v>29.68</v>
      </c>
      <c r="CP273" s="5">
        <v>941.8</v>
      </c>
      <c r="CQ273" s="5">
        <v>943.04</v>
      </c>
      <c r="CR273" s="5">
        <v>16.899999999999999</v>
      </c>
      <c r="CS273" s="5">
        <v>16.899999999999999</v>
      </c>
      <c r="CT273" s="5">
        <v>20.18</v>
      </c>
      <c r="CU273" s="5">
        <v>30.21</v>
      </c>
      <c r="CV273" s="5">
        <v>99.98</v>
      </c>
      <c r="CW273" s="5">
        <v>0.82052495062127695</v>
      </c>
      <c r="CX273" s="5">
        <v>1.8790021369227243</v>
      </c>
    </row>
    <row r="274" spans="1:102" x14ac:dyDescent="0.25">
      <c r="A274" s="5">
        <v>3</v>
      </c>
      <c r="B274" s="23">
        <v>41411.467066018522</v>
      </c>
      <c r="C274" s="5">
        <v>9</v>
      </c>
      <c r="D274" s="5">
        <v>27</v>
      </c>
      <c r="E274" s="5">
        <v>953</v>
      </c>
      <c r="F274" s="5">
        <v>953</v>
      </c>
      <c r="G274" s="5">
        <v>953</v>
      </c>
      <c r="H274" s="5">
        <v>91.7</v>
      </c>
      <c r="I274" s="5">
        <v>91.7</v>
      </c>
      <c r="J274" s="5">
        <v>1800</v>
      </c>
      <c r="K274" s="5">
        <v>15</v>
      </c>
      <c r="L274" s="5">
        <v>15</v>
      </c>
      <c r="M274" s="5">
        <v>0.1</v>
      </c>
      <c r="N274" s="5">
        <v>9.9947999999999995E-2</v>
      </c>
      <c r="O274" s="5">
        <v>1</v>
      </c>
      <c r="P274" s="5">
        <v>1.069423</v>
      </c>
      <c r="Q274" s="5">
        <v>3.61</v>
      </c>
      <c r="R274" s="5">
        <v>3.6145019999999999</v>
      </c>
      <c r="S274" s="5">
        <v>181.84</v>
      </c>
      <c r="T274" s="5">
        <v>179.3134</v>
      </c>
      <c r="U274" s="5">
        <v>5</v>
      </c>
      <c r="V274" s="5">
        <v>5</v>
      </c>
      <c r="W274" s="5">
        <v>300</v>
      </c>
      <c r="X274" s="5">
        <v>300</v>
      </c>
      <c r="Y274" s="5">
        <v>0</v>
      </c>
      <c r="Z274" s="5">
        <v>0</v>
      </c>
      <c r="AA274" s="5">
        <v>177.23</v>
      </c>
      <c r="AB274" s="5">
        <v>177</v>
      </c>
      <c r="AC274" s="5">
        <v>0</v>
      </c>
      <c r="AD274" s="5">
        <v>159.33920000000001</v>
      </c>
      <c r="AE274" s="5">
        <v>160</v>
      </c>
      <c r="AF274" s="5">
        <v>160</v>
      </c>
      <c r="AG274" s="5">
        <v>28</v>
      </c>
      <c r="AH274" s="5">
        <v>0.23</v>
      </c>
      <c r="AI274" s="5">
        <v>102.89</v>
      </c>
      <c r="AJ274" s="5">
        <v>123.67</v>
      </c>
      <c r="AK274" s="5">
        <v>164.72</v>
      </c>
      <c r="AL274" s="5">
        <v>169.07</v>
      </c>
      <c r="AM274" s="5">
        <v>683.46</v>
      </c>
      <c r="AN274" s="5">
        <v>236.54599999999999</v>
      </c>
      <c r="AO274" s="5">
        <v>136.01</v>
      </c>
      <c r="AP274" s="5">
        <v>147.41</v>
      </c>
      <c r="AQ274" s="5">
        <v>156.65</v>
      </c>
      <c r="AR274" s="5">
        <v>759.59</v>
      </c>
      <c r="AS274" s="5">
        <v>28.74</v>
      </c>
      <c r="AT274" s="5">
        <v>58.93</v>
      </c>
      <c r="AU274" s="5">
        <v>101.2</v>
      </c>
      <c r="AV274" s="5">
        <v>113.94</v>
      </c>
      <c r="AW274" s="5">
        <v>0.247</v>
      </c>
      <c r="AX274" s="5">
        <v>3.51</v>
      </c>
      <c r="AY274" s="5">
        <v>10000000000</v>
      </c>
      <c r="AZ274" s="5">
        <v>567.61</v>
      </c>
      <c r="BA274" s="5">
        <v>11.58</v>
      </c>
      <c r="BB274" s="5">
        <v>10.72</v>
      </c>
      <c r="BC274" s="5">
        <v>0.64</v>
      </c>
      <c r="BD274" s="5">
        <v>5.67</v>
      </c>
      <c r="BE274" s="5">
        <v>5.22</v>
      </c>
      <c r="BF274" s="5">
        <v>991.87</v>
      </c>
      <c r="BG274" s="5">
        <v>5.97</v>
      </c>
      <c r="BH274" s="5">
        <v>10000000000</v>
      </c>
      <c r="BI274" s="5">
        <v>214.4</v>
      </c>
      <c r="BJ274" s="5">
        <v>19.7</v>
      </c>
      <c r="BK274" s="5">
        <v>84.5</v>
      </c>
      <c r="BL274" s="5">
        <v>48.25</v>
      </c>
      <c r="BM274" s="5">
        <v>2.5299999999999998</v>
      </c>
      <c r="BN274" s="5">
        <v>29.56</v>
      </c>
      <c r="BO274" s="5">
        <v>38.82</v>
      </c>
      <c r="BP274" s="5">
        <v>798.26</v>
      </c>
      <c r="BQ274" s="5">
        <v>59.871769999999998</v>
      </c>
      <c r="BR274" s="5">
        <v>271.36759999999998</v>
      </c>
      <c r="BS274" s="5">
        <v>35.209040000000002</v>
      </c>
      <c r="BT274" s="5">
        <v>31.699000000000002</v>
      </c>
      <c r="BU274" s="5">
        <v>32.013669999999998</v>
      </c>
      <c r="BV274" s="5">
        <v>0.103921</v>
      </c>
      <c r="BW274" s="5">
        <v>6.3133999999999996E-2</v>
      </c>
      <c r="BX274" s="5">
        <v>136.9434</v>
      </c>
      <c r="BY274" s="5">
        <v>18.995360000000002</v>
      </c>
      <c r="BZ274" s="5">
        <v>0</v>
      </c>
      <c r="CA274" s="5">
        <v>0.91648799999999997</v>
      </c>
      <c r="CB274" s="5">
        <v>855.35640000000001</v>
      </c>
      <c r="CC274" s="5">
        <v>892.94090000000006</v>
      </c>
      <c r="CD274" s="5">
        <v>141.9487</v>
      </c>
      <c r="CE274" s="5">
        <v>513.49</v>
      </c>
      <c r="CF274" s="5">
        <v>85.89</v>
      </c>
      <c r="CG274" s="5">
        <v>101.77</v>
      </c>
      <c r="CH274" s="5">
        <v>566.4</v>
      </c>
      <c r="CI274" s="5">
        <v>591.14</v>
      </c>
      <c r="CJ274" s="5">
        <v>608.16</v>
      </c>
      <c r="CK274" s="5">
        <v>629.08000000000004</v>
      </c>
      <c r="CL274" s="5">
        <v>624.22</v>
      </c>
      <c r="CM274" s="5">
        <v>609.44000000000005</v>
      </c>
      <c r="CN274" s="5">
        <v>538.48</v>
      </c>
      <c r="CO274" s="5">
        <v>32.28</v>
      </c>
      <c r="CP274" s="5">
        <v>943.2</v>
      </c>
      <c r="CQ274" s="5">
        <v>953.04</v>
      </c>
      <c r="CR274" s="5">
        <v>16.899999999999999</v>
      </c>
      <c r="CS274" s="5">
        <v>17.100000000000001</v>
      </c>
      <c r="CT274" s="5">
        <v>27.26</v>
      </c>
      <c r="CU274" s="5">
        <v>49.04</v>
      </c>
      <c r="CV274" s="5">
        <v>99.91</v>
      </c>
      <c r="CW274" s="5">
        <v>0.9135739536815618</v>
      </c>
      <c r="CX274" s="5">
        <v>4.7688560382177521</v>
      </c>
    </row>
    <row r="275" spans="1:102" x14ac:dyDescent="0.25">
      <c r="A275" s="5">
        <v>10</v>
      </c>
      <c r="B275" s="23">
        <v>41410.667652060183</v>
      </c>
      <c r="C275" s="5">
        <v>9</v>
      </c>
      <c r="D275" s="5">
        <v>16</v>
      </c>
      <c r="E275" s="5">
        <v>887</v>
      </c>
      <c r="F275" s="5">
        <v>887</v>
      </c>
      <c r="G275" s="5">
        <v>887.1</v>
      </c>
      <c r="H275" s="5">
        <v>91.7</v>
      </c>
      <c r="I275" s="5">
        <v>91.7</v>
      </c>
      <c r="J275" s="5">
        <v>1800</v>
      </c>
      <c r="K275" s="5">
        <v>34</v>
      </c>
      <c r="L275" s="5">
        <v>34</v>
      </c>
      <c r="M275" s="5">
        <v>0.11</v>
      </c>
      <c r="N275" s="5">
        <v>0.109969</v>
      </c>
      <c r="O275" s="5">
        <v>1</v>
      </c>
      <c r="P275" s="5">
        <v>1.068986</v>
      </c>
      <c r="Q275" s="5">
        <v>4.91</v>
      </c>
      <c r="R275" s="5">
        <v>4.9108890000000001</v>
      </c>
      <c r="S275" s="5">
        <v>186.59</v>
      </c>
      <c r="T275" s="5">
        <v>185.22190000000001</v>
      </c>
      <c r="U275" s="5">
        <v>4.8</v>
      </c>
      <c r="V275" s="5">
        <v>4.8125</v>
      </c>
      <c r="W275" s="5">
        <v>300</v>
      </c>
      <c r="X275" s="5">
        <v>300</v>
      </c>
      <c r="Y275" s="5">
        <v>0</v>
      </c>
      <c r="Z275" s="5">
        <v>0</v>
      </c>
      <c r="AA275" s="5">
        <v>300</v>
      </c>
      <c r="AB275" s="5">
        <v>300</v>
      </c>
      <c r="AC275" s="5">
        <v>0</v>
      </c>
      <c r="AD275" s="5">
        <v>171.1996</v>
      </c>
      <c r="AE275" s="5">
        <v>160</v>
      </c>
      <c r="AF275" s="5">
        <v>160</v>
      </c>
      <c r="AG275" s="5">
        <v>28</v>
      </c>
      <c r="AH275" s="5">
        <v>0.23</v>
      </c>
      <c r="AI275" s="5">
        <v>112.63</v>
      </c>
      <c r="AJ275" s="5">
        <v>128.93</v>
      </c>
      <c r="AK275" s="5">
        <v>200.63</v>
      </c>
      <c r="AL275" s="5">
        <v>203.33</v>
      </c>
      <c r="AM275" s="5">
        <v>596.54</v>
      </c>
      <c r="AN275" s="5">
        <v>252.90369999999999</v>
      </c>
      <c r="AO275" s="5">
        <v>154.02000000000001</v>
      </c>
      <c r="AP275" s="5">
        <v>159.88</v>
      </c>
      <c r="AQ275" s="5">
        <v>174.85</v>
      </c>
      <c r="AR275" s="5">
        <v>776.24</v>
      </c>
      <c r="AS275" s="5">
        <v>46.59</v>
      </c>
      <c r="AT275" s="5">
        <v>60.74</v>
      </c>
      <c r="AU275" s="5">
        <v>102.52</v>
      </c>
      <c r="AV275" s="5">
        <v>115.39</v>
      </c>
      <c r="AW275" s="5">
        <v>0.14099999999999999</v>
      </c>
      <c r="AX275" s="5">
        <v>1.93</v>
      </c>
      <c r="AY275" s="5">
        <v>10000000000</v>
      </c>
      <c r="AZ275" s="5">
        <v>424.73</v>
      </c>
      <c r="BA275" s="5">
        <v>16.2</v>
      </c>
      <c r="BB275" s="5">
        <v>9.5299999999999994</v>
      </c>
      <c r="BC275" s="5">
        <v>0.91</v>
      </c>
      <c r="BD275" s="5">
        <v>7.44</v>
      </c>
      <c r="BE275" s="5">
        <v>5.63</v>
      </c>
      <c r="BF275" s="5">
        <v>951.76</v>
      </c>
      <c r="BG275" s="5">
        <v>9.5500000000000007</v>
      </c>
      <c r="BH275" s="5">
        <v>10000000000</v>
      </c>
      <c r="BI275" s="5">
        <v>210</v>
      </c>
      <c r="BJ275" s="5">
        <v>22.1</v>
      </c>
      <c r="BK275" s="5">
        <v>83.5</v>
      </c>
      <c r="BL275" s="5">
        <v>82.03</v>
      </c>
      <c r="BM275" s="5">
        <v>2.72</v>
      </c>
      <c r="BN275" s="5">
        <v>29.81</v>
      </c>
      <c r="BO275" s="5">
        <v>37.79</v>
      </c>
      <c r="BP275" s="5">
        <v>812.15</v>
      </c>
      <c r="BQ275" s="5">
        <v>61.513750000000002</v>
      </c>
      <c r="BR275" s="5">
        <v>301.95699999999999</v>
      </c>
      <c r="BS275" s="5">
        <v>37.98122</v>
      </c>
      <c r="BT275" s="5">
        <v>35.221690000000002</v>
      </c>
      <c r="BU275" s="5">
        <v>34.742109999999997</v>
      </c>
      <c r="BV275" s="5">
        <v>0.104548</v>
      </c>
      <c r="BW275" s="5">
        <v>0.102533</v>
      </c>
      <c r="BX275" s="5">
        <v>123.7144</v>
      </c>
      <c r="BY275" s="5">
        <v>18.995360000000002</v>
      </c>
      <c r="BZ275" s="5">
        <v>0</v>
      </c>
      <c r="CA275" s="5">
        <v>0.91478499999999996</v>
      </c>
      <c r="CB275" s="5">
        <v>908.48500000000001</v>
      </c>
      <c r="CC275" s="5">
        <v>942.51350000000002</v>
      </c>
      <c r="CD275" s="5">
        <v>128.52690000000001</v>
      </c>
      <c r="CE275" s="5">
        <v>525.92999999999995</v>
      </c>
      <c r="CF275" s="5">
        <v>85.42</v>
      </c>
      <c r="CG275" s="5">
        <v>98.31</v>
      </c>
      <c r="CH275" s="5">
        <v>502.48</v>
      </c>
      <c r="CI275" s="5">
        <v>525.47</v>
      </c>
      <c r="CJ275" s="5">
        <v>538.99</v>
      </c>
      <c r="CK275" s="5">
        <v>564.75</v>
      </c>
      <c r="CL275" s="5">
        <v>560.79999999999995</v>
      </c>
      <c r="CM275" s="5">
        <v>557.78</v>
      </c>
      <c r="CN275" s="5">
        <v>441.33</v>
      </c>
      <c r="CO275" s="5">
        <v>28.13</v>
      </c>
      <c r="CP275" s="5">
        <v>883.6</v>
      </c>
      <c r="CQ275" s="5">
        <v>887.05</v>
      </c>
      <c r="CR275" s="5">
        <v>15.8</v>
      </c>
      <c r="CS275" s="5">
        <v>15.9</v>
      </c>
      <c r="CT275" s="5">
        <v>23.81</v>
      </c>
      <c r="CU275" s="5">
        <v>36.22</v>
      </c>
      <c r="CV275" s="5">
        <v>99.01</v>
      </c>
      <c r="CW275" s="5">
        <v>0.84720545692357885</v>
      </c>
      <c r="CX275" s="5">
        <v>4.7697667224797486</v>
      </c>
    </row>
    <row r="276" spans="1:102" x14ac:dyDescent="0.25">
      <c r="A276" s="5">
        <v>36</v>
      </c>
      <c r="B276" s="23">
        <v>41409.703591064812</v>
      </c>
      <c r="C276" s="5">
        <v>9</v>
      </c>
      <c r="D276" s="5">
        <v>2</v>
      </c>
      <c r="E276" s="5">
        <v>812</v>
      </c>
      <c r="F276" s="5">
        <v>812</v>
      </c>
      <c r="G276" s="5">
        <v>812</v>
      </c>
      <c r="H276" s="5">
        <v>91.7</v>
      </c>
      <c r="I276" s="5">
        <v>91.7</v>
      </c>
      <c r="J276" s="5">
        <v>1800</v>
      </c>
      <c r="K276" s="5">
        <v>20</v>
      </c>
      <c r="L276" s="5">
        <v>20</v>
      </c>
      <c r="M276" s="5">
        <v>0.24</v>
      </c>
      <c r="N276" s="5">
        <v>0.23994499999999999</v>
      </c>
      <c r="O276" s="5">
        <v>1</v>
      </c>
      <c r="P276" s="5">
        <v>1.0689979999999999</v>
      </c>
      <c r="Q276" s="5">
        <v>3.21</v>
      </c>
      <c r="R276" s="5">
        <v>3.208008</v>
      </c>
      <c r="S276" s="5">
        <v>186.09</v>
      </c>
      <c r="T276" s="5">
        <v>186.09379999999999</v>
      </c>
      <c r="U276" s="5">
        <v>3.68</v>
      </c>
      <c r="V276" s="5">
        <v>3.6875</v>
      </c>
      <c r="W276" s="5">
        <v>300</v>
      </c>
      <c r="X276" s="5">
        <v>300</v>
      </c>
      <c r="Y276" s="5">
        <v>0</v>
      </c>
      <c r="Z276" s="5">
        <v>0</v>
      </c>
      <c r="AA276" s="5">
        <v>300</v>
      </c>
      <c r="AB276" s="5">
        <v>300</v>
      </c>
      <c r="AC276" s="5">
        <v>0</v>
      </c>
      <c r="AD276" s="5">
        <v>143.64689999999999</v>
      </c>
      <c r="AE276" s="5">
        <v>160</v>
      </c>
      <c r="AF276" s="5">
        <v>160</v>
      </c>
      <c r="AG276" s="5">
        <v>28</v>
      </c>
      <c r="AH276" s="5">
        <v>0.23</v>
      </c>
      <c r="AI276" s="5">
        <v>94.01</v>
      </c>
      <c r="AJ276" s="5">
        <v>114.52</v>
      </c>
      <c r="AK276" s="5">
        <v>137.02000000000001</v>
      </c>
      <c r="AL276" s="5">
        <v>139.96</v>
      </c>
      <c r="AM276" s="5">
        <v>622.49</v>
      </c>
      <c r="AN276" s="5">
        <v>217.1189</v>
      </c>
      <c r="AO276" s="5">
        <v>119.12</v>
      </c>
      <c r="AP276" s="5">
        <v>130.9</v>
      </c>
      <c r="AQ276" s="5">
        <v>137.32</v>
      </c>
      <c r="AR276" s="5">
        <v>666.44</v>
      </c>
      <c r="AS276" s="5">
        <v>17.88</v>
      </c>
      <c r="AT276" s="5">
        <v>61.2</v>
      </c>
      <c r="AU276" s="5">
        <v>100.96</v>
      </c>
      <c r="AV276" s="5">
        <v>114.16</v>
      </c>
      <c r="AW276" s="5">
        <v>0.27700000000000002</v>
      </c>
      <c r="AX276" s="5">
        <v>3.96</v>
      </c>
      <c r="AY276" s="5">
        <v>10000000000</v>
      </c>
      <c r="AZ276" s="5">
        <v>496.65</v>
      </c>
      <c r="BA276" s="5">
        <v>17.170000000000002</v>
      </c>
      <c r="BB276" s="5">
        <v>10.34</v>
      </c>
      <c r="BC276" s="5">
        <v>1.1200000000000001</v>
      </c>
      <c r="BD276" s="5">
        <v>6.35</v>
      </c>
      <c r="BE276" s="5">
        <v>4.0199999999999996</v>
      </c>
      <c r="BF276" s="5">
        <v>736.57</v>
      </c>
      <c r="BG276" s="5">
        <v>10.86</v>
      </c>
      <c r="BH276" s="5">
        <v>10000000000</v>
      </c>
      <c r="BI276" s="5">
        <v>211.8</v>
      </c>
      <c r="BJ276" s="5">
        <v>20.5</v>
      </c>
      <c r="BK276" s="5">
        <v>83.9</v>
      </c>
      <c r="BL276" s="5">
        <v>81.11</v>
      </c>
      <c r="BM276" s="5">
        <v>2.35</v>
      </c>
      <c r="BN276" s="5">
        <v>30</v>
      </c>
      <c r="BO276" s="5">
        <v>38.44</v>
      </c>
      <c r="BP276" s="5">
        <v>698.38</v>
      </c>
      <c r="BQ276" s="5">
        <v>61.908180000000002</v>
      </c>
      <c r="BR276" s="5">
        <v>236.67150000000001</v>
      </c>
      <c r="BS276" s="5">
        <v>40.953960000000002</v>
      </c>
      <c r="BT276" s="5">
        <v>32.708010000000002</v>
      </c>
      <c r="BU276" s="5">
        <v>32.511879999999998</v>
      </c>
      <c r="BV276" s="5">
        <v>0.107118</v>
      </c>
      <c r="BW276" s="5">
        <v>0.107096</v>
      </c>
      <c r="BX276" s="5">
        <v>114.4877</v>
      </c>
      <c r="BY276" s="5">
        <v>18.995360000000002</v>
      </c>
      <c r="BZ276" s="5">
        <v>0</v>
      </c>
      <c r="CA276" s="5">
        <v>0.91833500000000001</v>
      </c>
      <c r="CB276" s="5">
        <v>781.9067</v>
      </c>
      <c r="CC276" s="5">
        <v>813.18520000000001</v>
      </c>
      <c r="CD276" s="5">
        <v>118.1752</v>
      </c>
      <c r="CE276" s="5">
        <v>548.05999999999995</v>
      </c>
      <c r="CF276" s="5">
        <v>86.65</v>
      </c>
      <c r="CG276" s="5">
        <v>98.81</v>
      </c>
      <c r="CH276" s="5">
        <v>513.46</v>
      </c>
      <c r="CI276" s="5">
        <v>536.61</v>
      </c>
      <c r="CJ276" s="5">
        <v>552.09</v>
      </c>
      <c r="CK276" s="5">
        <v>577.13</v>
      </c>
      <c r="CL276" s="5">
        <v>570.45000000000005</v>
      </c>
      <c r="CM276" s="5">
        <v>574.67999999999995</v>
      </c>
      <c r="CN276" s="5">
        <v>489.55</v>
      </c>
      <c r="CO276" s="5">
        <v>30.11</v>
      </c>
      <c r="CP276" s="5">
        <v>808.5</v>
      </c>
      <c r="CQ276" s="5">
        <v>812.05</v>
      </c>
      <c r="CR276" s="5">
        <v>14.5</v>
      </c>
      <c r="CS276" s="5">
        <v>14.5</v>
      </c>
      <c r="CT276" s="5">
        <v>25.45</v>
      </c>
      <c r="CU276" s="5">
        <v>44.74</v>
      </c>
      <c r="CV276" s="5">
        <v>98.72</v>
      </c>
      <c r="CW276" s="5">
        <v>0.86164335418417015</v>
      </c>
      <c r="CX276" s="5">
        <v>3.4638062838203636</v>
      </c>
    </row>
    <row r="277" spans="1:102" x14ac:dyDescent="0.25">
      <c r="A277" s="5">
        <v>13</v>
      </c>
      <c r="B277" s="23">
        <v>41410.683946041667</v>
      </c>
      <c r="C277" s="5">
        <v>9</v>
      </c>
      <c r="D277" s="5">
        <v>19</v>
      </c>
      <c r="E277" s="5">
        <v>906</v>
      </c>
      <c r="F277" s="5">
        <v>906</v>
      </c>
      <c r="G277" s="5">
        <v>906</v>
      </c>
      <c r="H277" s="5">
        <v>91.7</v>
      </c>
      <c r="I277" s="5">
        <v>91.7</v>
      </c>
      <c r="J277" s="5">
        <v>1800</v>
      </c>
      <c r="K277" s="5">
        <v>23</v>
      </c>
      <c r="L277" s="5">
        <v>23</v>
      </c>
      <c r="M277" s="5">
        <v>0.33</v>
      </c>
      <c r="N277" s="5">
        <v>0.330036</v>
      </c>
      <c r="O277" s="5">
        <v>1</v>
      </c>
      <c r="P277" s="5">
        <v>1.0690299999999999</v>
      </c>
      <c r="Q277" s="5">
        <v>5.0199999999999996</v>
      </c>
      <c r="R277" s="5">
        <v>5.0207519999999999</v>
      </c>
      <c r="S277" s="5">
        <v>186.17</v>
      </c>
      <c r="T277" s="5">
        <v>183.36779999999999</v>
      </c>
      <c r="U277" s="5">
        <v>5</v>
      </c>
      <c r="V277" s="5">
        <v>5</v>
      </c>
      <c r="W277" s="5">
        <v>300</v>
      </c>
      <c r="X277" s="5">
        <v>300</v>
      </c>
      <c r="Y277" s="5">
        <v>0</v>
      </c>
      <c r="Z277" s="5">
        <v>0</v>
      </c>
      <c r="AA277" s="5">
        <v>284.27</v>
      </c>
      <c r="AB277" s="5">
        <v>284</v>
      </c>
      <c r="AC277" s="5">
        <v>0</v>
      </c>
      <c r="AD277" s="5">
        <v>155.39019999999999</v>
      </c>
      <c r="AE277" s="5">
        <v>160</v>
      </c>
      <c r="AF277" s="5">
        <v>160</v>
      </c>
      <c r="AG277" s="5">
        <v>28</v>
      </c>
      <c r="AH277" s="5">
        <v>0.23</v>
      </c>
      <c r="AI277" s="5">
        <v>105.96</v>
      </c>
      <c r="AJ277" s="5">
        <v>120.29</v>
      </c>
      <c r="AK277" s="5">
        <v>154.47</v>
      </c>
      <c r="AL277" s="5">
        <v>156.16</v>
      </c>
      <c r="AM277" s="5">
        <v>650.24</v>
      </c>
      <c r="AN277" s="5">
        <v>234.67500000000001</v>
      </c>
      <c r="AO277" s="5">
        <v>136.08000000000001</v>
      </c>
      <c r="AP277" s="5">
        <v>143.09</v>
      </c>
      <c r="AQ277" s="5">
        <v>154.65</v>
      </c>
      <c r="AR277" s="5">
        <v>693.28</v>
      </c>
      <c r="AS277" s="5">
        <v>18.41</v>
      </c>
      <c r="AT277" s="5">
        <v>63.84</v>
      </c>
      <c r="AU277" s="5">
        <v>106.93</v>
      </c>
      <c r="AV277" s="5">
        <v>111.32</v>
      </c>
      <c r="AW277" s="5">
        <v>0.74099999999999999</v>
      </c>
      <c r="AX277" s="5">
        <v>12.22</v>
      </c>
      <c r="AY277" s="5">
        <v>10000000000</v>
      </c>
      <c r="AZ277" s="5">
        <v>664.13</v>
      </c>
      <c r="BA277" s="5">
        <v>12.71</v>
      </c>
      <c r="BB277" s="5">
        <v>11.12</v>
      </c>
      <c r="BC277" s="5">
        <v>1.51</v>
      </c>
      <c r="BD277" s="5">
        <v>5.25</v>
      </c>
      <c r="BE277" s="5">
        <v>3.12</v>
      </c>
      <c r="BF277" s="5">
        <v>620.32000000000005</v>
      </c>
      <c r="BG277" s="5">
        <v>13.58</v>
      </c>
      <c r="BH277" s="5">
        <v>10000000000</v>
      </c>
      <c r="BI277" s="5">
        <v>211.4</v>
      </c>
      <c r="BJ277" s="5">
        <v>19.2</v>
      </c>
      <c r="BK277" s="5">
        <v>83.2</v>
      </c>
      <c r="BL277" s="5">
        <v>108.92</v>
      </c>
      <c r="BM277" s="5">
        <v>2.5499999999999998</v>
      </c>
      <c r="BN277" s="5">
        <v>30.34</v>
      </c>
      <c r="BO277" s="5">
        <v>39.07</v>
      </c>
      <c r="BP277" s="5">
        <v>729.11</v>
      </c>
      <c r="BQ277" s="5">
        <v>64.240160000000003</v>
      </c>
      <c r="BR277" s="5">
        <v>252.21860000000001</v>
      </c>
      <c r="BS277" s="5">
        <v>36.857410000000002</v>
      </c>
      <c r="BT277" s="5">
        <v>32.14376</v>
      </c>
      <c r="BU277" s="5">
        <v>32.14208</v>
      </c>
      <c r="BV277" s="5">
        <v>0.103994</v>
      </c>
      <c r="BW277" s="5">
        <v>8.4458000000000005E-2</v>
      </c>
      <c r="BX277" s="5">
        <v>127.7761</v>
      </c>
      <c r="BY277" s="5">
        <v>18.995360000000002</v>
      </c>
      <c r="BZ277" s="5">
        <v>0</v>
      </c>
      <c r="CA277" s="5">
        <v>0.91460799999999998</v>
      </c>
      <c r="CB277" s="5">
        <v>835.98379999999997</v>
      </c>
      <c r="CC277" s="5">
        <v>871.12959999999998</v>
      </c>
      <c r="CD277" s="5">
        <v>132.73939999999999</v>
      </c>
      <c r="CE277" s="5">
        <v>590.12</v>
      </c>
      <c r="CF277" s="5">
        <v>91.48</v>
      </c>
      <c r="CG277" s="5">
        <v>104.7</v>
      </c>
      <c r="CH277" s="5">
        <v>535.25</v>
      </c>
      <c r="CI277" s="5">
        <v>559.88</v>
      </c>
      <c r="CJ277" s="5">
        <v>576.86</v>
      </c>
      <c r="CK277" s="5">
        <v>603.76</v>
      </c>
      <c r="CL277" s="5">
        <v>597.04999999999995</v>
      </c>
      <c r="CM277" s="5">
        <v>601.45000000000005</v>
      </c>
      <c r="CN277" s="5">
        <v>506.02</v>
      </c>
      <c r="CO277" s="5">
        <v>28.04</v>
      </c>
      <c r="CP277" s="5">
        <v>900.9</v>
      </c>
      <c r="CQ277" s="5">
        <v>906.05</v>
      </c>
      <c r="CR277" s="5">
        <v>16.100000000000001</v>
      </c>
      <c r="CS277" s="5">
        <v>16.2</v>
      </c>
      <c r="CT277" s="5">
        <v>22.96</v>
      </c>
      <c r="CU277" s="5">
        <v>44.25</v>
      </c>
      <c r="CV277" s="5">
        <v>99.04</v>
      </c>
      <c r="CW277" s="5">
        <v>0.86248296017971238</v>
      </c>
      <c r="CX277" s="5">
        <v>2.6909468357607027</v>
      </c>
    </row>
    <row r="278" spans="1:102" x14ac:dyDescent="0.25">
      <c r="A278" s="5">
        <v>12</v>
      </c>
      <c r="B278" s="23">
        <v>41411.519862499998</v>
      </c>
      <c r="C278" s="5">
        <v>10</v>
      </c>
      <c r="D278" s="5">
        <v>8</v>
      </c>
      <c r="E278" s="5">
        <v>570</v>
      </c>
      <c r="F278" s="5">
        <v>570</v>
      </c>
      <c r="G278" s="5">
        <v>570</v>
      </c>
      <c r="H278" s="5">
        <v>100</v>
      </c>
      <c r="I278" s="5">
        <v>100</v>
      </c>
      <c r="J278" s="5">
        <v>1890</v>
      </c>
      <c r="K278" s="5">
        <v>6</v>
      </c>
      <c r="L278" s="5">
        <v>6</v>
      </c>
      <c r="M278" s="5">
        <v>0.28000000000000003</v>
      </c>
      <c r="N278" s="5">
        <v>0.28009099999999998</v>
      </c>
      <c r="O278" s="5">
        <v>1</v>
      </c>
      <c r="P278" s="5">
        <v>1.0694140000000001</v>
      </c>
      <c r="Q278" s="5">
        <v>-3.59</v>
      </c>
      <c r="R278" s="5">
        <v>-3.5925289999999999</v>
      </c>
      <c r="S278" s="5">
        <v>182.39</v>
      </c>
      <c r="T278" s="5">
        <v>182.39060000000001</v>
      </c>
      <c r="U278" s="5">
        <v>3.5</v>
      </c>
      <c r="V278" s="5">
        <v>3.5</v>
      </c>
      <c r="W278" s="5">
        <v>300</v>
      </c>
      <c r="X278" s="5">
        <v>300</v>
      </c>
      <c r="Y278" s="5">
        <v>0</v>
      </c>
      <c r="Z278" s="5">
        <v>0</v>
      </c>
      <c r="AA278" s="5">
        <v>300</v>
      </c>
      <c r="AB278" s="5">
        <v>300</v>
      </c>
      <c r="AC278" s="5">
        <v>0</v>
      </c>
      <c r="AD278" s="5">
        <v>114.9783</v>
      </c>
      <c r="AE278" s="5">
        <v>150</v>
      </c>
      <c r="AF278" s="5">
        <v>150</v>
      </c>
      <c r="AG278" s="5">
        <v>34</v>
      </c>
      <c r="AH278" s="5">
        <v>0.16</v>
      </c>
      <c r="AI278" s="5">
        <v>67.17</v>
      </c>
      <c r="AJ278" s="5">
        <v>96.29</v>
      </c>
      <c r="AK278" s="5">
        <v>90.47</v>
      </c>
      <c r="AL278" s="5">
        <v>92.41</v>
      </c>
      <c r="AM278" s="5">
        <v>644.86</v>
      </c>
      <c r="AN278" s="5">
        <v>173.61320000000001</v>
      </c>
      <c r="AO278" s="5">
        <v>73.09</v>
      </c>
      <c r="AP278" s="5">
        <v>99.24</v>
      </c>
      <c r="AQ278" s="5">
        <v>88.86</v>
      </c>
      <c r="AR278" s="5">
        <v>552.92999999999995</v>
      </c>
      <c r="AS278" s="5">
        <v>17.38</v>
      </c>
      <c r="AT278" s="5">
        <v>60.33</v>
      </c>
      <c r="AU278" s="5">
        <v>100.71</v>
      </c>
      <c r="AV278" s="5">
        <v>119.18</v>
      </c>
      <c r="AW278" s="5">
        <v>1.179</v>
      </c>
      <c r="AX278" s="5">
        <v>22.23</v>
      </c>
      <c r="AY278" s="5">
        <v>10000000000</v>
      </c>
      <c r="AZ278" s="5">
        <v>879.59</v>
      </c>
      <c r="BA278" s="5">
        <v>15.21</v>
      </c>
      <c r="BB278" s="5">
        <v>10.210000000000001</v>
      </c>
      <c r="BC278" s="5">
        <v>1.32</v>
      </c>
      <c r="BD278" s="5">
        <v>6.28</v>
      </c>
      <c r="BE278" s="5">
        <v>1.98</v>
      </c>
      <c r="BF278" s="5">
        <v>321.95</v>
      </c>
      <c r="BG278" s="5">
        <v>12.88</v>
      </c>
      <c r="BH278" s="5">
        <v>10000000000</v>
      </c>
      <c r="BI278" s="5">
        <v>236.7</v>
      </c>
      <c r="BJ278" s="5">
        <v>20.7</v>
      </c>
      <c r="BK278" s="5">
        <v>84.7</v>
      </c>
      <c r="BL278" s="5">
        <v>81.72</v>
      </c>
      <c r="BM278" s="5">
        <v>1.88</v>
      </c>
      <c r="BN278" s="5">
        <v>30.18</v>
      </c>
      <c r="BO278" s="5">
        <v>38.369999999999997</v>
      </c>
      <c r="BP278" s="5">
        <v>579.52</v>
      </c>
      <c r="BQ278" s="5">
        <v>61.13214</v>
      </c>
      <c r="BR278" s="5">
        <v>190.1395</v>
      </c>
      <c r="BS278" s="5">
        <v>45.472340000000003</v>
      </c>
      <c r="BT278" s="5">
        <v>33.604239999999997</v>
      </c>
      <c r="BU278" s="5">
        <v>33.582000000000001</v>
      </c>
      <c r="BV278" s="5">
        <v>0.109219</v>
      </c>
      <c r="BW278" s="5">
        <v>0.114541</v>
      </c>
      <c r="BX278" s="5">
        <v>88.175629999999998</v>
      </c>
      <c r="BY278" s="5">
        <v>18.995360000000002</v>
      </c>
      <c r="BZ278" s="5">
        <v>0</v>
      </c>
      <c r="CA278" s="5">
        <v>0.92293899999999995</v>
      </c>
      <c r="CB278" s="5">
        <v>661.23559999999998</v>
      </c>
      <c r="CC278" s="5">
        <v>686.69309999999996</v>
      </c>
      <c r="CD278" s="5">
        <v>91.687970000000007</v>
      </c>
      <c r="CE278" s="5">
        <v>563.98</v>
      </c>
      <c r="CF278" s="5">
        <v>84.81</v>
      </c>
      <c r="CG278" s="5">
        <v>97.41</v>
      </c>
      <c r="CH278" s="5">
        <v>517.02</v>
      </c>
      <c r="CI278" s="5">
        <v>543.44000000000005</v>
      </c>
      <c r="CJ278" s="5">
        <v>559.36</v>
      </c>
      <c r="CK278" s="5">
        <v>582.63</v>
      </c>
      <c r="CL278" s="5">
        <v>580.1</v>
      </c>
      <c r="CM278" s="5">
        <v>583.51</v>
      </c>
      <c r="CN278" s="5">
        <v>530.65</v>
      </c>
      <c r="CO278" s="5">
        <v>28.93</v>
      </c>
      <c r="CP278" s="5">
        <v>567.29999999999995</v>
      </c>
      <c r="CQ278" s="5">
        <v>570.04</v>
      </c>
      <c r="CR278" s="5">
        <v>10.199999999999999</v>
      </c>
      <c r="CS278" s="5">
        <v>10.199999999999999</v>
      </c>
      <c r="CT278" s="5">
        <v>27.88</v>
      </c>
      <c r="CU278" s="5">
        <v>44.58</v>
      </c>
      <c r="CV278" s="5">
        <v>99.93</v>
      </c>
      <c r="CW278" s="5">
        <v>0.88833852639255229</v>
      </c>
      <c r="CX278" s="5">
        <v>1.7589102822572535</v>
      </c>
    </row>
    <row r="279" spans="1:102" x14ac:dyDescent="0.25">
      <c r="A279" s="5">
        <v>10</v>
      </c>
      <c r="B279" s="23">
        <v>41411.509017824072</v>
      </c>
      <c r="C279" s="5">
        <v>10</v>
      </c>
      <c r="D279" s="5">
        <v>6</v>
      </c>
      <c r="E279" s="5">
        <v>552</v>
      </c>
      <c r="F279" s="5">
        <v>552</v>
      </c>
      <c r="G279" s="5">
        <v>552</v>
      </c>
      <c r="H279" s="5">
        <v>100</v>
      </c>
      <c r="I279" s="5">
        <v>100</v>
      </c>
      <c r="J279" s="5">
        <v>1890</v>
      </c>
      <c r="K279" s="5">
        <v>52</v>
      </c>
      <c r="L279" s="5">
        <v>52</v>
      </c>
      <c r="M279" s="5">
        <v>0.19</v>
      </c>
      <c r="N279" s="5">
        <v>0.19004599999999999</v>
      </c>
      <c r="O279" s="5">
        <v>1</v>
      </c>
      <c r="P279" s="5">
        <v>1.0694680000000001</v>
      </c>
      <c r="Q279" s="5">
        <v>-3.93</v>
      </c>
      <c r="R279" s="5">
        <v>-3.9331049999999999</v>
      </c>
      <c r="S279" s="5">
        <v>179.99</v>
      </c>
      <c r="T279" s="5">
        <v>179.98439999999999</v>
      </c>
      <c r="U279" s="5">
        <v>3.5</v>
      </c>
      <c r="V279" s="5">
        <v>3.5</v>
      </c>
      <c r="W279" s="5">
        <v>300</v>
      </c>
      <c r="X279" s="5">
        <v>300</v>
      </c>
      <c r="Y279" s="5">
        <v>0</v>
      </c>
      <c r="Z279" s="5">
        <v>0</v>
      </c>
      <c r="AA279" s="5">
        <v>300</v>
      </c>
      <c r="AB279" s="5">
        <v>300</v>
      </c>
      <c r="AC279" s="5">
        <v>0</v>
      </c>
      <c r="AD279" s="5">
        <v>167.88589999999999</v>
      </c>
      <c r="AE279" s="5">
        <v>150</v>
      </c>
      <c r="AF279" s="5">
        <v>150</v>
      </c>
      <c r="AG279" s="5">
        <v>34</v>
      </c>
      <c r="AH279" s="5">
        <v>0.16</v>
      </c>
      <c r="AI279" s="5">
        <v>94.14</v>
      </c>
      <c r="AJ279" s="5">
        <v>124.63</v>
      </c>
      <c r="AK279" s="5">
        <v>231.51</v>
      </c>
      <c r="AL279" s="5">
        <v>231.03</v>
      </c>
      <c r="AM279" s="5">
        <v>497.82</v>
      </c>
      <c r="AN279" s="5">
        <v>254.23500000000001</v>
      </c>
      <c r="AO279" s="5">
        <v>154.88999999999999</v>
      </c>
      <c r="AP279" s="5">
        <v>154.30000000000001</v>
      </c>
      <c r="AQ279" s="5">
        <v>174.66</v>
      </c>
      <c r="AR279" s="5">
        <v>711.82</v>
      </c>
      <c r="AS279" s="5">
        <v>76.61</v>
      </c>
      <c r="AT279" s="5">
        <v>70</v>
      </c>
      <c r="AU279" s="5">
        <v>117.3</v>
      </c>
      <c r="AV279" s="5">
        <v>115.11</v>
      </c>
      <c r="AW279" s="5">
        <v>0.17699999999999999</v>
      </c>
      <c r="AX279" s="5">
        <v>2.46</v>
      </c>
      <c r="AY279" s="5">
        <v>10000000000</v>
      </c>
      <c r="AZ279" s="5">
        <v>418.32</v>
      </c>
      <c r="BA279" s="5">
        <v>20.75</v>
      </c>
      <c r="BB279" s="5">
        <v>7.7</v>
      </c>
      <c r="BC279" s="5">
        <v>1.59</v>
      </c>
      <c r="BD279" s="5">
        <v>9.89</v>
      </c>
      <c r="BE279" s="5">
        <v>1.99</v>
      </c>
      <c r="BF279" s="5">
        <v>231.28</v>
      </c>
      <c r="BG279" s="5">
        <v>20.59</v>
      </c>
      <c r="BH279" s="5">
        <v>10000000000</v>
      </c>
      <c r="BI279" s="5">
        <v>238.1</v>
      </c>
      <c r="BJ279" s="5">
        <v>27.4</v>
      </c>
      <c r="BK279" s="5">
        <v>82.9</v>
      </c>
      <c r="BL279" s="5">
        <v>184.44</v>
      </c>
      <c r="BM279" s="5">
        <v>2.72</v>
      </c>
      <c r="BN279" s="5">
        <v>30.45</v>
      </c>
      <c r="BO279" s="5">
        <v>36.17</v>
      </c>
      <c r="BP279" s="5">
        <v>737.52</v>
      </c>
      <c r="BQ279" s="5">
        <v>69.423490000000001</v>
      </c>
      <c r="BR279" s="5">
        <v>326.08449999999999</v>
      </c>
      <c r="BS279" s="5">
        <v>46.187640000000002</v>
      </c>
      <c r="BT279" s="5">
        <v>50.53734</v>
      </c>
      <c r="BU279" s="5">
        <v>49.491930000000004</v>
      </c>
      <c r="BV279" s="5">
        <v>0.11076</v>
      </c>
      <c r="BW279" s="5">
        <v>0.102618</v>
      </c>
      <c r="BX279" s="5">
        <v>85.294060000000002</v>
      </c>
      <c r="BY279" s="5">
        <v>18.995360000000002</v>
      </c>
      <c r="BZ279" s="5">
        <v>0</v>
      </c>
      <c r="CA279" s="5">
        <v>0.92370799999999997</v>
      </c>
      <c r="CB279" s="5">
        <v>945.66790000000003</v>
      </c>
      <c r="CC279" s="5">
        <v>970.31979999999999</v>
      </c>
      <c r="CD279" s="5">
        <v>88.806089999999998</v>
      </c>
      <c r="CE279" s="5">
        <v>495.73</v>
      </c>
      <c r="CF279" s="5">
        <v>97.68</v>
      </c>
      <c r="CG279" s="5">
        <v>113.92</v>
      </c>
      <c r="CH279" s="5">
        <v>435.97</v>
      </c>
      <c r="CI279" s="5">
        <v>450.53</v>
      </c>
      <c r="CJ279" s="5">
        <v>465.01</v>
      </c>
      <c r="CK279" s="5">
        <v>485.7</v>
      </c>
      <c r="CL279" s="5">
        <v>484.65</v>
      </c>
      <c r="CM279" s="5">
        <v>484.47</v>
      </c>
      <c r="CN279" s="5">
        <v>344.01</v>
      </c>
      <c r="CO279" s="5">
        <v>28.11</v>
      </c>
      <c r="CP279" s="5">
        <v>549.1</v>
      </c>
      <c r="CQ279" s="5">
        <v>552.04999999999995</v>
      </c>
      <c r="CR279" s="5">
        <v>9.8000000000000007</v>
      </c>
      <c r="CS279" s="5">
        <v>9.9</v>
      </c>
      <c r="CT279" s="5">
        <v>26.43</v>
      </c>
      <c r="CU279" s="5">
        <v>47.18</v>
      </c>
      <c r="CV279" s="5">
        <v>99.92</v>
      </c>
      <c r="CW279" s="5">
        <v>0.90832782423497294</v>
      </c>
      <c r="CX279" s="5">
        <v>1.8075723702275961</v>
      </c>
    </row>
    <row r="280" spans="1:102" x14ac:dyDescent="0.25">
      <c r="A280" s="5">
        <v>11</v>
      </c>
      <c r="B280" s="23">
        <v>41411.514440046296</v>
      </c>
      <c r="C280" s="5">
        <v>10</v>
      </c>
      <c r="D280" s="5">
        <v>7</v>
      </c>
      <c r="E280" s="5">
        <v>561</v>
      </c>
      <c r="F280" s="5">
        <v>561</v>
      </c>
      <c r="G280" s="5">
        <v>561</v>
      </c>
      <c r="H280" s="5">
        <v>100</v>
      </c>
      <c r="I280" s="5">
        <v>100</v>
      </c>
      <c r="J280" s="5">
        <v>1890</v>
      </c>
      <c r="K280" s="5">
        <v>38</v>
      </c>
      <c r="L280" s="5">
        <v>38</v>
      </c>
      <c r="M280" s="5">
        <v>0.25</v>
      </c>
      <c r="N280" s="5">
        <v>0.25003700000000001</v>
      </c>
      <c r="O280" s="5">
        <v>1</v>
      </c>
      <c r="P280" s="5">
        <v>1.069423</v>
      </c>
      <c r="Q280" s="5">
        <v>-3.76</v>
      </c>
      <c r="R280" s="5">
        <v>-3.7573240000000001</v>
      </c>
      <c r="S280" s="5">
        <v>181.19</v>
      </c>
      <c r="T280" s="5">
        <v>181.1875</v>
      </c>
      <c r="U280" s="5">
        <v>3.5</v>
      </c>
      <c r="V280" s="5">
        <v>3.5</v>
      </c>
      <c r="W280" s="5">
        <v>300</v>
      </c>
      <c r="X280" s="5">
        <v>300</v>
      </c>
      <c r="Y280" s="5">
        <v>0</v>
      </c>
      <c r="Z280" s="5">
        <v>0</v>
      </c>
      <c r="AA280" s="5">
        <v>300</v>
      </c>
      <c r="AB280" s="5">
        <v>300</v>
      </c>
      <c r="AC280" s="5">
        <v>0</v>
      </c>
      <c r="AD280" s="5">
        <v>142.58269999999999</v>
      </c>
      <c r="AE280" s="5">
        <v>150</v>
      </c>
      <c r="AF280" s="5">
        <v>150</v>
      </c>
      <c r="AG280" s="5">
        <v>34</v>
      </c>
      <c r="AH280" s="5">
        <v>0.16</v>
      </c>
      <c r="AI280" s="5">
        <v>82.37</v>
      </c>
      <c r="AJ280" s="5">
        <v>113.56</v>
      </c>
      <c r="AK280" s="5">
        <v>155.91999999999999</v>
      </c>
      <c r="AL280" s="5">
        <v>156.54</v>
      </c>
      <c r="AM280" s="5">
        <v>535.82000000000005</v>
      </c>
      <c r="AN280" s="5">
        <v>219.38050000000001</v>
      </c>
      <c r="AO280" s="5">
        <v>119.54</v>
      </c>
      <c r="AP280" s="5">
        <v>132.26</v>
      </c>
      <c r="AQ280" s="5">
        <v>137.80000000000001</v>
      </c>
      <c r="AR280" s="5">
        <v>649.82000000000005</v>
      </c>
      <c r="AS280" s="5">
        <v>36.369999999999997</v>
      </c>
      <c r="AT280" s="5">
        <v>66.39</v>
      </c>
      <c r="AU280" s="5">
        <v>109.9</v>
      </c>
      <c r="AV280" s="5">
        <v>113.47</v>
      </c>
      <c r="AW280" s="5">
        <v>0.33200000000000002</v>
      </c>
      <c r="AX280" s="5">
        <v>4.83</v>
      </c>
      <c r="AY280" s="5">
        <v>10000000000</v>
      </c>
      <c r="AZ280" s="5">
        <v>456.27</v>
      </c>
      <c r="BA280" s="5">
        <v>22.5</v>
      </c>
      <c r="BB280" s="5">
        <v>8.36</v>
      </c>
      <c r="BC280" s="5">
        <v>1.5</v>
      </c>
      <c r="BD280" s="5">
        <v>8.9700000000000006</v>
      </c>
      <c r="BE280" s="5">
        <v>1.98</v>
      </c>
      <c r="BF280" s="5">
        <v>260.63</v>
      </c>
      <c r="BG280" s="5">
        <v>17.96</v>
      </c>
      <c r="BH280" s="5">
        <v>10000000000</v>
      </c>
      <c r="BI280" s="5">
        <v>231.6</v>
      </c>
      <c r="BJ280" s="5">
        <v>25.3</v>
      </c>
      <c r="BK280" s="5">
        <v>84.3</v>
      </c>
      <c r="BL280" s="5">
        <v>142.16</v>
      </c>
      <c r="BM280" s="5">
        <v>2.36</v>
      </c>
      <c r="BN280" s="5">
        <v>30.37</v>
      </c>
      <c r="BO280" s="5">
        <v>36.74</v>
      </c>
      <c r="BP280" s="5">
        <v>675.18</v>
      </c>
      <c r="BQ280" s="5">
        <v>66.528540000000007</v>
      </c>
      <c r="BR280" s="5">
        <v>252.19229999999999</v>
      </c>
      <c r="BS280" s="5">
        <v>46.363909999999997</v>
      </c>
      <c r="BT280" s="5">
        <v>43.850819999999999</v>
      </c>
      <c r="BU280" s="5">
        <v>43.36591</v>
      </c>
      <c r="BV280" s="5">
        <v>0.11087900000000001</v>
      </c>
      <c r="BW280" s="5">
        <v>0.108334</v>
      </c>
      <c r="BX280" s="5">
        <v>84.692660000000004</v>
      </c>
      <c r="BY280" s="5">
        <v>18.995360000000002</v>
      </c>
      <c r="BZ280" s="5">
        <v>0</v>
      </c>
      <c r="CA280" s="5">
        <v>0.92386900000000005</v>
      </c>
      <c r="CB280" s="5">
        <v>823.13499999999999</v>
      </c>
      <c r="CC280" s="5">
        <v>847.62710000000004</v>
      </c>
      <c r="CD280" s="5">
        <v>88.206569999999999</v>
      </c>
      <c r="CE280" s="5">
        <v>506.54</v>
      </c>
      <c r="CF280" s="5">
        <v>91.98</v>
      </c>
      <c r="CG280" s="5">
        <v>106.28</v>
      </c>
      <c r="CH280" s="5">
        <v>445.8</v>
      </c>
      <c r="CI280" s="5">
        <v>465.31</v>
      </c>
      <c r="CJ280" s="5">
        <v>477.16</v>
      </c>
      <c r="CK280" s="5">
        <v>497.33</v>
      </c>
      <c r="CL280" s="5">
        <v>501.44</v>
      </c>
      <c r="CM280" s="5">
        <v>500.29</v>
      </c>
      <c r="CN280" s="5">
        <v>400.4</v>
      </c>
      <c r="CO280" s="5">
        <v>28.42</v>
      </c>
      <c r="CP280" s="5">
        <v>558.4</v>
      </c>
      <c r="CQ280" s="5">
        <v>561.04999999999995</v>
      </c>
      <c r="CR280" s="5">
        <v>10</v>
      </c>
      <c r="CS280" s="5">
        <v>10.1</v>
      </c>
      <c r="CT280" s="5">
        <v>26.92</v>
      </c>
      <c r="CU280" s="5">
        <v>46.31</v>
      </c>
      <c r="CV280" s="5">
        <v>99.92</v>
      </c>
      <c r="CW280" s="5">
        <v>0.90355047918665543</v>
      </c>
      <c r="CX280" s="5">
        <v>1.7890299487895778</v>
      </c>
    </row>
    <row r="281" spans="1:102" x14ac:dyDescent="0.25">
      <c r="A281" s="5">
        <v>34</v>
      </c>
      <c r="B281" s="23">
        <v>41411.671567754631</v>
      </c>
      <c r="C281" s="5">
        <v>10</v>
      </c>
      <c r="D281" s="5">
        <v>24</v>
      </c>
      <c r="E281" s="5">
        <v>758</v>
      </c>
      <c r="F281" s="5">
        <v>758</v>
      </c>
      <c r="G281" s="5">
        <v>758</v>
      </c>
      <c r="H281" s="5">
        <v>100</v>
      </c>
      <c r="I281" s="5">
        <v>100</v>
      </c>
      <c r="J281" s="5">
        <v>1890</v>
      </c>
      <c r="K281" s="5">
        <v>55</v>
      </c>
      <c r="L281" s="5">
        <v>55</v>
      </c>
      <c r="M281" s="5">
        <v>0.28999999999999998</v>
      </c>
      <c r="N281" s="5">
        <v>0.29003899999999999</v>
      </c>
      <c r="O281" s="5">
        <v>1</v>
      </c>
      <c r="P281" s="5">
        <v>1.069442</v>
      </c>
      <c r="Q281" s="5">
        <v>2.67</v>
      </c>
      <c r="R281" s="5">
        <v>2.6696780000000002</v>
      </c>
      <c r="S281" s="5">
        <v>190.35</v>
      </c>
      <c r="T281" s="5">
        <v>190.34379999999999</v>
      </c>
      <c r="U281" s="5">
        <v>3.5</v>
      </c>
      <c r="V281" s="5">
        <v>3.5</v>
      </c>
      <c r="W281" s="5">
        <v>300</v>
      </c>
      <c r="X281" s="5">
        <v>300</v>
      </c>
      <c r="Y281" s="5">
        <v>0</v>
      </c>
      <c r="Z281" s="5">
        <v>0</v>
      </c>
      <c r="AA281" s="5">
        <v>300</v>
      </c>
      <c r="AB281" s="5">
        <v>300</v>
      </c>
      <c r="AC281" s="5">
        <v>0</v>
      </c>
      <c r="AD281" s="5">
        <v>183.78020000000001</v>
      </c>
      <c r="AE281" s="5">
        <v>150</v>
      </c>
      <c r="AF281" s="5">
        <v>150</v>
      </c>
      <c r="AG281" s="5">
        <v>34</v>
      </c>
      <c r="AH281" s="5">
        <v>0.16</v>
      </c>
      <c r="AI281" s="5">
        <v>107.61</v>
      </c>
      <c r="AJ281" s="5">
        <v>131.94</v>
      </c>
      <c r="AK281" s="5">
        <v>265.39</v>
      </c>
      <c r="AL281" s="5">
        <v>262.22000000000003</v>
      </c>
      <c r="AM281" s="5">
        <v>553.6</v>
      </c>
      <c r="AN281" s="5">
        <v>287.88619999999997</v>
      </c>
      <c r="AO281" s="5">
        <v>189.16</v>
      </c>
      <c r="AP281" s="5">
        <v>174.29</v>
      </c>
      <c r="AQ281" s="5">
        <v>208.6</v>
      </c>
      <c r="AR281" s="5">
        <v>717.36</v>
      </c>
      <c r="AS281" s="5">
        <v>76.23</v>
      </c>
      <c r="AT281" s="5">
        <v>83.48</v>
      </c>
      <c r="AU281" s="5">
        <v>144.80000000000001</v>
      </c>
      <c r="AV281" s="5">
        <v>117.36</v>
      </c>
      <c r="AW281" s="5">
        <v>1.016</v>
      </c>
      <c r="AX281" s="5">
        <v>18.23</v>
      </c>
      <c r="AY281" s="5">
        <v>10000000000</v>
      </c>
      <c r="AZ281" s="5">
        <v>472.16</v>
      </c>
      <c r="BA281" s="5">
        <v>15.06</v>
      </c>
      <c r="BB281" s="5">
        <v>9.8699999999999992</v>
      </c>
      <c r="BC281" s="5">
        <v>2.66</v>
      </c>
      <c r="BD281" s="5">
        <v>6.99</v>
      </c>
      <c r="BE281" s="5">
        <v>1.1100000000000001</v>
      </c>
      <c r="BF281" s="5">
        <v>183.99</v>
      </c>
      <c r="BG281" s="5">
        <v>27</v>
      </c>
      <c r="BH281" s="5">
        <v>10000000000</v>
      </c>
      <c r="BI281" s="5">
        <v>223.1</v>
      </c>
      <c r="BJ281" s="5">
        <v>21.4</v>
      </c>
      <c r="BK281" s="5">
        <v>80.7</v>
      </c>
      <c r="BL281" s="5">
        <v>265.48</v>
      </c>
      <c r="BM281" s="5">
        <v>3.06</v>
      </c>
      <c r="BN281" s="5">
        <v>31.42</v>
      </c>
      <c r="BO281" s="5">
        <v>38.06</v>
      </c>
      <c r="BP281" s="5">
        <v>751.16</v>
      </c>
      <c r="BQ281" s="5">
        <v>80.121510000000001</v>
      </c>
      <c r="BR281" s="5">
        <v>352.78129999999999</v>
      </c>
      <c r="BS281" s="5">
        <v>41.098190000000002</v>
      </c>
      <c r="BT281" s="5">
        <v>42.567279999999997</v>
      </c>
      <c r="BU281" s="5">
        <v>41.826430000000002</v>
      </c>
      <c r="BV281" s="5">
        <v>0.105089</v>
      </c>
      <c r="BW281" s="5">
        <v>9.9722000000000005E-2</v>
      </c>
      <c r="BX281" s="5">
        <v>111.76860000000001</v>
      </c>
      <c r="BY281" s="5">
        <v>18.995360000000002</v>
      </c>
      <c r="BZ281" s="5">
        <v>0</v>
      </c>
      <c r="CA281" s="5">
        <v>0.91652299999999998</v>
      </c>
      <c r="CB281" s="5">
        <v>1030.3530000000001</v>
      </c>
      <c r="CC281" s="5">
        <v>1062.3889999999999</v>
      </c>
      <c r="CD281" s="5">
        <v>115.2826</v>
      </c>
      <c r="CE281" s="5">
        <v>553.59</v>
      </c>
      <c r="CF281" s="5">
        <v>120.5</v>
      </c>
      <c r="CG281" s="5">
        <v>142.62</v>
      </c>
      <c r="CH281" s="5">
        <v>478.05</v>
      </c>
      <c r="CI281" s="5">
        <v>496.31</v>
      </c>
      <c r="CJ281" s="5">
        <v>512.91999999999996</v>
      </c>
      <c r="CK281" s="5">
        <v>542.70000000000005</v>
      </c>
      <c r="CL281" s="5">
        <v>541.47</v>
      </c>
      <c r="CM281" s="5">
        <v>539.6</v>
      </c>
      <c r="CN281" s="5">
        <v>379.63</v>
      </c>
      <c r="CO281" s="5">
        <v>29.71</v>
      </c>
      <c r="CP281" s="5">
        <v>753.9</v>
      </c>
      <c r="CQ281" s="5">
        <v>758.04</v>
      </c>
      <c r="CR281" s="5">
        <v>13.5</v>
      </c>
      <c r="CS281" s="5">
        <v>13.6</v>
      </c>
      <c r="CT281" s="5">
        <v>24.78</v>
      </c>
      <c r="CU281" s="5">
        <v>47.18</v>
      </c>
      <c r="CV281" s="5">
        <v>99.96</v>
      </c>
      <c r="CW281" s="5">
        <v>0.88486854517952318</v>
      </c>
      <c r="CX281" s="5">
        <v>0.98220408514927082</v>
      </c>
    </row>
    <row r="282" spans="1:102" x14ac:dyDescent="0.25">
      <c r="A282" s="5">
        <v>13</v>
      </c>
      <c r="B282" s="23">
        <v>41411.525282407405</v>
      </c>
      <c r="C282" s="5">
        <v>10</v>
      </c>
      <c r="D282" s="5">
        <v>9</v>
      </c>
      <c r="E282" s="5">
        <v>589</v>
      </c>
      <c r="F282" s="5">
        <v>589</v>
      </c>
      <c r="G282" s="5">
        <v>589</v>
      </c>
      <c r="H282" s="5">
        <v>100</v>
      </c>
      <c r="I282" s="5">
        <v>100</v>
      </c>
      <c r="J282" s="5">
        <v>1890</v>
      </c>
      <c r="K282" s="5">
        <v>32</v>
      </c>
      <c r="L282" s="5">
        <v>32</v>
      </c>
      <c r="M282" s="5">
        <v>0.28999999999999998</v>
      </c>
      <c r="N282" s="5">
        <v>0.290016</v>
      </c>
      <c r="O282" s="5">
        <v>1</v>
      </c>
      <c r="P282" s="5">
        <v>1.069391</v>
      </c>
      <c r="Q282" s="5">
        <v>-3.24</v>
      </c>
      <c r="R282" s="5">
        <v>-3.2409669999999999</v>
      </c>
      <c r="S282" s="5">
        <v>184.91</v>
      </c>
      <c r="T282" s="5">
        <v>184.90629999999999</v>
      </c>
      <c r="U282" s="5">
        <v>3.5</v>
      </c>
      <c r="V282" s="5">
        <v>3.5</v>
      </c>
      <c r="W282" s="5">
        <v>300</v>
      </c>
      <c r="X282" s="5">
        <v>300</v>
      </c>
      <c r="Y282" s="5">
        <v>0</v>
      </c>
      <c r="Z282" s="5">
        <v>0</v>
      </c>
      <c r="AA282" s="5">
        <v>300</v>
      </c>
      <c r="AB282" s="5">
        <v>300</v>
      </c>
      <c r="AC282" s="5">
        <v>0</v>
      </c>
      <c r="AD282" s="5">
        <v>139.25810000000001</v>
      </c>
      <c r="AE282" s="5">
        <v>150</v>
      </c>
      <c r="AF282" s="5">
        <v>150</v>
      </c>
      <c r="AG282" s="5">
        <v>34</v>
      </c>
      <c r="AH282" s="5">
        <v>0.16</v>
      </c>
      <c r="AI282" s="5">
        <v>81.08</v>
      </c>
      <c r="AJ282" s="5">
        <v>111.91</v>
      </c>
      <c r="AK282" s="5">
        <v>142.46</v>
      </c>
      <c r="AL282" s="5">
        <v>143.28</v>
      </c>
      <c r="AM282" s="5">
        <v>560.96</v>
      </c>
      <c r="AN282" s="5">
        <v>214.10599999999999</v>
      </c>
      <c r="AO282" s="5">
        <v>114.16</v>
      </c>
      <c r="AP282" s="5">
        <v>127.25</v>
      </c>
      <c r="AQ282" s="5">
        <v>132.16999999999999</v>
      </c>
      <c r="AR282" s="5">
        <v>639.39</v>
      </c>
      <c r="AS282" s="5">
        <v>28.29</v>
      </c>
      <c r="AT282" s="5">
        <v>65.510000000000005</v>
      </c>
      <c r="AU282" s="5">
        <v>108.85</v>
      </c>
      <c r="AV282" s="5">
        <v>112.42</v>
      </c>
      <c r="AW282" s="5">
        <v>0.46700000000000003</v>
      </c>
      <c r="AX282" s="5">
        <v>7.08</v>
      </c>
      <c r="AY282" s="5">
        <v>10000000000</v>
      </c>
      <c r="AZ282" s="5">
        <v>488.81</v>
      </c>
      <c r="BA282" s="5">
        <v>19.84</v>
      </c>
      <c r="BB282" s="5">
        <v>8.85</v>
      </c>
      <c r="BC282" s="5">
        <v>1.51</v>
      </c>
      <c r="BD282" s="5">
        <v>8.2899999999999991</v>
      </c>
      <c r="BE282" s="5">
        <v>1.96</v>
      </c>
      <c r="BF282" s="5">
        <v>277.31</v>
      </c>
      <c r="BG282" s="5">
        <v>17.079999999999998</v>
      </c>
      <c r="BH282" s="5">
        <v>10000000000</v>
      </c>
      <c r="BI282" s="5">
        <v>229.4</v>
      </c>
      <c r="BJ282" s="5">
        <v>23.9</v>
      </c>
      <c r="BK282" s="5">
        <v>84</v>
      </c>
      <c r="BL282" s="5">
        <v>131.72999999999999</v>
      </c>
      <c r="BM282" s="5">
        <v>2.31</v>
      </c>
      <c r="BN282" s="5">
        <v>30.37</v>
      </c>
      <c r="BO282" s="5">
        <v>37.159999999999997</v>
      </c>
      <c r="BP282" s="5">
        <v>666.07</v>
      </c>
      <c r="BQ282" s="5">
        <v>65.774479999999997</v>
      </c>
      <c r="BR282" s="5">
        <v>239.08840000000001</v>
      </c>
      <c r="BS282" s="5">
        <v>45.472250000000003</v>
      </c>
      <c r="BT282" s="5">
        <v>41.214709999999997</v>
      </c>
      <c r="BU282" s="5">
        <v>40.848280000000003</v>
      </c>
      <c r="BV282" s="5">
        <v>0.109219</v>
      </c>
      <c r="BW282" s="5">
        <v>0.108429</v>
      </c>
      <c r="BX282" s="5">
        <v>88.178070000000005</v>
      </c>
      <c r="BY282" s="5">
        <v>18.995360000000002</v>
      </c>
      <c r="BZ282" s="5">
        <v>0</v>
      </c>
      <c r="CA282" s="5">
        <v>0.92293800000000004</v>
      </c>
      <c r="CB282" s="5">
        <v>804.30939999999998</v>
      </c>
      <c r="CC282" s="5">
        <v>829.76790000000005</v>
      </c>
      <c r="CD282" s="5">
        <v>91.6875</v>
      </c>
      <c r="CE282" s="5">
        <v>522.75</v>
      </c>
      <c r="CF282" s="5">
        <v>91.11</v>
      </c>
      <c r="CG282" s="5">
        <v>105.5</v>
      </c>
      <c r="CH282" s="5">
        <v>458.59</v>
      </c>
      <c r="CI282" s="5">
        <v>481.46</v>
      </c>
      <c r="CJ282" s="5">
        <v>494.82</v>
      </c>
      <c r="CK282" s="5">
        <v>521.20000000000005</v>
      </c>
      <c r="CL282" s="5">
        <v>518.85</v>
      </c>
      <c r="CM282" s="5">
        <v>519.20000000000005</v>
      </c>
      <c r="CN282" s="5">
        <v>429.07</v>
      </c>
      <c r="CO282" s="5">
        <v>27.32</v>
      </c>
      <c r="CP282" s="5">
        <v>586</v>
      </c>
      <c r="CQ282" s="5">
        <v>589.04999999999995</v>
      </c>
      <c r="CR282" s="5">
        <v>10.5</v>
      </c>
      <c r="CS282" s="5">
        <v>10.6</v>
      </c>
      <c r="CT282" s="5">
        <v>26.49</v>
      </c>
      <c r="CU282" s="5">
        <v>47.56</v>
      </c>
      <c r="CV282" s="5">
        <v>99.93</v>
      </c>
      <c r="CW282" s="5">
        <v>0.89906078635032438</v>
      </c>
      <c r="CX282" s="5">
        <v>1.7621591412466358</v>
      </c>
    </row>
    <row r="283" spans="1:102" x14ac:dyDescent="0.25">
      <c r="A283" s="5">
        <v>19</v>
      </c>
      <c r="B283" s="23">
        <v>41411.578515671295</v>
      </c>
      <c r="C283" s="5">
        <v>10</v>
      </c>
      <c r="D283" s="5">
        <v>14</v>
      </c>
      <c r="E283" s="5">
        <v>636</v>
      </c>
      <c r="F283" s="5">
        <v>636</v>
      </c>
      <c r="G283" s="5">
        <v>636</v>
      </c>
      <c r="H283" s="5">
        <v>100</v>
      </c>
      <c r="I283" s="5">
        <v>100</v>
      </c>
      <c r="J283" s="5">
        <v>1890</v>
      </c>
      <c r="K283" s="5">
        <v>22</v>
      </c>
      <c r="L283" s="5">
        <v>22</v>
      </c>
      <c r="M283" s="5">
        <v>0.28999999999999998</v>
      </c>
      <c r="N283" s="5">
        <v>0.28995900000000002</v>
      </c>
      <c r="O283" s="5">
        <v>1</v>
      </c>
      <c r="P283" s="5">
        <v>1.069739</v>
      </c>
      <c r="Q283" s="5">
        <v>-1.63</v>
      </c>
      <c r="R283" s="5">
        <v>-1.625977</v>
      </c>
      <c r="S283" s="5">
        <v>187.09</v>
      </c>
      <c r="T283" s="5">
        <v>187.09379999999999</v>
      </c>
      <c r="U283" s="5">
        <v>3.5</v>
      </c>
      <c r="V283" s="5">
        <v>3.5</v>
      </c>
      <c r="W283" s="5">
        <v>300</v>
      </c>
      <c r="X283" s="5">
        <v>300</v>
      </c>
      <c r="Y283" s="5">
        <v>0</v>
      </c>
      <c r="Z283" s="5">
        <v>0</v>
      </c>
      <c r="AA283" s="5">
        <v>300</v>
      </c>
      <c r="AB283" s="5">
        <v>300</v>
      </c>
      <c r="AC283" s="5">
        <v>0</v>
      </c>
      <c r="AD283" s="5">
        <v>132.80090000000001</v>
      </c>
      <c r="AE283" s="5">
        <v>150</v>
      </c>
      <c r="AF283" s="5">
        <v>150</v>
      </c>
      <c r="AG283" s="5">
        <v>34</v>
      </c>
      <c r="AH283" s="5">
        <v>0.16</v>
      </c>
      <c r="AI283" s="5">
        <v>77.63</v>
      </c>
      <c r="AJ283" s="5">
        <v>108.87</v>
      </c>
      <c r="AK283" s="5">
        <v>125</v>
      </c>
      <c r="AL283" s="5">
        <v>126.72</v>
      </c>
      <c r="AM283" s="5">
        <v>598.39</v>
      </c>
      <c r="AN283" s="5">
        <v>203.30279999999999</v>
      </c>
      <c r="AO283" s="5">
        <v>103.18</v>
      </c>
      <c r="AP283" s="5">
        <v>120.25</v>
      </c>
      <c r="AQ283" s="5">
        <v>121.14</v>
      </c>
      <c r="AR283" s="5">
        <v>628.65</v>
      </c>
      <c r="AS283" s="5">
        <v>21.81</v>
      </c>
      <c r="AT283" s="5">
        <v>63.55</v>
      </c>
      <c r="AU283" s="5">
        <v>104.3</v>
      </c>
      <c r="AV283" s="5">
        <v>118.47</v>
      </c>
      <c r="AW283" s="5">
        <v>0.50600000000000001</v>
      </c>
      <c r="AX283" s="5">
        <v>7.76</v>
      </c>
      <c r="AY283" s="5">
        <v>10000000000</v>
      </c>
      <c r="AZ283" s="5">
        <v>519.27</v>
      </c>
      <c r="BA283" s="5">
        <v>19.46</v>
      </c>
      <c r="BB283" s="5">
        <v>9.59</v>
      </c>
      <c r="BC283" s="5">
        <v>1.38</v>
      </c>
      <c r="BD283" s="5">
        <v>7.34</v>
      </c>
      <c r="BE283" s="5">
        <v>2.34</v>
      </c>
      <c r="BF283" s="5">
        <v>368.31</v>
      </c>
      <c r="BG283" s="5">
        <v>14.35</v>
      </c>
      <c r="BH283" s="5">
        <v>10000000000</v>
      </c>
      <c r="BI283" s="5">
        <v>225.3</v>
      </c>
      <c r="BJ283" s="5">
        <v>22.2</v>
      </c>
      <c r="BK283" s="5">
        <v>84.2</v>
      </c>
      <c r="BL283" s="5">
        <v>105.36</v>
      </c>
      <c r="BM283" s="5">
        <v>2.19</v>
      </c>
      <c r="BN283" s="5">
        <v>30.23</v>
      </c>
      <c r="BO283" s="5">
        <v>37.770000000000003</v>
      </c>
      <c r="BP283" s="5">
        <v>657.25</v>
      </c>
      <c r="BQ283" s="5">
        <v>64.123180000000005</v>
      </c>
      <c r="BR283" s="5">
        <v>223.47210000000001</v>
      </c>
      <c r="BS283" s="5">
        <v>44.291110000000003</v>
      </c>
      <c r="BT283" s="5">
        <v>37.162109999999998</v>
      </c>
      <c r="BU283" s="5">
        <v>36.934660000000001</v>
      </c>
      <c r="BV283" s="5">
        <v>0.10499699999999999</v>
      </c>
      <c r="BW283" s="5">
        <v>0.10659200000000001</v>
      </c>
      <c r="BX283" s="5">
        <v>93.60172</v>
      </c>
      <c r="BY283" s="5">
        <v>18.995360000000002</v>
      </c>
      <c r="BZ283" s="5">
        <v>0</v>
      </c>
      <c r="CA283" s="5">
        <v>0.92148699999999995</v>
      </c>
      <c r="CB283" s="5">
        <v>766.26580000000001</v>
      </c>
      <c r="CC283" s="5">
        <v>793.23789999999997</v>
      </c>
      <c r="CD283" s="5">
        <v>97.115620000000007</v>
      </c>
      <c r="CE283" s="5">
        <v>540.71</v>
      </c>
      <c r="CF283" s="5">
        <v>87.94</v>
      </c>
      <c r="CG283" s="5">
        <v>100.93</v>
      </c>
      <c r="CH283" s="5">
        <v>486.99</v>
      </c>
      <c r="CI283" s="5">
        <v>509.35</v>
      </c>
      <c r="CJ283" s="5">
        <v>524.33000000000004</v>
      </c>
      <c r="CK283" s="5">
        <v>547.74</v>
      </c>
      <c r="CL283" s="5">
        <v>546.27</v>
      </c>
      <c r="CM283" s="5">
        <v>549.39</v>
      </c>
      <c r="CN283" s="5">
        <v>471.27</v>
      </c>
      <c r="CO283" s="5">
        <v>27.94</v>
      </c>
      <c r="CP283" s="5">
        <v>632.6</v>
      </c>
      <c r="CQ283" s="5">
        <v>636.04999999999995</v>
      </c>
      <c r="CR283" s="5">
        <v>11.3</v>
      </c>
      <c r="CS283" s="5">
        <v>11.4</v>
      </c>
      <c r="CT283" s="5">
        <v>26.07</v>
      </c>
      <c r="CU283" s="5">
        <v>46.6</v>
      </c>
      <c r="CV283" s="5">
        <v>99.95</v>
      </c>
      <c r="CW283" s="5">
        <v>0.88951956935885312</v>
      </c>
      <c r="CX283" s="5">
        <v>2.0814757922997162</v>
      </c>
    </row>
    <row r="284" spans="1:102" x14ac:dyDescent="0.25">
      <c r="A284" s="5">
        <v>14</v>
      </c>
      <c r="B284" s="23">
        <v>41411.530719444447</v>
      </c>
      <c r="C284" s="5">
        <v>10</v>
      </c>
      <c r="D284" s="5">
        <v>10</v>
      </c>
      <c r="E284" s="5">
        <v>598</v>
      </c>
      <c r="F284" s="5">
        <v>598</v>
      </c>
      <c r="G284" s="5">
        <v>598.1</v>
      </c>
      <c r="H284" s="5">
        <v>100</v>
      </c>
      <c r="I284" s="5">
        <v>100</v>
      </c>
      <c r="J284" s="5">
        <v>1890</v>
      </c>
      <c r="K284" s="5">
        <v>49</v>
      </c>
      <c r="L284" s="5">
        <v>49</v>
      </c>
      <c r="M284" s="5">
        <v>0.1</v>
      </c>
      <c r="N284" s="5">
        <v>9.9945999999999993E-2</v>
      </c>
      <c r="O284" s="5">
        <v>1</v>
      </c>
      <c r="P284" s="5">
        <v>1.069388</v>
      </c>
      <c r="Q284" s="5">
        <v>-3.07</v>
      </c>
      <c r="R284" s="5">
        <v>-3.0651860000000002</v>
      </c>
      <c r="S284" s="5">
        <v>186.11</v>
      </c>
      <c r="T284" s="5">
        <v>186.10939999999999</v>
      </c>
      <c r="U284" s="5">
        <v>3.5</v>
      </c>
      <c r="V284" s="5">
        <v>3.5</v>
      </c>
      <c r="W284" s="5">
        <v>300</v>
      </c>
      <c r="X284" s="5">
        <v>300</v>
      </c>
      <c r="Y284" s="5">
        <v>0</v>
      </c>
      <c r="Z284" s="5">
        <v>0</v>
      </c>
      <c r="AA284" s="5">
        <v>300</v>
      </c>
      <c r="AB284" s="5">
        <v>300</v>
      </c>
      <c r="AC284" s="5">
        <v>0</v>
      </c>
      <c r="AD284" s="5">
        <v>176.0376</v>
      </c>
      <c r="AE284" s="5">
        <v>150</v>
      </c>
      <c r="AF284" s="5">
        <v>150</v>
      </c>
      <c r="AG284" s="5">
        <v>34</v>
      </c>
      <c r="AH284" s="5">
        <v>0.16</v>
      </c>
      <c r="AI284" s="5">
        <v>97.02</v>
      </c>
      <c r="AJ284" s="5">
        <v>132.66999999999999</v>
      </c>
      <c r="AK284" s="5">
        <v>257.68</v>
      </c>
      <c r="AL284" s="5">
        <v>259.27999999999997</v>
      </c>
      <c r="AM284" s="5">
        <v>511.22</v>
      </c>
      <c r="AN284" s="5">
        <v>260.70420000000001</v>
      </c>
      <c r="AO284" s="5">
        <v>160.56</v>
      </c>
      <c r="AP284" s="5">
        <v>165.57</v>
      </c>
      <c r="AQ284" s="5">
        <v>183.2</v>
      </c>
      <c r="AR284" s="5">
        <v>816.13</v>
      </c>
      <c r="AS284" s="5">
        <v>97.12</v>
      </c>
      <c r="AT284" s="5">
        <v>62.01</v>
      </c>
      <c r="AU284" s="5">
        <v>103.06</v>
      </c>
      <c r="AV284" s="5">
        <v>111.1</v>
      </c>
      <c r="AW284" s="5">
        <v>6.5000000000000002E-2</v>
      </c>
      <c r="AX284" s="5">
        <v>0.87</v>
      </c>
      <c r="AY284" s="5">
        <v>10000000000</v>
      </c>
      <c r="AZ284" s="5">
        <v>385.58</v>
      </c>
      <c r="BA284" s="5">
        <v>17.59</v>
      </c>
      <c r="BB284" s="5">
        <v>7.23</v>
      </c>
      <c r="BC284" s="5">
        <v>0.87</v>
      </c>
      <c r="BD284" s="5">
        <v>10.57</v>
      </c>
      <c r="BE284" s="5">
        <v>3.89</v>
      </c>
      <c r="BF284" s="5">
        <v>423.54</v>
      </c>
      <c r="BG284" s="5">
        <v>12.05</v>
      </c>
      <c r="BH284" s="5">
        <v>10000000000</v>
      </c>
      <c r="BI284" s="5">
        <v>235.8</v>
      </c>
      <c r="BJ284" s="5">
        <v>29.3</v>
      </c>
      <c r="BK284" s="5">
        <v>83.8</v>
      </c>
      <c r="BL284" s="5">
        <v>111.83</v>
      </c>
      <c r="BM284" s="5">
        <v>2.78</v>
      </c>
      <c r="BN284" s="5">
        <v>29.78</v>
      </c>
      <c r="BO284" s="5">
        <v>35.71</v>
      </c>
      <c r="BP284" s="5">
        <v>844.26</v>
      </c>
      <c r="BQ284" s="5">
        <v>62.60089</v>
      </c>
      <c r="BR284" s="5">
        <v>358.96129999999999</v>
      </c>
      <c r="BS284" s="5">
        <v>44.763550000000002</v>
      </c>
      <c r="BT284" s="5">
        <v>49.656329999999997</v>
      </c>
      <c r="BU284" s="5">
        <v>48.594189999999998</v>
      </c>
      <c r="BV284" s="5">
        <v>0.106692</v>
      </c>
      <c r="BW284" s="5">
        <v>9.8257999999999998E-2</v>
      </c>
      <c r="BX284" s="5">
        <v>91.437349999999995</v>
      </c>
      <c r="BY284" s="5">
        <v>18.995360000000002</v>
      </c>
      <c r="BZ284" s="5">
        <v>0</v>
      </c>
      <c r="CA284" s="5">
        <v>0.92206600000000005</v>
      </c>
      <c r="CB284" s="5">
        <v>987.71360000000004</v>
      </c>
      <c r="CC284" s="5">
        <v>1014.079</v>
      </c>
      <c r="CD284" s="5">
        <v>94.949839999999995</v>
      </c>
      <c r="CE284" s="5">
        <v>484.22</v>
      </c>
      <c r="CF284" s="5">
        <v>85.57</v>
      </c>
      <c r="CG284" s="5">
        <v>98.34</v>
      </c>
      <c r="CH284" s="5">
        <v>447.08</v>
      </c>
      <c r="CI284" s="5">
        <v>462.76</v>
      </c>
      <c r="CJ284" s="5">
        <v>481.17</v>
      </c>
      <c r="CK284" s="5">
        <v>498.97</v>
      </c>
      <c r="CL284" s="5">
        <v>494.7</v>
      </c>
      <c r="CM284" s="5">
        <v>494.08</v>
      </c>
      <c r="CN284" s="5">
        <v>350.64</v>
      </c>
      <c r="CO284" s="5">
        <v>29.43</v>
      </c>
      <c r="CP284" s="5">
        <v>595</v>
      </c>
      <c r="CQ284" s="5">
        <v>598.04999999999995</v>
      </c>
      <c r="CR284" s="5">
        <v>10.7</v>
      </c>
      <c r="CS284" s="5">
        <v>10.7</v>
      </c>
      <c r="CT284" s="5">
        <v>27.11</v>
      </c>
      <c r="CU284" s="5">
        <v>45.51</v>
      </c>
      <c r="CV284" s="5">
        <v>99.93</v>
      </c>
      <c r="CW284" s="5">
        <v>0.91403317893403102</v>
      </c>
      <c r="CX284" s="5">
        <v>3.5555890660533809</v>
      </c>
    </row>
    <row r="285" spans="1:102" x14ac:dyDescent="0.25">
      <c r="A285" s="5">
        <v>21</v>
      </c>
      <c r="B285" s="23">
        <v>41411.589364988424</v>
      </c>
      <c r="C285" s="5">
        <v>10</v>
      </c>
      <c r="D285" s="5">
        <v>16</v>
      </c>
      <c r="E285" s="5">
        <v>664</v>
      </c>
      <c r="F285" s="5">
        <v>664</v>
      </c>
      <c r="G285" s="5">
        <v>664</v>
      </c>
      <c r="H285" s="5">
        <v>100</v>
      </c>
      <c r="I285" s="5">
        <v>100</v>
      </c>
      <c r="J285" s="5">
        <v>1890</v>
      </c>
      <c r="K285" s="5">
        <v>40</v>
      </c>
      <c r="L285" s="5">
        <v>40</v>
      </c>
      <c r="M285" s="5">
        <v>0.11</v>
      </c>
      <c r="N285" s="5">
        <v>0.11003400000000001</v>
      </c>
      <c r="O285" s="5">
        <v>1</v>
      </c>
      <c r="P285" s="5">
        <v>1.0694490000000001</v>
      </c>
      <c r="Q285" s="5">
        <v>-0.54</v>
      </c>
      <c r="R285" s="5">
        <v>-0.53832999999999998</v>
      </c>
      <c r="S285" s="5">
        <v>187.63</v>
      </c>
      <c r="T285" s="5">
        <v>187.625</v>
      </c>
      <c r="U285" s="5">
        <v>3.5</v>
      </c>
      <c r="V285" s="5">
        <v>3.5</v>
      </c>
      <c r="W285" s="5">
        <v>300</v>
      </c>
      <c r="X285" s="5">
        <v>300</v>
      </c>
      <c r="Y285" s="5">
        <v>0</v>
      </c>
      <c r="Z285" s="5">
        <v>0</v>
      </c>
      <c r="AA285" s="5">
        <v>300</v>
      </c>
      <c r="AB285" s="5">
        <v>300</v>
      </c>
      <c r="AC285" s="5">
        <v>0</v>
      </c>
      <c r="AD285" s="5">
        <v>165.69640000000001</v>
      </c>
      <c r="AE285" s="5">
        <v>150</v>
      </c>
      <c r="AF285" s="5">
        <v>150</v>
      </c>
      <c r="AG285" s="5">
        <v>34</v>
      </c>
      <c r="AH285" s="5">
        <v>0.16</v>
      </c>
      <c r="AI285" s="5">
        <v>93.41</v>
      </c>
      <c r="AJ285" s="5">
        <v>126.56</v>
      </c>
      <c r="AK285" s="5">
        <v>209.24</v>
      </c>
      <c r="AL285" s="5">
        <v>211.57</v>
      </c>
      <c r="AM285" s="5">
        <v>535.82000000000005</v>
      </c>
      <c r="AN285" s="5">
        <v>246.1395</v>
      </c>
      <c r="AO285" s="5">
        <v>145.81</v>
      </c>
      <c r="AP285" s="5">
        <v>152.99</v>
      </c>
      <c r="AQ285" s="5">
        <v>167.61</v>
      </c>
      <c r="AR285" s="5">
        <v>776.9</v>
      </c>
      <c r="AS285" s="5">
        <v>63.42</v>
      </c>
      <c r="AT285" s="5">
        <v>61.42</v>
      </c>
      <c r="AU285" s="5">
        <v>102.11</v>
      </c>
      <c r="AV285" s="5">
        <v>112.26</v>
      </c>
      <c r="AW285" s="5">
        <v>8.2000000000000003E-2</v>
      </c>
      <c r="AX285" s="5">
        <v>1.1100000000000001</v>
      </c>
      <c r="AY285" s="5">
        <v>10000000000</v>
      </c>
      <c r="AZ285" s="5">
        <v>375.65</v>
      </c>
      <c r="BA285" s="5">
        <v>18.440000000000001</v>
      </c>
      <c r="BB285" s="5">
        <v>7.94</v>
      </c>
      <c r="BC285" s="5">
        <v>0.89</v>
      </c>
      <c r="BD285" s="5">
        <v>9.6</v>
      </c>
      <c r="BE285" s="5">
        <v>4.08</v>
      </c>
      <c r="BF285" s="5">
        <v>526.29999999999995</v>
      </c>
      <c r="BG285" s="5">
        <v>11.18</v>
      </c>
      <c r="BH285" s="5">
        <v>10000000000</v>
      </c>
      <c r="BI285" s="5">
        <v>223.7</v>
      </c>
      <c r="BJ285" s="5">
        <v>26.4</v>
      </c>
      <c r="BK285" s="5">
        <v>83.5</v>
      </c>
      <c r="BL285" s="5">
        <v>97.76</v>
      </c>
      <c r="BM285" s="5">
        <v>2.63</v>
      </c>
      <c r="BN285" s="5">
        <v>29.8</v>
      </c>
      <c r="BO285" s="5">
        <v>36.409999999999997</v>
      </c>
      <c r="BP285" s="5">
        <v>806.11</v>
      </c>
      <c r="BQ285" s="5">
        <v>62.107810000000001</v>
      </c>
      <c r="BR285" s="5">
        <v>311.01549999999997</v>
      </c>
      <c r="BS285" s="5">
        <v>43.535209999999999</v>
      </c>
      <c r="BT285" s="5">
        <v>44.157589999999999</v>
      </c>
      <c r="BU285" s="5">
        <v>43.448309999999999</v>
      </c>
      <c r="BV285" s="5">
        <v>0.102418</v>
      </c>
      <c r="BW285" s="5">
        <v>9.8319000000000004E-2</v>
      </c>
      <c r="BX285" s="5">
        <v>97.264529999999993</v>
      </c>
      <c r="BY285" s="5">
        <v>18.995360000000002</v>
      </c>
      <c r="BZ285" s="5">
        <v>0</v>
      </c>
      <c r="CA285" s="5">
        <v>0.92059999999999997</v>
      </c>
      <c r="CB285" s="5">
        <v>932.40229999999997</v>
      </c>
      <c r="CC285" s="5">
        <v>960.39250000000004</v>
      </c>
      <c r="CD285" s="5">
        <v>100.7778</v>
      </c>
      <c r="CE285" s="5">
        <v>491.26</v>
      </c>
      <c r="CF285" s="5">
        <v>85.04</v>
      </c>
      <c r="CG285" s="5">
        <v>97.8</v>
      </c>
      <c r="CH285" s="5">
        <v>452.95</v>
      </c>
      <c r="CI285" s="5">
        <v>470.3</v>
      </c>
      <c r="CJ285" s="5">
        <v>489.67</v>
      </c>
      <c r="CK285" s="5">
        <v>518.46</v>
      </c>
      <c r="CL285" s="5">
        <v>511.13</v>
      </c>
      <c r="CM285" s="5">
        <v>506.83</v>
      </c>
      <c r="CN285" s="5">
        <v>387.12</v>
      </c>
      <c r="CO285" s="5">
        <v>28.23</v>
      </c>
      <c r="CP285" s="5">
        <v>660.4</v>
      </c>
      <c r="CQ285" s="5">
        <v>664.05</v>
      </c>
      <c r="CR285" s="5">
        <v>11.8</v>
      </c>
      <c r="CS285" s="5">
        <v>11.9</v>
      </c>
      <c r="CT285" s="5">
        <v>25.08</v>
      </c>
      <c r="CU285" s="5">
        <v>47.72</v>
      </c>
      <c r="CV285" s="5">
        <v>99.95</v>
      </c>
      <c r="CW285" s="5">
        <v>0.89971466780666198</v>
      </c>
      <c r="CX285" s="5">
        <v>3.6708358446511808</v>
      </c>
    </row>
    <row r="286" spans="1:102" x14ac:dyDescent="0.25">
      <c r="A286" s="5">
        <v>6</v>
      </c>
      <c r="B286" s="23">
        <v>41411.487326377312</v>
      </c>
      <c r="C286" s="5">
        <v>10</v>
      </c>
      <c r="D286" s="5">
        <v>2</v>
      </c>
      <c r="E286" s="5">
        <v>514</v>
      </c>
      <c r="F286" s="5">
        <v>514</v>
      </c>
      <c r="G286" s="5">
        <v>514</v>
      </c>
      <c r="H286" s="5">
        <v>100</v>
      </c>
      <c r="I286" s="5">
        <v>100</v>
      </c>
      <c r="J286" s="5">
        <v>1890</v>
      </c>
      <c r="K286" s="5">
        <v>10</v>
      </c>
      <c r="L286" s="5">
        <v>10</v>
      </c>
      <c r="M286" s="5">
        <v>0.24</v>
      </c>
      <c r="N286" s="5">
        <v>0.23986299999999999</v>
      </c>
      <c r="O286" s="5">
        <v>1</v>
      </c>
      <c r="P286" s="5">
        <v>1.069418</v>
      </c>
      <c r="Q286" s="5">
        <v>-4.66</v>
      </c>
      <c r="R286" s="5">
        <v>-4.6582030000000003</v>
      </c>
      <c r="S286" s="5">
        <v>174.93</v>
      </c>
      <c r="T286" s="5">
        <v>174.9375</v>
      </c>
      <c r="U286" s="5">
        <v>3.5</v>
      </c>
      <c r="V286" s="5">
        <v>3.5</v>
      </c>
      <c r="W286" s="5">
        <v>300</v>
      </c>
      <c r="X286" s="5">
        <v>300</v>
      </c>
      <c r="Y286" s="5">
        <v>0</v>
      </c>
      <c r="Z286" s="5">
        <v>0</v>
      </c>
      <c r="AA286" s="5">
        <v>300</v>
      </c>
      <c r="AB286" s="5">
        <v>300</v>
      </c>
      <c r="AC286" s="5">
        <v>0</v>
      </c>
      <c r="AD286" s="5">
        <v>112.9918</v>
      </c>
      <c r="AE286" s="5">
        <v>150</v>
      </c>
      <c r="AF286" s="5">
        <v>150</v>
      </c>
      <c r="AG286" s="5">
        <v>34</v>
      </c>
      <c r="AH286" s="5">
        <v>0.16</v>
      </c>
      <c r="AI286" s="5">
        <v>65.67</v>
      </c>
      <c r="AJ286" s="5">
        <v>94.52</v>
      </c>
      <c r="AK286" s="5">
        <v>87.91</v>
      </c>
      <c r="AL286" s="5">
        <v>89.88</v>
      </c>
      <c r="AM286" s="5">
        <v>612.20000000000005</v>
      </c>
      <c r="AN286" s="5">
        <v>169.67869999999999</v>
      </c>
      <c r="AO286" s="5">
        <v>69.16</v>
      </c>
      <c r="AP286" s="5">
        <v>95.93</v>
      </c>
      <c r="AQ286" s="5">
        <v>84.65</v>
      </c>
      <c r="AR286" s="5">
        <v>544.07000000000005</v>
      </c>
      <c r="AS286" s="5">
        <v>18.75</v>
      </c>
      <c r="AT286" s="5">
        <v>58.73</v>
      </c>
      <c r="AU286" s="5">
        <v>99.44</v>
      </c>
      <c r="AV286" s="5">
        <v>112.85</v>
      </c>
      <c r="AW286" s="5">
        <v>0.97</v>
      </c>
      <c r="AX286" s="5">
        <v>17.14</v>
      </c>
      <c r="AY286" s="5">
        <v>10000000000</v>
      </c>
      <c r="AZ286" s="5">
        <v>743.94</v>
      </c>
      <c r="BA286" s="5">
        <v>16.59</v>
      </c>
      <c r="BB286" s="5">
        <v>9.5399999999999991</v>
      </c>
      <c r="BC286" s="5">
        <v>1.1599999999999999</v>
      </c>
      <c r="BD286" s="5">
        <v>7.33</v>
      </c>
      <c r="BE286" s="5">
        <v>2.15</v>
      </c>
      <c r="BF286" s="5">
        <v>315.77</v>
      </c>
      <c r="BG286" s="5">
        <v>12.17</v>
      </c>
      <c r="BH286" s="5">
        <v>10000000000</v>
      </c>
      <c r="BI286" s="5">
        <v>239.7</v>
      </c>
      <c r="BJ286" s="5">
        <v>22.3</v>
      </c>
      <c r="BK286" s="5">
        <v>84.7</v>
      </c>
      <c r="BL286" s="5">
        <v>75.36</v>
      </c>
      <c r="BM286" s="5">
        <v>1.84</v>
      </c>
      <c r="BN286" s="5">
        <v>30.03</v>
      </c>
      <c r="BO286" s="5">
        <v>37.72</v>
      </c>
      <c r="BP286" s="5">
        <v>568.49</v>
      </c>
      <c r="BQ286" s="5">
        <v>59.648380000000003</v>
      </c>
      <c r="BR286" s="5">
        <v>187.9564</v>
      </c>
      <c r="BS286" s="5">
        <v>47.710560000000001</v>
      </c>
      <c r="BT286" s="5">
        <v>36.1203</v>
      </c>
      <c r="BU286" s="5">
        <v>36.135779999999997</v>
      </c>
      <c r="BV286" s="5">
        <v>0.111776</v>
      </c>
      <c r="BW286" s="5">
        <v>0.11787300000000001</v>
      </c>
      <c r="BX286" s="5">
        <v>80.072450000000003</v>
      </c>
      <c r="BY286" s="5">
        <v>18.995360000000002</v>
      </c>
      <c r="BZ286" s="5">
        <v>0</v>
      </c>
      <c r="CA286" s="5">
        <v>0.92510499999999996</v>
      </c>
      <c r="CB286" s="5">
        <v>650.66920000000005</v>
      </c>
      <c r="CC286" s="5">
        <v>673.86659999999995</v>
      </c>
      <c r="CD286" s="5">
        <v>83.585260000000005</v>
      </c>
      <c r="CE286" s="5">
        <v>531.30999999999995</v>
      </c>
      <c r="CF286" s="5">
        <v>82.61</v>
      </c>
      <c r="CG286" s="5">
        <v>95.33</v>
      </c>
      <c r="CH286" s="5">
        <v>491.84</v>
      </c>
      <c r="CI286" s="5">
        <v>515.01</v>
      </c>
      <c r="CJ286" s="5">
        <v>528.47</v>
      </c>
      <c r="CK286" s="5">
        <v>555.9</v>
      </c>
      <c r="CL286" s="5">
        <v>548.35</v>
      </c>
      <c r="CM286" s="5">
        <v>549.88</v>
      </c>
      <c r="CN286" s="5">
        <v>500.37</v>
      </c>
      <c r="CO286" s="5">
        <v>27.8</v>
      </c>
      <c r="CP286" s="5">
        <v>511.5</v>
      </c>
      <c r="CQ286" s="5">
        <v>514.04999999999995</v>
      </c>
      <c r="CR286" s="5">
        <v>9.1999999999999993</v>
      </c>
      <c r="CS286" s="5">
        <v>9.1999999999999993</v>
      </c>
      <c r="CT286" s="5">
        <v>27.52</v>
      </c>
      <c r="CU286" s="5">
        <v>46.27</v>
      </c>
      <c r="CV286" s="5">
        <v>99.92</v>
      </c>
      <c r="CW286" s="5">
        <v>0.89739499389526511</v>
      </c>
      <c r="CX286" s="5">
        <v>1.9293992368748198</v>
      </c>
    </row>
    <row r="287" spans="1:102" x14ac:dyDescent="0.25">
      <c r="A287" s="5">
        <v>20</v>
      </c>
      <c r="B287" s="23">
        <v>41411.58393940972</v>
      </c>
      <c r="C287" s="5">
        <v>10</v>
      </c>
      <c r="D287" s="5">
        <v>15</v>
      </c>
      <c r="E287" s="5">
        <v>645</v>
      </c>
      <c r="F287" s="5">
        <v>645</v>
      </c>
      <c r="G287" s="5">
        <v>645.1</v>
      </c>
      <c r="H287" s="5">
        <v>100</v>
      </c>
      <c r="I287" s="5">
        <v>100</v>
      </c>
      <c r="J287" s="5">
        <v>1890</v>
      </c>
      <c r="K287" s="5">
        <v>48</v>
      </c>
      <c r="L287" s="5">
        <v>48</v>
      </c>
      <c r="M287" s="5">
        <v>0.22</v>
      </c>
      <c r="N287" s="5">
        <v>0.21999199999999999</v>
      </c>
      <c r="O287" s="5">
        <v>1</v>
      </c>
      <c r="P287" s="5">
        <v>1.0693550000000001</v>
      </c>
      <c r="Q287" s="5">
        <v>-1.28</v>
      </c>
      <c r="R287" s="5">
        <v>-1.2854000000000001</v>
      </c>
      <c r="S287" s="5">
        <v>187.26</v>
      </c>
      <c r="T287" s="5">
        <v>187.26560000000001</v>
      </c>
      <c r="U287" s="5">
        <v>3.5</v>
      </c>
      <c r="V287" s="5">
        <v>3.5</v>
      </c>
      <c r="W287" s="5">
        <v>300</v>
      </c>
      <c r="X287" s="5">
        <v>300</v>
      </c>
      <c r="Y287" s="5">
        <v>0</v>
      </c>
      <c r="Z287" s="5">
        <v>0</v>
      </c>
      <c r="AA287" s="5">
        <v>300</v>
      </c>
      <c r="AB287" s="5">
        <v>300</v>
      </c>
      <c r="AC287" s="5">
        <v>0</v>
      </c>
      <c r="AD287" s="5">
        <v>169.61439999999999</v>
      </c>
      <c r="AE287" s="5">
        <v>150</v>
      </c>
      <c r="AF287" s="5">
        <v>150</v>
      </c>
      <c r="AG287" s="5">
        <v>34</v>
      </c>
      <c r="AH287" s="5">
        <v>0.16</v>
      </c>
      <c r="AI287" s="5">
        <v>96.26</v>
      </c>
      <c r="AJ287" s="5">
        <v>125.28</v>
      </c>
      <c r="AK287" s="5">
        <v>218.55</v>
      </c>
      <c r="AL287" s="5">
        <v>218.16</v>
      </c>
      <c r="AM287" s="5">
        <v>527.27</v>
      </c>
      <c r="AN287" s="5">
        <v>256.58109999999999</v>
      </c>
      <c r="AO287" s="5">
        <v>157.22</v>
      </c>
      <c r="AP287" s="5">
        <v>155.44</v>
      </c>
      <c r="AQ287" s="5">
        <v>177.27</v>
      </c>
      <c r="AR287" s="5">
        <v>718.26</v>
      </c>
      <c r="AS287" s="5">
        <v>61.33</v>
      </c>
      <c r="AT287" s="5">
        <v>70.37</v>
      </c>
      <c r="AU287" s="5">
        <v>119.51</v>
      </c>
      <c r="AV287" s="5">
        <v>114.98</v>
      </c>
      <c r="AW287" s="5">
        <v>0.25700000000000001</v>
      </c>
      <c r="AX287" s="5">
        <v>3.65</v>
      </c>
      <c r="AY287" s="5">
        <v>10000000000</v>
      </c>
      <c r="AZ287" s="5">
        <v>409.9</v>
      </c>
      <c r="BA287" s="5">
        <v>19.38</v>
      </c>
      <c r="BB287" s="5">
        <v>8.5</v>
      </c>
      <c r="BC287" s="5">
        <v>1.72</v>
      </c>
      <c r="BD287" s="5">
        <v>8.8699999999999992</v>
      </c>
      <c r="BE287" s="5">
        <v>1.96</v>
      </c>
      <c r="BF287" s="5">
        <v>268.73</v>
      </c>
      <c r="BG287" s="5">
        <v>20.3</v>
      </c>
      <c r="BH287" s="5">
        <v>10000000000</v>
      </c>
      <c r="BI287" s="5">
        <v>227.1</v>
      </c>
      <c r="BJ287" s="5">
        <v>24.8</v>
      </c>
      <c r="BK287" s="5">
        <v>82.3</v>
      </c>
      <c r="BL287" s="5">
        <v>182.93</v>
      </c>
      <c r="BM287" s="5">
        <v>2.75</v>
      </c>
      <c r="BN287" s="5">
        <v>30.58</v>
      </c>
      <c r="BO287" s="5">
        <v>36.880000000000003</v>
      </c>
      <c r="BP287" s="5">
        <v>747.41</v>
      </c>
      <c r="BQ287" s="5">
        <v>69.712389999999999</v>
      </c>
      <c r="BR287" s="5">
        <v>312.58139999999997</v>
      </c>
      <c r="BS287" s="5">
        <v>43.9071</v>
      </c>
      <c r="BT287" s="5">
        <v>45.906669999999998</v>
      </c>
      <c r="BU287" s="5">
        <v>45.090829999999997</v>
      </c>
      <c r="BV287" s="5">
        <v>0.10362200000000001</v>
      </c>
      <c r="BW287" s="5">
        <v>9.8194000000000004E-2</v>
      </c>
      <c r="BX287" s="5">
        <v>95.36224</v>
      </c>
      <c r="BY287" s="5">
        <v>18.995360000000002</v>
      </c>
      <c r="BZ287" s="5">
        <v>0</v>
      </c>
      <c r="CA287" s="5">
        <v>0.92101699999999997</v>
      </c>
      <c r="CB287" s="5">
        <v>950.81650000000002</v>
      </c>
      <c r="CC287" s="5">
        <v>978.27859999999998</v>
      </c>
      <c r="CD287" s="5">
        <v>98.875630000000001</v>
      </c>
      <c r="CE287" s="5">
        <v>517.19000000000005</v>
      </c>
      <c r="CF287" s="5">
        <v>99.44</v>
      </c>
      <c r="CG287" s="5">
        <v>115.87</v>
      </c>
      <c r="CH287" s="5">
        <v>449.46</v>
      </c>
      <c r="CI287" s="5">
        <v>466.56</v>
      </c>
      <c r="CJ287" s="5">
        <v>484.25</v>
      </c>
      <c r="CK287" s="5">
        <v>505.31</v>
      </c>
      <c r="CL287" s="5">
        <v>508.48</v>
      </c>
      <c r="CM287" s="5">
        <v>505.41</v>
      </c>
      <c r="CN287" s="5">
        <v>373</v>
      </c>
      <c r="CO287" s="5">
        <v>28.69</v>
      </c>
      <c r="CP287" s="5">
        <v>641.5</v>
      </c>
      <c r="CQ287" s="5">
        <v>645.04999999999995</v>
      </c>
      <c r="CR287" s="5">
        <v>11.5</v>
      </c>
      <c r="CS287" s="5">
        <v>11.6</v>
      </c>
      <c r="CT287" s="5">
        <v>24.98</v>
      </c>
      <c r="CU287" s="5">
        <v>47.91</v>
      </c>
      <c r="CV287" s="5">
        <v>99.94</v>
      </c>
      <c r="CW287" s="5">
        <v>0.89443039951277459</v>
      </c>
      <c r="CX287" s="5">
        <v>1.7530835830450382</v>
      </c>
    </row>
    <row r="288" spans="1:102" x14ac:dyDescent="0.25">
      <c r="A288" s="5">
        <v>31</v>
      </c>
      <c r="B288" s="23">
        <v>41411.65239761574</v>
      </c>
      <c r="C288" s="5">
        <v>10</v>
      </c>
      <c r="D288" s="5">
        <v>26</v>
      </c>
      <c r="E288" s="5">
        <v>786</v>
      </c>
      <c r="F288" s="5">
        <v>786</v>
      </c>
      <c r="G288" s="5">
        <v>786.1</v>
      </c>
      <c r="H288" s="5">
        <v>100</v>
      </c>
      <c r="I288" s="5">
        <v>100</v>
      </c>
      <c r="J288" s="5">
        <v>1890</v>
      </c>
      <c r="K288" s="5">
        <v>41</v>
      </c>
      <c r="L288" s="5">
        <v>41</v>
      </c>
      <c r="M288" s="5">
        <v>0.16</v>
      </c>
      <c r="N288" s="5">
        <v>0.159943</v>
      </c>
      <c r="O288" s="5">
        <v>1</v>
      </c>
      <c r="P288" s="5">
        <v>1.069318</v>
      </c>
      <c r="Q288" s="5">
        <v>3.55</v>
      </c>
      <c r="R288" s="5">
        <v>3.548584</v>
      </c>
      <c r="S288" s="5">
        <v>191.33</v>
      </c>
      <c r="T288" s="5">
        <v>191.32810000000001</v>
      </c>
      <c r="U288" s="5">
        <v>3.5</v>
      </c>
      <c r="V288" s="5">
        <v>3.5</v>
      </c>
      <c r="W288" s="5">
        <v>300</v>
      </c>
      <c r="X288" s="5">
        <v>300</v>
      </c>
      <c r="Y288" s="5">
        <v>0</v>
      </c>
      <c r="Z288" s="5">
        <v>0</v>
      </c>
      <c r="AA288" s="5">
        <v>300</v>
      </c>
      <c r="AB288" s="5">
        <v>300</v>
      </c>
      <c r="AC288" s="5">
        <v>0</v>
      </c>
      <c r="AD288" s="5">
        <v>174.68860000000001</v>
      </c>
      <c r="AE288" s="5">
        <v>150</v>
      </c>
      <c r="AF288" s="5">
        <v>150</v>
      </c>
      <c r="AG288" s="5">
        <v>34</v>
      </c>
      <c r="AH288" s="5">
        <v>0.16</v>
      </c>
      <c r="AI288" s="5">
        <v>105.39</v>
      </c>
      <c r="AJ288" s="5">
        <v>129.85</v>
      </c>
      <c r="AK288" s="5">
        <v>219.89</v>
      </c>
      <c r="AL288" s="5">
        <v>221.12</v>
      </c>
      <c r="AM288" s="5">
        <v>560.54999999999995</v>
      </c>
      <c r="AN288" s="5">
        <v>260.87860000000001</v>
      </c>
      <c r="AO288" s="5">
        <v>161.03</v>
      </c>
      <c r="AP288" s="5">
        <v>161.53</v>
      </c>
      <c r="AQ288" s="5">
        <v>182.66</v>
      </c>
      <c r="AR288" s="5">
        <v>780.88</v>
      </c>
      <c r="AS288" s="5">
        <v>58.85</v>
      </c>
      <c r="AT288" s="5">
        <v>65.069999999999993</v>
      </c>
      <c r="AU288" s="5">
        <v>110.48</v>
      </c>
      <c r="AV288" s="5">
        <v>112.17</v>
      </c>
      <c r="AW288" s="5">
        <v>0.161</v>
      </c>
      <c r="AX288" s="5">
        <v>2.23</v>
      </c>
      <c r="AY288" s="5">
        <v>10000000000</v>
      </c>
      <c r="AZ288" s="5">
        <v>384.01</v>
      </c>
      <c r="BA288" s="5">
        <v>15.84</v>
      </c>
      <c r="BB288" s="5">
        <v>9.06</v>
      </c>
      <c r="BC288" s="5">
        <v>1.36</v>
      </c>
      <c r="BD288" s="5">
        <v>8.14</v>
      </c>
      <c r="BE288" s="5">
        <v>3.41</v>
      </c>
      <c r="BF288" s="5">
        <v>528.11</v>
      </c>
      <c r="BG288" s="5">
        <v>15.02</v>
      </c>
      <c r="BH288" s="5">
        <v>10000000000</v>
      </c>
      <c r="BI288" s="5">
        <v>215.4</v>
      </c>
      <c r="BJ288" s="5">
        <v>23.3</v>
      </c>
      <c r="BK288" s="5">
        <v>82.4</v>
      </c>
      <c r="BL288" s="5">
        <v>138.02000000000001</v>
      </c>
      <c r="BM288" s="5">
        <v>2.81</v>
      </c>
      <c r="BN288" s="5">
        <v>30.23</v>
      </c>
      <c r="BO288" s="5">
        <v>37.36</v>
      </c>
      <c r="BP288" s="5">
        <v>814.51</v>
      </c>
      <c r="BQ288" s="5">
        <v>65.417860000000005</v>
      </c>
      <c r="BR288" s="5">
        <v>318.411</v>
      </c>
      <c r="BS288" s="5">
        <v>40.968249999999998</v>
      </c>
      <c r="BT288" s="5">
        <v>39.860959999999999</v>
      </c>
      <c r="BU288" s="5">
        <v>39.295079999999999</v>
      </c>
      <c r="BV288" s="5">
        <v>0.105737</v>
      </c>
      <c r="BW288" s="5">
        <v>0.102808</v>
      </c>
      <c r="BX288" s="5">
        <v>112.3759</v>
      </c>
      <c r="BY288" s="5">
        <v>18.995360000000002</v>
      </c>
      <c r="BZ288" s="5">
        <v>0</v>
      </c>
      <c r="CA288" s="5">
        <v>0.91620999999999997</v>
      </c>
      <c r="CB288" s="5">
        <v>973.87289999999996</v>
      </c>
      <c r="CC288" s="5">
        <v>1006.073</v>
      </c>
      <c r="CD288" s="5">
        <v>115.8914</v>
      </c>
      <c r="CE288" s="5">
        <v>533.94000000000005</v>
      </c>
      <c r="CF288" s="5">
        <v>92.87</v>
      </c>
      <c r="CG288" s="5">
        <v>107.17</v>
      </c>
      <c r="CH288" s="5">
        <v>472.79</v>
      </c>
      <c r="CI288" s="5">
        <v>491.87</v>
      </c>
      <c r="CJ288" s="5">
        <v>512.04999999999995</v>
      </c>
      <c r="CK288" s="5">
        <v>541.22</v>
      </c>
      <c r="CL288" s="5">
        <v>534.04</v>
      </c>
      <c r="CM288" s="5">
        <v>533.51</v>
      </c>
      <c r="CN288" s="5">
        <v>403.52</v>
      </c>
      <c r="CO288" s="5">
        <v>28</v>
      </c>
      <c r="CP288" s="5">
        <v>781.7</v>
      </c>
      <c r="CQ288" s="5">
        <v>786.06</v>
      </c>
      <c r="CR288" s="5">
        <v>14</v>
      </c>
      <c r="CS288" s="5">
        <v>14.1</v>
      </c>
      <c r="CT288" s="5">
        <v>23.57</v>
      </c>
      <c r="CU288" s="5">
        <v>48.9</v>
      </c>
      <c r="CV288" s="5">
        <v>99.92</v>
      </c>
      <c r="CW288" s="5">
        <v>0.88791410015306527</v>
      </c>
      <c r="CX288" s="5">
        <v>3.0277870815219528</v>
      </c>
    </row>
    <row r="289" spans="1:103" x14ac:dyDescent="0.25">
      <c r="A289" s="5">
        <v>15</v>
      </c>
      <c r="B289" s="23">
        <v>41411.536142476849</v>
      </c>
      <c r="C289" s="5">
        <v>10</v>
      </c>
      <c r="D289" s="5">
        <v>11</v>
      </c>
      <c r="E289" s="5">
        <v>608</v>
      </c>
      <c r="F289" s="5">
        <v>608</v>
      </c>
      <c r="G289" s="5">
        <v>608.1</v>
      </c>
      <c r="H289" s="5">
        <v>100</v>
      </c>
      <c r="I289" s="5">
        <v>100</v>
      </c>
      <c r="J289" s="5">
        <v>1890</v>
      </c>
      <c r="K289" s="5">
        <v>24</v>
      </c>
      <c r="L289" s="5">
        <v>24</v>
      </c>
      <c r="M289" s="5">
        <v>0.17</v>
      </c>
      <c r="N289" s="5">
        <v>0.16988400000000001</v>
      </c>
      <c r="O289" s="5">
        <v>1</v>
      </c>
      <c r="P289" s="5">
        <v>1.0693809999999999</v>
      </c>
      <c r="Q289" s="5">
        <v>-2.72</v>
      </c>
      <c r="R289" s="5">
        <v>-2.7246090000000001</v>
      </c>
      <c r="S289" s="5">
        <v>186.54</v>
      </c>
      <c r="T289" s="5">
        <v>186.54689999999999</v>
      </c>
      <c r="U289" s="5">
        <v>3.5</v>
      </c>
      <c r="V289" s="5">
        <v>3.5</v>
      </c>
      <c r="W289" s="5">
        <v>300</v>
      </c>
      <c r="X289" s="5">
        <v>300</v>
      </c>
      <c r="Y289" s="5">
        <v>0</v>
      </c>
      <c r="Z289" s="5">
        <v>0</v>
      </c>
      <c r="AA289" s="5">
        <v>300</v>
      </c>
      <c r="AB289" s="5">
        <v>300</v>
      </c>
      <c r="AC289" s="5">
        <v>0</v>
      </c>
      <c r="AD289" s="5">
        <v>135.56299999999999</v>
      </c>
      <c r="AE289" s="5">
        <v>150</v>
      </c>
      <c r="AF289" s="5">
        <v>150</v>
      </c>
      <c r="AG289" s="5">
        <v>34</v>
      </c>
      <c r="AH289" s="5">
        <v>0.16</v>
      </c>
      <c r="AI289" s="5">
        <v>78.3</v>
      </c>
      <c r="AJ289" s="5">
        <v>111.5</v>
      </c>
      <c r="AK289" s="5">
        <v>135.35</v>
      </c>
      <c r="AL289" s="5">
        <v>137.80000000000001</v>
      </c>
      <c r="AM289" s="5">
        <v>577.64</v>
      </c>
      <c r="AN289" s="5">
        <v>206.11089999999999</v>
      </c>
      <c r="AO289" s="5">
        <v>105.64</v>
      </c>
      <c r="AP289" s="5">
        <v>124.56</v>
      </c>
      <c r="AQ289" s="5">
        <v>124.41</v>
      </c>
      <c r="AR289" s="5">
        <v>664.31</v>
      </c>
      <c r="AS289" s="5">
        <v>29.72</v>
      </c>
      <c r="AT289" s="5">
        <v>61.14</v>
      </c>
      <c r="AU289" s="5">
        <v>100.7</v>
      </c>
      <c r="AV289" s="5">
        <v>116.97</v>
      </c>
      <c r="AW289" s="5">
        <v>0.23599999999999999</v>
      </c>
      <c r="AX289" s="5">
        <v>3.33</v>
      </c>
      <c r="AY289" s="5">
        <v>10000000000</v>
      </c>
      <c r="AZ289" s="5">
        <v>454.92</v>
      </c>
      <c r="BA289" s="5">
        <v>20.18</v>
      </c>
      <c r="BB289" s="5">
        <v>8.81</v>
      </c>
      <c r="BC289" s="5">
        <v>1</v>
      </c>
      <c r="BD289" s="5">
        <v>8.36</v>
      </c>
      <c r="BE289" s="5">
        <v>3.11</v>
      </c>
      <c r="BF289" s="5">
        <v>436</v>
      </c>
      <c r="BG289" s="5">
        <v>11.39</v>
      </c>
      <c r="BH289" s="5">
        <v>10000000000</v>
      </c>
      <c r="BI289" s="5">
        <v>227.6</v>
      </c>
      <c r="BJ289" s="5">
        <v>24.2</v>
      </c>
      <c r="BK289" s="5">
        <v>85.2</v>
      </c>
      <c r="BL289" s="5">
        <v>85.36</v>
      </c>
      <c r="BM289" s="5">
        <v>2.21</v>
      </c>
      <c r="BN289" s="5">
        <v>29.89</v>
      </c>
      <c r="BO289" s="5">
        <v>37.049999999999997</v>
      </c>
      <c r="BP289" s="5">
        <v>691.22</v>
      </c>
      <c r="BQ289" s="5">
        <v>61.91104</v>
      </c>
      <c r="BR289" s="5">
        <v>236.42089999999999</v>
      </c>
      <c r="BS289" s="5">
        <v>45.056139999999999</v>
      </c>
      <c r="BT289" s="5">
        <v>39.299210000000002</v>
      </c>
      <c r="BU289" s="5">
        <v>39.012999999999998</v>
      </c>
      <c r="BV289" s="5">
        <v>0.10773199999999999</v>
      </c>
      <c r="BW289" s="5">
        <v>0.10829800000000001</v>
      </c>
      <c r="BX289" s="5">
        <v>90.087969999999999</v>
      </c>
      <c r="BY289" s="5">
        <v>18.995360000000002</v>
      </c>
      <c r="BZ289" s="5">
        <v>0</v>
      </c>
      <c r="CA289" s="5">
        <v>0.92242599999999997</v>
      </c>
      <c r="CB289" s="5">
        <v>782.77229999999997</v>
      </c>
      <c r="CC289" s="5">
        <v>808.76679999999999</v>
      </c>
      <c r="CD289" s="5">
        <v>93.601510000000005</v>
      </c>
      <c r="CE289" s="5">
        <v>511.69</v>
      </c>
      <c r="CF289" s="5">
        <v>84.31</v>
      </c>
      <c r="CG289" s="5">
        <v>96.74</v>
      </c>
      <c r="CH289" s="5">
        <v>471.4</v>
      </c>
      <c r="CI289" s="5">
        <v>494.43</v>
      </c>
      <c r="CJ289" s="5">
        <v>510.95</v>
      </c>
      <c r="CK289" s="5">
        <v>530.4</v>
      </c>
      <c r="CL289" s="5">
        <v>529.55999999999995</v>
      </c>
      <c r="CM289" s="5">
        <v>530.69000000000005</v>
      </c>
      <c r="CN289" s="5">
        <v>447.66</v>
      </c>
      <c r="CO289" s="5">
        <v>28.41</v>
      </c>
      <c r="CP289" s="5">
        <v>605</v>
      </c>
      <c r="CQ289" s="5">
        <v>608.04999999999995</v>
      </c>
      <c r="CR289" s="5">
        <v>10.8</v>
      </c>
      <c r="CS289" s="5">
        <v>10.9</v>
      </c>
      <c r="CT289" s="5">
        <v>27.27</v>
      </c>
      <c r="CU289" s="5">
        <v>45.52</v>
      </c>
      <c r="CV289" s="5">
        <v>99.95</v>
      </c>
      <c r="CW289" s="5">
        <v>0.90147503757122771</v>
      </c>
      <c r="CX289" s="5">
        <v>2.8035873668465179</v>
      </c>
    </row>
    <row r="290" spans="1:103" x14ac:dyDescent="0.25">
      <c r="A290" s="5">
        <v>24</v>
      </c>
      <c r="B290" s="23">
        <v>41411.605660243054</v>
      </c>
      <c r="C290" s="5">
        <v>10</v>
      </c>
      <c r="D290" s="5">
        <v>19</v>
      </c>
      <c r="E290" s="5">
        <v>702</v>
      </c>
      <c r="F290" s="5">
        <v>702</v>
      </c>
      <c r="G290" s="5">
        <v>702</v>
      </c>
      <c r="H290" s="5">
        <v>100</v>
      </c>
      <c r="I290" s="5">
        <v>100</v>
      </c>
      <c r="J290" s="5">
        <v>1890</v>
      </c>
      <c r="K290" s="5">
        <v>27</v>
      </c>
      <c r="L290" s="5">
        <v>27</v>
      </c>
      <c r="M290" s="5">
        <v>0.3</v>
      </c>
      <c r="N290" s="5">
        <v>0.29997699999999999</v>
      </c>
      <c r="O290" s="5">
        <v>1</v>
      </c>
      <c r="P290" s="5">
        <v>1.069458</v>
      </c>
      <c r="Q290" s="5">
        <v>0.91</v>
      </c>
      <c r="R290" s="5">
        <v>0.91186500000000004</v>
      </c>
      <c r="S290" s="5">
        <v>188.38</v>
      </c>
      <c r="T290" s="5">
        <v>188.375</v>
      </c>
      <c r="U290" s="5">
        <v>3.5</v>
      </c>
      <c r="V290" s="5">
        <v>3.5</v>
      </c>
      <c r="W290" s="5">
        <v>300</v>
      </c>
      <c r="X290" s="5">
        <v>300</v>
      </c>
      <c r="Y290" s="5">
        <v>0</v>
      </c>
      <c r="Z290" s="5">
        <v>0</v>
      </c>
      <c r="AA290" s="5">
        <v>300</v>
      </c>
      <c r="AB290" s="5">
        <v>300</v>
      </c>
      <c r="AC290" s="5">
        <v>0</v>
      </c>
      <c r="AD290" s="5">
        <v>143.40430000000001</v>
      </c>
      <c r="AE290" s="5">
        <v>150</v>
      </c>
      <c r="AF290" s="5">
        <v>150</v>
      </c>
      <c r="AG290" s="5">
        <v>34</v>
      </c>
      <c r="AH290" s="5">
        <v>0.16</v>
      </c>
      <c r="AI290" s="5">
        <v>83.92</v>
      </c>
      <c r="AJ290" s="5">
        <v>114.52</v>
      </c>
      <c r="AK290" s="5">
        <v>144.81</v>
      </c>
      <c r="AL290" s="5">
        <v>146.09</v>
      </c>
      <c r="AM290" s="5">
        <v>593.04</v>
      </c>
      <c r="AN290" s="5">
        <v>219.78299999999999</v>
      </c>
      <c r="AO290" s="5">
        <v>119.67</v>
      </c>
      <c r="AP290" s="5">
        <v>130.83000000000001</v>
      </c>
      <c r="AQ290" s="5">
        <v>138.41</v>
      </c>
      <c r="AR290" s="5">
        <v>664.26</v>
      </c>
      <c r="AS290" s="5">
        <v>25.13</v>
      </c>
      <c r="AT290" s="5">
        <v>64.97</v>
      </c>
      <c r="AU290" s="5">
        <v>108.39</v>
      </c>
      <c r="AV290" s="5">
        <v>111.27</v>
      </c>
      <c r="AW290" s="5">
        <v>0.52100000000000002</v>
      </c>
      <c r="AX290" s="5">
        <v>8.0299999999999994</v>
      </c>
      <c r="AY290" s="5">
        <v>10000000000</v>
      </c>
      <c r="AZ290" s="5">
        <v>491.57</v>
      </c>
      <c r="BA290" s="5">
        <v>18.34</v>
      </c>
      <c r="BB290" s="5">
        <v>9.69</v>
      </c>
      <c r="BC290" s="5">
        <v>1.52</v>
      </c>
      <c r="BD290" s="5">
        <v>7.15</v>
      </c>
      <c r="BE290" s="5">
        <v>2.38</v>
      </c>
      <c r="BF290" s="5">
        <v>392.75</v>
      </c>
      <c r="BG290" s="5">
        <v>15.74</v>
      </c>
      <c r="BH290" s="5">
        <v>10000000000</v>
      </c>
      <c r="BI290" s="5">
        <v>219.1</v>
      </c>
      <c r="BJ290" s="5">
        <v>21.8</v>
      </c>
      <c r="BK290" s="5">
        <v>83.6</v>
      </c>
      <c r="BL290" s="5">
        <v>124.1</v>
      </c>
      <c r="BM290" s="5">
        <v>2.37</v>
      </c>
      <c r="BN290" s="5">
        <v>30.38</v>
      </c>
      <c r="BO290" s="5">
        <v>37.909999999999997</v>
      </c>
      <c r="BP290" s="5">
        <v>694.83</v>
      </c>
      <c r="BQ290" s="5">
        <v>65.369159999999994</v>
      </c>
      <c r="BR290" s="5">
        <v>242.4341</v>
      </c>
      <c r="BS290" s="5">
        <v>42.876289999999997</v>
      </c>
      <c r="BT290" s="5">
        <v>37.32432</v>
      </c>
      <c r="BU290" s="5">
        <v>37.010570000000001</v>
      </c>
      <c r="BV290" s="5">
        <v>0.100727</v>
      </c>
      <c r="BW290" s="5">
        <v>0.10113</v>
      </c>
      <c r="BX290" s="5">
        <v>101.25830000000001</v>
      </c>
      <c r="BY290" s="5">
        <v>18.995360000000002</v>
      </c>
      <c r="BZ290" s="5">
        <v>0</v>
      </c>
      <c r="CA290" s="5">
        <v>0.92001200000000005</v>
      </c>
      <c r="CB290" s="5">
        <v>823.89290000000005</v>
      </c>
      <c r="CC290" s="5">
        <v>853.00440000000003</v>
      </c>
      <c r="CD290" s="5">
        <v>104.7711</v>
      </c>
      <c r="CE290" s="5">
        <v>544.11</v>
      </c>
      <c r="CF290" s="5">
        <v>91.23</v>
      </c>
      <c r="CG290" s="5">
        <v>105.33</v>
      </c>
      <c r="CH290" s="5">
        <v>483.91</v>
      </c>
      <c r="CI290" s="5">
        <v>506.11</v>
      </c>
      <c r="CJ290" s="5">
        <v>524.98</v>
      </c>
      <c r="CK290" s="5">
        <v>551.22</v>
      </c>
      <c r="CL290" s="5">
        <v>544.05999999999995</v>
      </c>
      <c r="CM290" s="5">
        <v>546</v>
      </c>
      <c r="CN290" s="5">
        <v>457.2</v>
      </c>
      <c r="CO290" s="5">
        <v>28.04</v>
      </c>
      <c r="CP290" s="5">
        <v>698.1</v>
      </c>
      <c r="CQ290" s="5">
        <v>702.05</v>
      </c>
      <c r="CR290" s="5">
        <v>12.5</v>
      </c>
      <c r="CS290" s="5">
        <v>12.6</v>
      </c>
      <c r="CT290" s="5">
        <v>25.49</v>
      </c>
      <c r="CU290" s="5">
        <v>49.59</v>
      </c>
      <c r="CV290" s="5">
        <v>99.96</v>
      </c>
      <c r="CW290" s="5">
        <v>0.8946368171797896</v>
      </c>
      <c r="CX290" s="5">
        <v>2.1292356248878992</v>
      </c>
    </row>
    <row r="291" spans="1:103" x14ac:dyDescent="0.25">
      <c r="A291" s="5">
        <v>22</v>
      </c>
      <c r="B291" s="23">
        <v>41411.594787326387</v>
      </c>
      <c r="C291" s="5">
        <v>10</v>
      </c>
      <c r="D291" s="5">
        <v>17</v>
      </c>
      <c r="E291" s="5">
        <v>673</v>
      </c>
      <c r="F291" s="5">
        <v>673</v>
      </c>
      <c r="G291" s="5">
        <v>673.1</v>
      </c>
      <c r="H291" s="5">
        <v>100</v>
      </c>
      <c r="I291" s="5">
        <v>100</v>
      </c>
      <c r="J291" s="5">
        <v>1890</v>
      </c>
      <c r="K291" s="5">
        <v>47</v>
      </c>
      <c r="L291" s="5">
        <v>47</v>
      </c>
      <c r="M291" s="5">
        <v>0.27</v>
      </c>
      <c r="N291" s="5">
        <v>0.27001599999999998</v>
      </c>
      <c r="O291" s="5">
        <v>1</v>
      </c>
      <c r="P291" s="5">
        <v>1.069393</v>
      </c>
      <c r="Q291" s="5">
        <v>-0.19</v>
      </c>
      <c r="R291" s="5">
        <v>-0.18676799999999999</v>
      </c>
      <c r="S291" s="5">
        <v>187.8</v>
      </c>
      <c r="T291" s="5">
        <v>187.79689999999999</v>
      </c>
      <c r="U291" s="5">
        <v>3.5</v>
      </c>
      <c r="V291" s="5">
        <v>3.5</v>
      </c>
      <c r="W291" s="5">
        <v>300</v>
      </c>
      <c r="X291" s="5">
        <v>300</v>
      </c>
      <c r="Y291" s="5">
        <v>0</v>
      </c>
      <c r="Z291" s="5">
        <v>0</v>
      </c>
      <c r="AA291" s="5">
        <v>300</v>
      </c>
      <c r="AB291" s="5">
        <v>300</v>
      </c>
      <c r="AC291" s="5">
        <v>0</v>
      </c>
      <c r="AD291" s="5">
        <v>168.18700000000001</v>
      </c>
      <c r="AE291" s="5">
        <v>150</v>
      </c>
      <c r="AF291" s="5">
        <v>150</v>
      </c>
      <c r="AG291" s="5">
        <v>34</v>
      </c>
      <c r="AH291" s="5">
        <v>0.16</v>
      </c>
      <c r="AI291" s="5">
        <v>95.76</v>
      </c>
      <c r="AJ291" s="5">
        <v>124.35</v>
      </c>
      <c r="AK291" s="5">
        <v>210.68</v>
      </c>
      <c r="AL291" s="5">
        <v>209.61</v>
      </c>
      <c r="AM291" s="5">
        <v>540.02</v>
      </c>
      <c r="AN291" s="5">
        <v>256.38130000000001</v>
      </c>
      <c r="AO291" s="5">
        <v>157.13</v>
      </c>
      <c r="AP291" s="5">
        <v>155.12</v>
      </c>
      <c r="AQ291" s="5">
        <v>176.51</v>
      </c>
      <c r="AR291" s="5">
        <v>699.1</v>
      </c>
      <c r="AS291" s="5">
        <v>53.55</v>
      </c>
      <c r="AT291" s="5">
        <v>72.83</v>
      </c>
      <c r="AU291" s="5">
        <v>124.4</v>
      </c>
      <c r="AV291" s="5">
        <v>110.35</v>
      </c>
      <c r="AW291" s="5">
        <v>0.48599999999999999</v>
      </c>
      <c r="AX291" s="5">
        <v>7.41</v>
      </c>
      <c r="AY291" s="5">
        <v>10000000000</v>
      </c>
      <c r="AZ291" s="5">
        <v>434.81</v>
      </c>
      <c r="BA291" s="5">
        <v>18.88</v>
      </c>
      <c r="BB291" s="5">
        <v>8.98</v>
      </c>
      <c r="BC291" s="5">
        <v>1.98</v>
      </c>
      <c r="BD291" s="5">
        <v>8.18</v>
      </c>
      <c r="BE291" s="5">
        <v>1.63</v>
      </c>
      <c r="BF291" s="5">
        <v>241.18</v>
      </c>
      <c r="BG291" s="5">
        <v>22.06</v>
      </c>
      <c r="BH291" s="5">
        <v>10000000000</v>
      </c>
      <c r="BI291" s="5">
        <v>224.3</v>
      </c>
      <c r="BJ291" s="5">
        <v>23.4</v>
      </c>
      <c r="BK291" s="5">
        <v>81.900000000000006</v>
      </c>
      <c r="BL291" s="5">
        <v>197.89</v>
      </c>
      <c r="BM291" s="5">
        <v>2.75</v>
      </c>
      <c r="BN291" s="5">
        <v>30.81</v>
      </c>
      <c r="BO291" s="5">
        <v>37.33</v>
      </c>
      <c r="BP291" s="5">
        <v>728.96</v>
      </c>
      <c r="BQ291" s="5">
        <v>71.807760000000002</v>
      </c>
      <c r="BR291" s="5">
        <v>302.98750000000001</v>
      </c>
      <c r="BS291" s="5">
        <v>43.257080000000002</v>
      </c>
      <c r="BT291" s="5">
        <v>43.996969999999997</v>
      </c>
      <c r="BU291" s="5">
        <v>43.289059999999999</v>
      </c>
      <c r="BV291" s="5">
        <v>0.101703</v>
      </c>
      <c r="BW291" s="5">
        <v>9.7573999999999994E-2</v>
      </c>
      <c r="BX291" s="5">
        <v>98.949269999999999</v>
      </c>
      <c r="BY291" s="5">
        <v>18.995360000000002</v>
      </c>
      <c r="BZ291" s="5">
        <v>0</v>
      </c>
      <c r="CA291" s="5">
        <v>0.92035100000000003</v>
      </c>
      <c r="CB291" s="5">
        <v>943.63099999999997</v>
      </c>
      <c r="CC291" s="5">
        <v>972.09519999999998</v>
      </c>
      <c r="CD291" s="5">
        <v>102.4616</v>
      </c>
      <c r="CE291" s="5">
        <v>527.47</v>
      </c>
      <c r="CF291" s="5">
        <v>103.19</v>
      </c>
      <c r="CG291" s="5">
        <v>121.28</v>
      </c>
      <c r="CH291" s="5">
        <v>455.5</v>
      </c>
      <c r="CI291" s="5">
        <v>473.8</v>
      </c>
      <c r="CJ291" s="5">
        <v>491.49</v>
      </c>
      <c r="CK291" s="5">
        <v>519.91999999999996</v>
      </c>
      <c r="CL291" s="5">
        <v>517.99</v>
      </c>
      <c r="CM291" s="5">
        <v>515.16999999999996</v>
      </c>
      <c r="CN291" s="5">
        <v>384.33</v>
      </c>
      <c r="CO291" s="5">
        <v>28.57</v>
      </c>
      <c r="CP291" s="5">
        <v>669.4</v>
      </c>
      <c r="CQ291" s="5">
        <v>673.06</v>
      </c>
      <c r="CR291" s="5">
        <v>12</v>
      </c>
      <c r="CS291" s="5">
        <v>12.1</v>
      </c>
      <c r="CT291" s="5">
        <v>25.73</v>
      </c>
      <c r="CU291" s="5">
        <v>47.68</v>
      </c>
      <c r="CV291" s="5">
        <v>99.95</v>
      </c>
      <c r="CW291" s="5">
        <v>0.89592809544616792</v>
      </c>
      <c r="CX291" s="5">
        <v>1.4603627955772536</v>
      </c>
    </row>
    <row r="292" spans="1:103" x14ac:dyDescent="0.25">
      <c r="A292" s="5">
        <v>27</v>
      </c>
      <c r="B292" s="23">
        <v>41411.629701122685</v>
      </c>
      <c r="C292" s="5">
        <v>10</v>
      </c>
      <c r="D292" s="5">
        <v>21</v>
      </c>
      <c r="E292" s="5">
        <v>720</v>
      </c>
      <c r="F292" s="5">
        <v>720</v>
      </c>
      <c r="G292" s="5">
        <v>720.1</v>
      </c>
      <c r="H292" s="5">
        <v>100</v>
      </c>
      <c r="I292" s="5">
        <v>100</v>
      </c>
      <c r="J292" s="5">
        <v>1890</v>
      </c>
      <c r="K292" s="5">
        <v>30</v>
      </c>
      <c r="L292" s="5">
        <v>30</v>
      </c>
      <c r="M292" s="5">
        <v>0.14000000000000001</v>
      </c>
      <c r="N292" s="5">
        <v>0.14002100000000001</v>
      </c>
      <c r="O292" s="5">
        <v>1</v>
      </c>
      <c r="P292" s="5">
        <v>1.0693999999999999</v>
      </c>
      <c r="Q292" s="5">
        <v>1.47</v>
      </c>
      <c r="R292" s="5">
        <v>1.4721679999999999</v>
      </c>
      <c r="S292" s="5">
        <v>189.01</v>
      </c>
      <c r="T292" s="5">
        <v>189.01560000000001</v>
      </c>
      <c r="U292" s="5">
        <v>3.5</v>
      </c>
      <c r="V292" s="5">
        <v>3.5</v>
      </c>
      <c r="W292" s="5">
        <v>300</v>
      </c>
      <c r="X292" s="5">
        <v>300</v>
      </c>
      <c r="Y292" s="5">
        <v>0</v>
      </c>
      <c r="Z292" s="5">
        <v>0</v>
      </c>
      <c r="AA292" s="5">
        <v>300</v>
      </c>
      <c r="AB292" s="5">
        <v>300</v>
      </c>
      <c r="AC292" s="5">
        <v>0</v>
      </c>
      <c r="AD292" s="5">
        <v>153.4966</v>
      </c>
      <c r="AE292" s="5">
        <v>150</v>
      </c>
      <c r="AF292" s="5">
        <v>150</v>
      </c>
      <c r="AG292" s="5">
        <v>34</v>
      </c>
      <c r="AH292" s="5">
        <v>0.16</v>
      </c>
      <c r="AI292" s="5">
        <v>89.08</v>
      </c>
      <c r="AJ292" s="5">
        <v>121.54</v>
      </c>
      <c r="AK292" s="5">
        <v>172.29</v>
      </c>
      <c r="AL292" s="5">
        <v>175.02</v>
      </c>
      <c r="AM292" s="5">
        <v>572.76</v>
      </c>
      <c r="AN292" s="5">
        <v>231.38310000000001</v>
      </c>
      <c r="AO292" s="5">
        <v>131.32</v>
      </c>
      <c r="AP292" s="5">
        <v>142.52000000000001</v>
      </c>
      <c r="AQ292" s="5">
        <v>152.02000000000001</v>
      </c>
      <c r="AR292" s="5">
        <v>733.22</v>
      </c>
      <c r="AS292" s="5">
        <v>40.97</v>
      </c>
      <c r="AT292" s="5">
        <v>61.79</v>
      </c>
      <c r="AU292" s="5">
        <v>102.25</v>
      </c>
      <c r="AV292" s="5">
        <v>112.5</v>
      </c>
      <c r="AW292" s="5">
        <v>0.13900000000000001</v>
      </c>
      <c r="AX292" s="5">
        <v>1.91</v>
      </c>
      <c r="AY292" s="5">
        <v>10000000000</v>
      </c>
      <c r="AZ292" s="5">
        <v>395.13</v>
      </c>
      <c r="BA292" s="5">
        <v>18.13</v>
      </c>
      <c r="BB292" s="5">
        <v>8.89</v>
      </c>
      <c r="BC292" s="5">
        <v>0.99</v>
      </c>
      <c r="BD292" s="5">
        <v>8.31</v>
      </c>
      <c r="BE292" s="5">
        <v>3.94</v>
      </c>
      <c r="BF292" s="5">
        <v>594.21</v>
      </c>
      <c r="BG292" s="5">
        <v>11.17</v>
      </c>
      <c r="BH292" s="5">
        <v>10000000000</v>
      </c>
      <c r="BI292" s="5">
        <v>217.5</v>
      </c>
      <c r="BJ292" s="5">
        <v>23.7</v>
      </c>
      <c r="BK292" s="5">
        <v>83.7</v>
      </c>
      <c r="BL292" s="5">
        <v>92.23</v>
      </c>
      <c r="BM292" s="5">
        <v>2.48</v>
      </c>
      <c r="BN292" s="5">
        <v>29.89</v>
      </c>
      <c r="BO292" s="5">
        <v>37.24</v>
      </c>
      <c r="BP292" s="5">
        <v>764.41</v>
      </c>
      <c r="BQ292" s="5">
        <v>62.510469999999998</v>
      </c>
      <c r="BR292" s="5">
        <v>273.9289</v>
      </c>
      <c r="BS292" s="5">
        <v>42.496729999999999</v>
      </c>
      <c r="BT292" s="5">
        <v>38.91207</v>
      </c>
      <c r="BU292" s="5">
        <v>38.488959999999999</v>
      </c>
      <c r="BV292" s="5">
        <v>9.9753999999999995E-2</v>
      </c>
      <c r="BW292" s="5">
        <v>9.9715999999999999E-2</v>
      </c>
      <c r="BX292" s="5">
        <v>103.5493</v>
      </c>
      <c r="BY292" s="5">
        <v>18.995360000000002</v>
      </c>
      <c r="BZ292" s="5">
        <v>0</v>
      </c>
      <c r="CA292" s="5">
        <v>0.91967299999999996</v>
      </c>
      <c r="CB292" s="5">
        <v>874.53959999999995</v>
      </c>
      <c r="CC292" s="5">
        <v>904.29100000000005</v>
      </c>
      <c r="CD292" s="5">
        <v>107.0628</v>
      </c>
      <c r="CE292" s="5">
        <v>514.69000000000005</v>
      </c>
      <c r="CF292" s="5">
        <v>85.59</v>
      </c>
      <c r="CG292" s="5">
        <v>98.72</v>
      </c>
      <c r="CH292" s="5">
        <v>474.36</v>
      </c>
      <c r="CI292" s="5">
        <v>496.22</v>
      </c>
      <c r="CJ292" s="5">
        <v>513.13</v>
      </c>
      <c r="CK292" s="5">
        <v>536.41999999999996</v>
      </c>
      <c r="CL292" s="5">
        <v>533.29</v>
      </c>
      <c r="CM292" s="5">
        <v>532.58000000000004</v>
      </c>
      <c r="CN292" s="5">
        <v>430.13</v>
      </c>
      <c r="CO292" s="5">
        <v>29.35</v>
      </c>
      <c r="CP292" s="5">
        <v>716.2</v>
      </c>
      <c r="CQ292" s="5">
        <v>720.05</v>
      </c>
      <c r="CR292" s="5">
        <v>12.8</v>
      </c>
      <c r="CS292" s="5">
        <v>12.9</v>
      </c>
      <c r="CT292" s="5">
        <v>26.39</v>
      </c>
      <c r="CU292" s="5">
        <v>46.91</v>
      </c>
      <c r="CV292" s="5">
        <v>99.92</v>
      </c>
      <c r="CW292" s="5">
        <v>0.902001502820024</v>
      </c>
      <c r="CX292" s="5">
        <v>3.5538859211108944</v>
      </c>
    </row>
    <row r="293" spans="1:103" x14ac:dyDescent="0.25">
      <c r="A293" s="5">
        <v>18</v>
      </c>
      <c r="B293" s="23">
        <v>41411.573095648149</v>
      </c>
      <c r="C293" s="5">
        <v>10</v>
      </c>
      <c r="D293" s="5">
        <v>13</v>
      </c>
      <c r="E293" s="5">
        <v>627</v>
      </c>
      <c r="F293" s="5">
        <v>627</v>
      </c>
      <c r="G293" s="5">
        <v>627</v>
      </c>
      <c r="H293" s="5">
        <v>100</v>
      </c>
      <c r="I293" s="5">
        <v>100</v>
      </c>
      <c r="J293" s="5">
        <v>1890</v>
      </c>
      <c r="K293" s="5">
        <v>6</v>
      </c>
      <c r="L293" s="5">
        <v>6</v>
      </c>
      <c r="M293" s="5">
        <v>0.13</v>
      </c>
      <c r="N293" s="5">
        <v>0.129945</v>
      </c>
      <c r="O293" s="5">
        <v>1</v>
      </c>
      <c r="P293" s="5">
        <v>1.0696829999999999</v>
      </c>
      <c r="Q293" s="5">
        <v>-1.98</v>
      </c>
      <c r="R293" s="5">
        <v>-1.9775389999999999</v>
      </c>
      <c r="S293" s="5">
        <v>186.91</v>
      </c>
      <c r="T293" s="5">
        <v>186.90629999999999</v>
      </c>
      <c r="U293" s="5">
        <v>3.5</v>
      </c>
      <c r="V293" s="5">
        <v>3.5</v>
      </c>
      <c r="W293" s="5">
        <v>300</v>
      </c>
      <c r="X293" s="5">
        <v>300</v>
      </c>
      <c r="Y293" s="5">
        <v>0</v>
      </c>
      <c r="Z293" s="5">
        <v>0</v>
      </c>
      <c r="AA293" s="5">
        <v>300</v>
      </c>
      <c r="AB293" s="5">
        <v>300</v>
      </c>
      <c r="AC293" s="5">
        <v>0</v>
      </c>
      <c r="AD293" s="5">
        <v>118.8276</v>
      </c>
      <c r="AE293" s="5">
        <v>150</v>
      </c>
      <c r="AF293" s="5">
        <v>150</v>
      </c>
      <c r="AG293" s="5">
        <v>34</v>
      </c>
      <c r="AH293" s="5">
        <v>0.16</v>
      </c>
      <c r="AI293" s="5">
        <v>68.900000000000006</v>
      </c>
      <c r="AJ293" s="5">
        <v>103.05</v>
      </c>
      <c r="AK293" s="5">
        <v>104.1</v>
      </c>
      <c r="AL293" s="5">
        <v>107.28</v>
      </c>
      <c r="AM293" s="5">
        <v>656.5</v>
      </c>
      <c r="AN293" s="5">
        <v>179.36670000000001</v>
      </c>
      <c r="AO293" s="5">
        <v>78.7</v>
      </c>
      <c r="AP293" s="5">
        <v>118.7</v>
      </c>
      <c r="AQ293" s="5">
        <v>95.94</v>
      </c>
      <c r="AR293" s="5">
        <v>615.64</v>
      </c>
      <c r="AS293" s="5">
        <v>25.4</v>
      </c>
      <c r="AT293" s="5">
        <v>59.48</v>
      </c>
      <c r="AU293" s="5">
        <v>98.95</v>
      </c>
      <c r="AV293" s="5">
        <v>112.16</v>
      </c>
      <c r="AW293" s="5">
        <v>0.65200000000000002</v>
      </c>
      <c r="AX293" s="5">
        <v>10.45</v>
      </c>
      <c r="AY293" s="5">
        <v>10000000000</v>
      </c>
      <c r="AZ293" s="5">
        <v>684.57</v>
      </c>
      <c r="BA293" s="5">
        <v>15.89</v>
      </c>
      <c r="BB293" s="5">
        <v>10.23</v>
      </c>
      <c r="BC293" s="5">
        <v>0.86</v>
      </c>
      <c r="BD293" s="5">
        <v>6.4</v>
      </c>
      <c r="BE293" s="5">
        <v>3.33</v>
      </c>
      <c r="BF293" s="5">
        <v>529.75</v>
      </c>
      <c r="BG293" s="5">
        <v>8.42</v>
      </c>
      <c r="BH293" s="5">
        <v>10000000000</v>
      </c>
      <c r="BI293" s="5">
        <v>231.4</v>
      </c>
      <c r="BJ293" s="5">
        <v>21.5</v>
      </c>
      <c r="BK293" s="5">
        <v>88.1</v>
      </c>
      <c r="BL293" s="5">
        <v>56.63</v>
      </c>
      <c r="BM293" s="5">
        <v>1.92</v>
      </c>
      <c r="BN293" s="5">
        <v>29.74</v>
      </c>
      <c r="BO293" s="5">
        <v>38.06</v>
      </c>
      <c r="BP293" s="5">
        <v>644.63</v>
      </c>
      <c r="BQ293" s="5">
        <v>60.423699999999997</v>
      </c>
      <c r="BR293" s="5">
        <v>207.3492</v>
      </c>
      <c r="BS293" s="5">
        <v>43.974379999999996</v>
      </c>
      <c r="BT293" s="5">
        <v>32.654690000000002</v>
      </c>
      <c r="BU293" s="5">
        <v>32.60331</v>
      </c>
      <c r="BV293" s="5">
        <v>0.103863</v>
      </c>
      <c r="BW293" s="5">
        <v>0.10616200000000001</v>
      </c>
      <c r="BX293" s="5">
        <v>95.058700000000002</v>
      </c>
      <c r="BY293" s="5">
        <v>18.995360000000002</v>
      </c>
      <c r="BZ293" s="5">
        <v>0</v>
      </c>
      <c r="CA293" s="5">
        <v>0.92109799999999997</v>
      </c>
      <c r="CB293" s="5">
        <v>683.25019999999995</v>
      </c>
      <c r="CC293" s="5">
        <v>710.62660000000005</v>
      </c>
      <c r="CD293" s="5">
        <v>98.569789999999998</v>
      </c>
      <c r="CE293" s="5">
        <v>529.79999999999995</v>
      </c>
      <c r="CF293" s="5">
        <v>82.67</v>
      </c>
      <c r="CG293" s="5">
        <v>96.44</v>
      </c>
      <c r="CH293" s="5">
        <v>534.27</v>
      </c>
      <c r="CI293" s="5">
        <v>558.45000000000005</v>
      </c>
      <c r="CJ293" s="5">
        <v>575.01</v>
      </c>
      <c r="CK293" s="5">
        <v>597.86</v>
      </c>
      <c r="CL293" s="5">
        <v>599.41</v>
      </c>
      <c r="CM293" s="5">
        <v>590</v>
      </c>
      <c r="CN293" s="5">
        <v>537.53</v>
      </c>
      <c r="CO293" s="5">
        <v>32.32</v>
      </c>
      <c r="CP293" s="5">
        <v>627.70000000000005</v>
      </c>
      <c r="CQ293" s="5">
        <v>627.04999999999995</v>
      </c>
      <c r="CR293" s="5">
        <v>11.2</v>
      </c>
      <c r="CS293" s="5">
        <v>11.2</v>
      </c>
      <c r="CT293" s="5">
        <v>27.07</v>
      </c>
      <c r="CU293" s="5">
        <v>23.15</v>
      </c>
      <c r="CV293" s="5">
        <v>99.94</v>
      </c>
      <c r="CW293" s="5">
        <v>0.82709014779200785</v>
      </c>
      <c r="CX293" s="5">
        <v>2.754210192147386</v>
      </c>
      <c r="CY293" s="5">
        <v>0.71622985490322488</v>
      </c>
    </row>
    <row r="294" spans="1:103" x14ac:dyDescent="0.25">
      <c r="A294" s="5">
        <v>23</v>
      </c>
      <c r="B294" s="23">
        <v>41411.600219155094</v>
      </c>
      <c r="C294" s="5">
        <v>10</v>
      </c>
      <c r="D294" s="5">
        <v>18</v>
      </c>
      <c r="E294" s="5">
        <v>683</v>
      </c>
      <c r="F294" s="5">
        <v>683</v>
      </c>
      <c r="G294" s="5">
        <v>683</v>
      </c>
      <c r="H294" s="5">
        <v>100</v>
      </c>
      <c r="I294" s="5">
        <v>100</v>
      </c>
      <c r="J294" s="5">
        <v>1890</v>
      </c>
      <c r="K294" s="5">
        <v>15</v>
      </c>
      <c r="L294" s="5">
        <v>15</v>
      </c>
      <c r="M294" s="5">
        <v>0.25</v>
      </c>
      <c r="N294" s="5">
        <v>0.250023</v>
      </c>
      <c r="O294" s="5">
        <v>1</v>
      </c>
      <c r="P294" s="5">
        <v>1.0693269999999999</v>
      </c>
      <c r="Q294" s="5">
        <v>0.19</v>
      </c>
      <c r="R294" s="5">
        <v>0.18676799999999999</v>
      </c>
      <c r="S294" s="5">
        <v>187.99</v>
      </c>
      <c r="T294" s="5">
        <v>187.98439999999999</v>
      </c>
      <c r="U294" s="5">
        <v>3.5</v>
      </c>
      <c r="V294" s="5">
        <v>3.5</v>
      </c>
      <c r="W294" s="5">
        <v>300</v>
      </c>
      <c r="X294" s="5">
        <v>300</v>
      </c>
      <c r="Y294" s="5">
        <v>0</v>
      </c>
      <c r="Z294" s="5">
        <v>0</v>
      </c>
      <c r="AA294" s="5">
        <v>300</v>
      </c>
      <c r="AB294" s="5">
        <v>300</v>
      </c>
      <c r="AC294" s="5">
        <v>0</v>
      </c>
      <c r="AD294" s="5">
        <v>129.68700000000001</v>
      </c>
      <c r="AE294" s="5">
        <v>150</v>
      </c>
      <c r="AF294" s="5">
        <v>150</v>
      </c>
      <c r="AG294" s="5">
        <v>34</v>
      </c>
      <c r="AH294" s="5">
        <v>0.16</v>
      </c>
      <c r="AI294" s="5">
        <v>76.180000000000007</v>
      </c>
      <c r="AJ294" s="5">
        <v>106.97</v>
      </c>
      <c r="AK294" s="5">
        <v>117.42</v>
      </c>
      <c r="AL294" s="5">
        <v>119.66</v>
      </c>
      <c r="AM294" s="5">
        <v>631.58000000000004</v>
      </c>
      <c r="AN294" s="5">
        <v>197.6814</v>
      </c>
      <c r="AO294" s="5">
        <v>97.3</v>
      </c>
      <c r="AP294" s="5">
        <v>116.54</v>
      </c>
      <c r="AQ294" s="5">
        <v>115.12</v>
      </c>
      <c r="AR294" s="5">
        <v>628.28</v>
      </c>
      <c r="AS294" s="5">
        <v>20.12</v>
      </c>
      <c r="AT294" s="5">
        <v>61.82</v>
      </c>
      <c r="AU294" s="5">
        <v>101.88</v>
      </c>
      <c r="AV294" s="5">
        <v>115.53</v>
      </c>
      <c r="AW294" s="5">
        <v>0.65400000000000003</v>
      </c>
      <c r="AX294" s="5">
        <v>10.5</v>
      </c>
      <c r="AY294" s="5">
        <v>10000000000</v>
      </c>
      <c r="AZ294" s="5">
        <v>608.95000000000005</v>
      </c>
      <c r="BA294" s="5">
        <v>17.72</v>
      </c>
      <c r="BB294" s="5">
        <v>10.24</v>
      </c>
      <c r="BC294" s="5">
        <v>1.25</v>
      </c>
      <c r="BD294" s="5">
        <v>6.43</v>
      </c>
      <c r="BE294" s="5">
        <v>2.7</v>
      </c>
      <c r="BF294" s="5">
        <v>462.52</v>
      </c>
      <c r="BG294" s="5">
        <v>12.21</v>
      </c>
      <c r="BH294" s="5">
        <v>10000000000</v>
      </c>
      <c r="BI294" s="5">
        <v>223.2</v>
      </c>
      <c r="BJ294" s="5">
        <v>20.8</v>
      </c>
      <c r="BK294" s="5">
        <v>84.4</v>
      </c>
      <c r="BL294" s="5">
        <v>87.34</v>
      </c>
      <c r="BM294" s="5">
        <v>2.13</v>
      </c>
      <c r="BN294" s="5">
        <v>30.11</v>
      </c>
      <c r="BO294" s="5">
        <v>38.32</v>
      </c>
      <c r="BP294" s="5">
        <v>658.14</v>
      </c>
      <c r="BQ294" s="5">
        <v>62.595730000000003</v>
      </c>
      <c r="BR294" s="5">
        <v>217.75729999999999</v>
      </c>
      <c r="BS294" s="5">
        <v>43.011879999999998</v>
      </c>
      <c r="BT294" s="5">
        <v>33.995640000000002</v>
      </c>
      <c r="BU294" s="5">
        <v>33.818539999999999</v>
      </c>
      <c r="BV294" s="5">
        <v>0.101075</v>
      </c>
      <c r="BW294" s="5">
        <v>0.10362200000000001</v>
      </c>
      <c r="BX294" s="5">
        <v>100.43089999999999</v>
      </c>
      <c r="BY294" s="5">
        <v>18.995360000000002</v>
      </c>
      <c r="BZ294" s="5">
        <v>0</v>
      </c>
      <c r="CA294" s="5">
        <v>0.92013199999999995</v>
      </c>
      <c r="CB294" s="5">
        <v>747.34670000000006</v>
      </c>
      <c r="CC294" s="5">
        <v>776.21889999999996</v>
      </c>
      <c r="CD294" s="5">
        <v>103.94410000000001</v>
      </c>
      <c r="CE294" s="5">
        <v>558.41999999999996</v>
      </c>
      <c r="CF294" s="5">
        <v>86.93</v>
      </c>
      <c r="CG294" s="5">
        <v>99.05</v>
      </c>
      <c r="CH294" s="5">
        <v>512.86</v>
      </c>
      <c r="CI294" s="5">
        <v>535.99</v>
      </c>
      <c r="CJ294" s="5">
        <v>554.98</v>
      </c>
      <c r="CK294" s="5">
        <v>581.66999999999996</v>
      </c>
      <c r="CL294" s="5">
        <v>575.21</v>
      </c>
      <c r="CM294" s="5">
        <v>577.13</v>
      </c>
      <c r="CN294" s="5">
        <v>505.41</v>
      </c>
      <c r="CO294" s="5">
        <v>28.77</v>
      </c>
      <c r="CP294" s="5">
        <v>679.3</v>
      </c>
      <c r="CQ294" s="5">
        <v>683.04</v>
      </c>
      <c r="CR294" s="5">
        <v>12.2</v>
      </c>
      <c r="CS294" s="5">
        <v>12.2</v>
      </c>
      <c r="CT294" s="5">
        <v>26.11</v>
      </c>
      <c r="CU294" s="5">
        <v>47.06</v>
      </c>
      <c r="CV294" s="5">
        <v>99.95</v>
      </c>
      <c r="CW294" s="5">
        <v>0.88812110016092127</v>
      </c>
      <c r="CX294" s="5">
        <v>2.3979269704344874</v>
      </c>
      <c r="CY294" s="5">
        <v>0.86307234384773279</v>
      </c>
    </row>
    <row r="295" spans="1:103" x14ac:dyDescent="0.25">
      <c r="A295" s="5">
        <v>28</v>
      </c>
      <c r="B295" s="23">
        <v>41411.635123576387</v>
      </c>
      <c r="C295" s="5">
        <v>10</v>
      </c>
      <c r="D295" s="5">
        <v>22</v>
      </c>
      <c r="E295" s="5">
        <v>739</v>
      </c>
      <c r="F295" s="5">
        <v>739</v>
      </c>
      <c r="G295" s="5">
        <v>739.1</v>
      </c>
      <c r="H295" s="5">
        <v>100</v>
      </c>
      <c r="I295" s="5">
        <v>100</v>
      </c>
      <c r="J295" s="5">
        <v>1890</v>
      </c>
      <c r="K295" s="5">
        <v>8</v>
      </c>
      <c r="L295" s="5">
        <v>8</v>
      </c>
      <c r="M295" s="5">
        <v>0.15</v>
      </c>
      <c r="N295" s="5">
        <v>0.15002299999999999</v>
      </c>
      <c r="O295" s="5">
        <v>1</v>
      </c>
      <c r="P295" s="5">
        <v>1.0692900000000001</v>
      </c>
      <c r="Q295" s="5">
        <v>2.0699999999999998</v>
      </c>
      <c r="R295" s="5">
        <v>2.0654300000000001</v>
      </c>
      <c r="S295" s="5">
        <v>189.69</v>
      </c>
      <c r="T295" s="5">
        <v>189.6875</v>
      </c>
      <c r="U295" s="5">
        <v>3.5</v>
      </c>
      <c r="V295" s="5">
        <v>3.5</v>
      </c>
      <c r="W295" s="5">
        <v>300</v>
      </c>
      <c r="X295" s="5">
        <v>300</v>
      </c>
      <c r="Y295" s="5">
        <v>0</v>
      </c>
      <c r="Z295" s="5">
        <v>0</v>
      </c>
      <c r="AA295" s="5">
        <v>300</v>
      </c>
      <c r="AB295" s="5">
        <v>300</v>
      </c>
      <c r="AC295" s="5">
        <v>0</v>
      </c>
      <c r="AD295" s="5">
        <v>130.25190000000001</v>
      </c>
      <c r="AE295" s="5">
        <v>150</v>
      </c>
      <c r="AF295" s="5">
        <v>150</v>
      </c>
      <c r="AG295" s="5">
        <v>34</v>
      </c>
      <c r="AH295" s="5">
        <v>0.16</v>
      </c>
      <c r="AI295" s="5">
        <v>81.33</v>
      </c>
      <c r="AJ295" s="5">
        <v>108.76</v>
      </c>
      <c r="AK295" s="5">
        <v>120.85</v>
      </c>
      <c r="AL295" s="5">
        <v>124.48</v>
      </c>
      <c r="AM295" s="5">
        <v>650.30999999999995</v>
      </c>
      <c r="AN295" s="5">
        <v>197.5676</v>
      </c>
      <c r="AO295" s="5">
        <v>97.07</v>
      </c>
      <c r="AP295" s="5">
        <v>117.82</v>
      </c>
      <c r="AQ295" s="5">
        <v>115.66</v>
      </c>
      <c r="AR295" s="5">
        <v>652.26</v>
      </c>
      <c r="AS295" s="5">
        <v>23.78</v>
      </c>
      <c r="AT295" s="5">
        <v>59.95</v>
      </c>
      <c r="AU295" s="5">
        <v>99.51</v>
      </c>
      <c r="AV295" s="5">
        <v>117.71</v>
      </c>
      <c r="AW295" s="5">
        <v>0.44800000000000001</v>
      </c>
      <c r="AX295" s="5">
        <v>6.74</v>
      </c>
      <c r="AY295" s="5">
        <v>10000000000</v>
      </c>
      <c r="AZ295" s="5">
        <v>575.27</v>
      </c>
      <c r="BA295" s="5">
        <v>16.309999999999999</v>
      </c>
      <c r="BB295" s="5">
        <v>10.52</v>
      </c>
      <c r="BC295" s="5">
        <v>0.92</v>
      </c>
      <c r="BD295" s="5">
        <v>6.08</v>
      </c>
      <c r="BE295" s="5">
        <v>3.87</v>
      </c>
      <c r="BF295" s="5">
        <v>692.94</v>
      </c>
      <c r="BG295" s="5">
        <v>8.74</v>
      </c>
      <c r="BH295" s="5">
        <v>10000000000</v>
      </c>
      <c r="BI295" s="5">
        <v>219.8</v>
      </c>
      <c r="BJ295" s="5">
        <v>20.3</v>
      </c>
      <c r="BK295" s="5">
        <v>84.8</v>
      </c>
      <c r="BL295" s="5">
        <v>62.49</v>
      </c>
      <c r="BM295" s="5">
        <v>2.12</v>
      </c>
      <c r="BN295" s="5">
        <v>29.81</v>
      </c>
      <c r="BO295" s="5">
        <v>38.549999999999997</v>
      </c>
      <c r="BP295" s="5">
        <v>684.4</v>
      </c>
      <c r="BQ295" s="5">
        <v>60.89208</v>
      </c>
      <c r="BR295" s="5">
        <v>224.57589999999999</v>
      </c>
      <c r="BS295" s="5">
        <v>41.821910000000003</v>
      </c>
      <c r="BT295" s="5">
        <v>32.38505</v>
      </c>
      <c r="BU295" s="5">
        <v>32.394190000000002</v>
      </c>
      <c r="BV295" s="5">
        <v>9.9916000000000005E-2</v>
      </c>
      <c r="BW295" s="5">
        <v>9.2156000000000002E-2</v>
      </c>
      <c r="BX295" s="5">
        <v>107.6035</v>
      </c>
      <c r="BY295" s="5">
        <v>18.995360000000002</v>
      </c>
      <c r="BZ295" s="5">
        <v>0</v>
      </c>
      <c r="CA295" s="5">
        <v>0.91866499999999995</v>
      </c>
      <c r="CB295" s="5">
        <v>749.54880000000003</v>
      </c>
      <c r="CC295" s="5">
        <v>780.4221</v>
      </c>
      <c r="CD295" s="5">
        <v>111.1191</v>
      </c>
      <c r="CE295" s="5">
        <v>541.26</v>
      </c>
      <c r="CF295" s="5">
        <v>84.19</v>
      </c>
      <c r="CG295" s="5">
        <v>96.88</v>
      </c>
      <c r="CH295" s="5">
        <v>535.49</v>
      </c>
      <c r="CI295" s="5">
        <v>558.67999999999995</v>
      </c>
      <c r="CJ295" s="5">
        <v>575.83000000000004</v>
      </c>
      <c r="CK295" s="5">
        <v>599.99</v>
      </c>
      <c r="CL295" s="5">
        <v>596.57000000000005</v>
      </c>
      <c r="CM295" s="5">
        <v>591.65</v>
      </c>
      <c r="CN295" s="5">
        <v>527.29</v>
      </c>
      <c r="CO295" s="5">
        <v>29.32</v>
      </c>
      <c r="CP295" s="5">
        <v>733.6</v>
      </c>
      <c r="CQ295" s="5">
        <v>739.05</v>
      </c>
      <c r="CR295" s="5">
        <v>13.1</v>
      </c>
      <c r="CS295" s="5">
        <v>13.2</v>
      </c>
      <c r="CT295" s="5">
        <v>26.36</v>
      </c>
      <c r="CU295" s="5">
        <v>47.82</v>
      </c>
      <c r="CV295" s="5">
        <v>99.91</v>
      </c>
      <c r="CW295" s="5">
        <v>0.89276689238878948</v>
      </c>
      <c r="CX295" s="5">
        <v>3.4550078735446155</v>
      </c>
      <c r="CY295" s="5">
        <v>0.97161937032274792</v>
      </c>
    </row>
    <row r="296" spans="1:103" x14ac:dyDescent="0.25">
      <c r="A296" s="5">
        <v>30</v>
      </c>
      <c r="B296" s="23">
        <v>41411.646977013886</v>
      </c>
      <c r="C296" s="5">
        <v>10</v>
      </c>
      <c r="D296" s="5">
        <v>25</v>
      </c>
      <c r="E296" s="5">
        <v>777</v>
      </c>
      <c r="F296" s="5">
        <v>777</v>
      </c>
      <c r="G296" s="5">
        <v>777</v>
      </c>
      <c r="H296" s="5">
        <v>100</v>
      </c>
      <c r="I296" s="5">
        <v>100</v>
      </c>
      <c r="J296" s="5">
        <v>1890</v>
      </c>
      <c r="K296" s="5">
        <v>43</v>
      </c>
      <c r="L296" s="5">
        <v>43</v>
      </c>
      <c r="M296" s="5">
        <v>0.27</v>
      </c>
      <c r="N296" s="5">
        <v>0.26999800000000002</v>
      </c>
      <c r="O296" s="5">
        <v>1</v>
      </c>
      <c r="P296" s="5">
        <v>1.0694440000000001</v>
      </c>
      <c r="Q296" s="5">
        <v>3.27</v>
      </c>
      <c r="R296" s="5">
        <v>3.2739259999999999</v>
      </c>
      <c r="S296" s="5">
        <v>191.02</v>
      </c>
      <c r="T296" s="5">
        <v>191.01560000000001</v>
      </c>
      <c r="U296" s="5">
        <v>3.5</v>
      </c>
      <c r="V296" s="5">
        <v>3.5</v>
      </c>
      <c r="W296" s="5">
        <v>300</v>
      </c>
      <c r="X296" s="5">
        <v>300</v>
      </c>
      <c r="Y296" s="5">
        <v>0</v>
      </c>
      <c r="Z296" s="5">
        <v>0</v>
      </c>
      <c r="AA296" s="5">
        <v>300</v>
      </c>
      <c r="AB296" s="5">
        <v>300</v>
      </c>
      <c r="AC296" s="5">
        <v>0</v>
      </c>
      <c r="AD296" s="5">
        <v>171.85640000000001</v>
      </c>
      <c r="AE296" s="5">
        <v>150</v>
      </c>
      <c r="AF296" s="5">
        <v>150</v>
      </c>
      <c r="AG296" s="5">
        <v>34</v>
      </c>
      <c r="AH296" s="5">
        <v>0.16</v>
      </c>
      <c r="AI296" s="5">
        <v>102.73</v>
      </c>
      <c r="AJ296" s="5">
        <v>126.67</v>
      </c>
      <c r="AK296" s="5">
        <v>208.02</v>
      </c>
      <c r="AL296" s="5">
        <v>207.77</v>
      </c>
      <c r="AM296" s="5">
        <v>564.51</v>
      </c>
      <c r="AN296" s="5">
        <v>260.60579999999999</v>
      </c>
      <c r="AO296" s="5">
        <v>161.38</v>
      </c>
      <c r="AP296" s="5">
        <v>158.02000000000001</v>
      </c>
      <c r="AQ296" s="5">
        <v>181.58</v>
      </c>
      <c r="AR296" s="5">
        <v>727.2</v>
      </c>
      <c r="AS296" s="5">
        <v>46.64</v>
      </c>
      <c r="AT296" s="5">
        <v>71.39</v>
      </c>
      <c r="AU296" s="5">
        <v>122.75</v>
      </c>
      <c r="AV296" s="5">
        <v>112.64</v>
      </c>
      <c r="AW296" s="5">
        <v>0.42699999999999999</v>
      </c>
      <c r="AX296" s="5">
        <v>6.39</v>
      </c>
      <c r="AY296" s="5">
        <v>10000000000</v>
      </c>
      <c r="AZ296" s="5">
        <v>429.7</v>
      </c>
      <c r="BA296" s="5">
        <v>16.489999999999998</v>
      </c>
      <c r="BB296" s="5">
        <v>9.59</v>
      </c>
      <c r="BC296" s="5">
        <v>1.94</v>
      </c>
      <c r="BD296" s="5">
        <v>7.38</v>
      </c>
      <c r="BE296" s="5">
        <v>2.04</v>
      </c>
      <c r="BF296" s="5">
        <v>339.01</v>
      </c>
      <c r="BG296" s="5">
        <v>20.21</v>
      </c>
      <c r="BH296" s="5">
        <v>10000000000</v>
      </c>
      <c r="BI296" s="5">
        <v>215.8</v>
      </c>
      <c r="BJ296" s="5">
        <v>21.9</v>
      </c>
      <c r="BK296" s="5">
        <v>81.7</v>
      </c>
      <c r="BL296" s="5">
        <v>184.32</v>
      </c>
      <c r="BM296" s="5">
        <v>2.81</v>
      </c>
      <c r="BN296" s="5">
        <v>30.77</v>
      </c>
      <c r="BO296" s="5">
        <v>37.869999999999997</v>
      </c>
      <c r="BP296" s="5">
        <v>761.11</v>
      </c>
      <c r="BQ296" s="5">
        <v>70.622140000000002</v>
      </c>
      <c r="BR296" s="5">
        <v>301.76190000000003</v>
      </c>
      <c r="BS296" s="5">
        <v>41.274749999999997</v>
      </c>
      <c r="BT296" s="5">
        <v>39.850479999999997</v>
      </c>
      <c r="BU296" s="5">
        <v>39.313330000000001</v>
      </c>
      <c r="BV296" s="5">
        <v>0.10395</v>
      </c>
      <c r="BW296" s="5">
        <v>0.101607</v>
      </c>
      <c r="BX296" s="5">
        <v>110.81489999999999</v>
      </c>
      <c r="BY296" s="5">
        <v>18.995360000000002</v>
      </c>
      <c r="BZ296" s="5">
        <v>0</v>
      </c>
      <c r="CA296" s="5">
        <v>0.91701500000000002</v>
      </c>
      <c r="CB296" s="5">
        <v>958.99940000000004</v>
      </c>
      <c r="CC296" s="5">
        <v>990.76859999999999</v>
      </c>
      <c r="CD296" s="5">
        <v>114.3276</v>
      </c>
      <c r="CE296" s="5">
        <v>544.77</v>
      </c>
      <c r="CF296" s="5">
        <v>102.48</v>
      </c>
      <c r="CG296" s="5">
        <v>120.09</v>
      </c>
      <c r="CH296" s="5">
        <v>473.86</v>
      </c>
      <c r="CI296" s="5">
        <v>492.9</v>
      </c>
      <c r="CJ296" s="5">
        <v>511.58</v>
      </c>
      <c r="CK296" s="5">
        <v>538.07000000000005</v>
      </c>
      <c r="CL296" s="5">
        <v>535.44000000000005</v>
      </c>
      <c r="CM296" s="5">
        <v>535.11</v>
      </c>
      <c r="CN296" s="5">
        <v>408.27</v>
      </c>
      <c r="CO296" s="5">
        <v>27.91</v>
      </c>
      <c r="CP296" s="5">
        <v>772.7</v>
      </c>
      <c r="CQ296" s="5">
        <v>777.04</v>
      </c>
      <c r="CR296" s="5">
        <v>13.8</v>
      </c>
      <c r="CS296" s="5">
        <v>13.9</v>
      </c>
      <c r="CT296" s="5">
        <v>23.43</v>
      </c>
      <c r="CU296" s="5">
        <v>48.45</v>
      </c>
      <c r="CV296" s="5">
        <v>99.92</v>
      </c>
      <c r="CW296" s="5">
        <v>0.8809476073380228</v>
      </c>
      <c r="CX296" s="5">
        <v>1.7971331189695665</v>
      </c>
      <c r="CY296" s="5">
        <v>0.98433014954524656</v>
      </c>
    </row>
    <row r="297" spans="1:103" x14ac:dyDescent="0.25">
      <c r="A297" s="5">
        <v>29</v>
      </c>
      <c r="B297" s="23">
        <v>41411.640545451388</v>
      </c>
      <c r="C297" s="5">
        <v>10</v>
      </c>
      <c r="D297" s="5">
        <v>23</v>
      </c>
      <c r="E297" s="5">
        <v>748</v>
      </c>
      <c r="F297" s="5">
        <v>748</v>
      </c>
      <c r="G297" s="5">
        <v>748.1</v>
      </c>
      <c r="H297" s="5">
        <v>100</v>
      </c>
      <c r="I297" s="5">
        <v>100</v>
      </c>
      <c r="J297" s="5">
        <v>1890</v>
      </c>
      <c r="K297" s="5">
        <v>28</v>
      </c>
      <c r="L297" s="5">
        <v>28</v>
      </c>
      <c r="M297" s="5">
        <v>0.21</v>
      </c>
      <c r="N297" s="5">
        <v>0.21002000000000001</v>
      </c>
      <c r="O297" s="5">
        <v>1</v>
      </c>
      <c r="P297" s="5">
        <v>1.069304</v>
      </c>
      <c r="Q297" s="5">
        <v>2.35</v>
      </c>
      <c r="R297" s="5">
        <v>2.3510740000000001</v>
      </c>
      <c r="S297" s="5">
        <v>190</v>
      </c>
      <c r="T297" s="5">
        <v>190</v>
      </c>
      <c r="U297" s="5">
        <v>3.5</v>
      </c>
      <c r="V297" s="5">
        <v>3.5</v>
      </c>
      <c r="W297" s="5">
        <v>300</v>
      </c>
      <c r="X297" s="5">
        <v>300</v>
      </c>
      <c r="Y297" s="5">
        <v>0</v>
      </c>
      <c r="Z297" s="5">
        <v>0</v>
      </c>
      <c r="AA297" s="5">
        <v>300</v>
      </c>
      <c r="AB297" s="5">
        <v>300</v>
      </c>
      <c r="AC297" s="5">
        <v>0</v>
      </c>
      <c r="AD297" s="5">
        <v>151.624</v>
      </c>
      <c r="AE297" s="5">
        <v>150</v>
      </c>
      <c r="AF297" s="5">
        <v>150</v>
      </c>
      <c r="AG297" s="5">
        <v>34</v>
      </c>
      <c r="AH297" s="5">
        <v>0.16</v>
      </c>
      <c r="AI297" s="5">
        <v>91.23</v>
      </c>
      <c r="AJ297" s="5">
        <v>119.39</v>
      </c>
      <c r="AK297" s="5">
        <v>162.01</v>
      </c>
      <c r="AL297" s="5">
        <v>163.96</v>
      </c>
      <c r="AM297" s="5">
        <v>588.25</v>
      </c>
      <c r="AN297" s="5">
        <v>229.95509999999999</v>
      </c>
      <c r="AO297" s="5">
        <v>129.99</v>
      </c>
      <c r="AP297" s="5">
        <v>139.29</v>
      </c>
      <c r="AQ297" s="5">
        <v>149.94999999999999</v>
      </c>
      <c r="AR297" s="5">
        <v>708.38</v>
      </c>
      <c r="AS297" s="5">
        <v>32.020000000000003</v>
      </c>
      <c r="AT297" s="5">
        <v>63.47</v>
      </c>
      <c r="AU297" s="5">
        <v>105.87</v>
      </c>
      <c r="AV297" s="5">
        <v>114.67</v>
      </c>
      <c r="AW297" s="5">
        <v>0.28399999999999997</v>
      </c>
      <c r="AX297" s="5">
        <v>4.07</v>
      </c>
      <c r="AY297" s="5">
        <v>10000000000</v>
      </c>
      <c r="AZ297" s="5">
        <v>433.98</v>
      </c>
      <c r="BA297" s="5">
        <v>17.98</v>
      </c>
      <c r="BB297" s="5">
        <v>9.5299999999999994</v>
      </c>
      <c r="BC297" s="5">
        <v>1.3</v>
      </c>
      <c r="BD297" s="5">
        <v>7.41</v>
      </c>
      <c r="BE297" s="5">
        <v>3.15</v>
      </c>
      <c r="BF297" s="5">
        <v>517.57000000000005</v>
      </c>
      <c r="BG297" s="5">
        <v>13.62</v>
      </c>
      <c r="BH297" s="5">
        <v>10000000000</v>
      </c>
      <c r="BI297" s="5">
        <v>215.8</v>
      </c>
      <c r="BJ297" s="5">
        <v>22.2</v>
      </c>
      <c r="BK297" s="5">
        <v>83.2</v>
      </c>
      <c r="BL297" s="5">
        <v>111.69</v>
      </c>
      <c r="BM297" s="5">
        <v>2.48</v>
      </c>
      <c r="BN297" s="5">
        <v>30.17</v>
      </c>
      <c r="BO297" s="5">
        <v>37.78</v>
      </c>
      <c r="BP297" s="5">
        <v>740.06</v>
      </c>
      <c r="BQ297" s="5">
        <v>64.075519999999997</v>
      </c>
      <c r="BR297" s="5">
        <v>261.33839999999998</v>
      </c>
      <c r="BS297" s="5">
        <v>41.948059999999998</v>
      </c>
      <c r="BT297" s="5">
        <v>37.314230000000002</v>
      </c>
      <c r="BU297" s="5">
        <v>36.936489999999999</v>
      </c>
      <c r="BV297" s="5">
        <v>9.9045999999999995E-2</v>
      </c>
      <c r="BW297" s="5">
        <v>9.9729999999999999E-2</v>
      </c>
      <c r="BX297" s="5">
        <v>106.8592</v>
      </c>
      <c r="BY297" s="5">
        <v>18.995360000000002</v>
      </c>
      <c r="BZ297" s="5">
        <v>0</v>
      </c>
      <c r="CA297" s="5">
        <v>0.91903299999999999</v>
      </c>
      <c r="CB297" s="5">
        <v>864.5077</v>
      </c>
      <c r="CC297" s="5">
        <v>895.17669999999998</v>
      </c>
      <c r="CD297" s="5">
        <v>110.3741</v>
      </c>
      <c r="CE297" s="5">
        <v>538.9</v>
      </c>
      <c r="CF297" s="5">
        <v>89.24</v>
      </c>
      <c r="CG297" s="5">
        <v>102.55</v>
      </c>
      <c r="CH297" s="5">
        <v>485.16</v>
      </c>
      <c r="CI297" s="5">
        <v>506.66</v>
      </c>
      <c r="CJ297" s="5">
        <v>524.07000000000005</v>
      </c>
      <c r="CK297" s="5">
        <v>548.66</v>
      </c>
      <c r="CL297" s="5">
        <v>543.54</v>
      </c>
      <c r="CM297" s="5">
        <v>546.37</v>
      </c>
      <c r="CN297" s="5">
        <v>447.19</v>
      </c>
      <c r="CO297" s="5">
        <v>28.95</v>
      </c>
      <c r="CP297" s="5">
        <v>744</v>
      </c>
      <c r="CQ297" s="5">
        <v>748.05</v>
      </c>
      <c r="CR297" s="5">
        <v>13.3</v>
      </c>
      <c r="CS297" s="5">
        <v>13.4</v>
      </c>
      <c r="CT297" s="5">
        <v>24.09</v>
      </c>
      <c r="CU297" s="5">
        <v>49.58</v>
      </c>
      <c r="CV297" s="5">
        <v>99.91</v>
      </c>
      <c r="CW297" s="5">
        <v>0.88811991713655658</v>
      </c>
      <c r="CX297" s="5">
        <v>2.7975777389801531</v>
      </c>
      <c r="CY297" s="5">
        <v>0.98907966969416161</v>
      </c>
    </row>
    <row r="298" spans="1:103" x14ac:dyDescent="0.25">
      <c r="A298" s="5">
        <v>7</v>
      </c>
      <c r="B298" s="23">
        <v>41397.674572847223</v>
      </c>
      <c r="C298" s="5">
        <v>11</v>
      </c>
      <c r="D298" s="5">
        <v>44</v>
      </c>
      <c r="E298" s="5">
        <v>448</v>
      </c>
      <c r="F298" s="5">
        <v>448</v>
      </c>
      <c r="G298" s="5">
        <v>448</v>
      </c>
      <c r="H298" s="5">
        <v>100</v>
      </c>
      <c r="I298" s="5">
        <v>100</v>
      </c>
      <c r="J298" s="5">
        <v>1890</v>
      </c>
      <c r="K298" s="5">
        <v>60</v>
      </c>
      <c r="L298" s="5">
        <v>60</v>
      </c>
      <c r="M298" s="5">
        <v>0.18</v>
      </c>
      <c r="N298" s="5">
        <v>0.17998400000000001</v>
      </c>
      <c r="O298" s="5">
        <v>1</v>
      </c>
      <c r="P298" s="5">
        <v>1.068962</v>
      </c>
      <c r="Q298" s="5">
        <v>-4.74</v>
      </c>
      <c r="R298" s="5">
        <v>-4.7351070000000002</v>
      </c>
      <c r="S298" s="5">
        <v>161.62</v>
      </c>
      <c r="T298" s="5">
        <v>161.625</v>
      </c>
      <c r="U298" s="5">
        <v>3.5</v>
      </c>
      <c r="V298" s="5">
        <v>3.5</v>
      </c>
      <c r="W298" s="5">
        <v>300</v>
      </c>
      <c r="X298" s="5">
        <v>300</v>
      </c>
      <c r="Y298" s="5">
        <v>3.5</v>
      </c>
      <c r="Z298" s="5">
        <v>3.5</v>
      </c>
      <c r="AA298" s="5">
        <v>300</v>
      </c>
      <c r="AB298" s="5">
        <v>300</v>
      </c>
      <c r="AC298" s="5">
        <v>0</v>
      </c>
      <c r="AD298" s="5">
        <v>163.25919999999999</v>
      </c>
      <c r="AE298" s="5">
        <v>0</v>
      </c>
      <c r="AF298" s="5">
        <v>122.49039999999999</v>
      </c>
      <c r="AG298" s="5">
        <v>37</v>
      </c>
      <c r="AH298" s="5">
        <v>0.17</v>
      </c>
      <c r="AI298" s="5">
        <v>92.61</v>
      </c>
      <c r="AJ298" s="5">
        <v>122.01</v>
      </c>
      <c r="AK298" s="5">
        <v>253.99</v>
      </c>
      <c r="AL298" s="5">
        <v>252.94</v>
      </c>
      <c r="AM298" s="5">
        <v>462.46</v>
      </c>
      <c r="AN298" s="5">
        <v>251.29599999999999</v>
      </c>
      <c r="AO298" s="5">
        <v>151.22</v>
      </c>
      <c r="AP298" s="5">
        <v>152.74</v>
      </c>
      <c r="AQ298" s="5">
        <v>168.6</v>
      </c>
      <c r="AR298" s="5">
        <v>679.75</v>
      </c>
      <c r="AS298" s="5">
        <v>102.77</v>
      </c>
      <c r="AT298" s="5">
        <v>74.62</v>
      </c>
      <c r="AU298" s="5">
        <v>130.80000000000001</v>
      </c>
      <c r="AV298" s="5">
        <v>122.88</v>
      </c>
      <c r="AW298" s="5">
        <v>0.20599999999999999</v>
      </c>
      <c r="AX298" s="5">
        <v>2.88</v>
      </c>
      <c r="AY298" s="5">
        <v>10000000000</v>
      </c>
      <c r="AZ298" s="5">
        <v>86.44</v>
      </c>
      <c r="BA298" s="5">
        <v>28.75</v>
      </c>
      <c r="BB298" s="5">
        <v>7.08</v>
      </c>
      <c r="BC298" s="5">
        <v>1.64</v>
      </c>
      <c r="BD298" s="5">
        <v>10.89</v>
      </c>
      <c r="BE298" s="5">
        <v>1.9</v>
      </c>
      <c r="BF298" s="5">
        <v>185.33</v>
      </c>
      <c r="BG298" s="5">
        <v>23.24</v>
      </c>
      <c r="BH298" s="5">
        <v>10000000000</v>
      </c>
      <c r="BI298" s="5">
        <v>253.3</v>
      </c>
      <c r="BJ298" s="5">
        <v>30.3</v>
      </c>
      <c r="BK298" s="5">
        <v>83.8</v>
      </c>
      <c r="BL298" s="5">
        <v>205.71</v>
      </c>
      <c r="BM298" s="5">
        <v>2.66</v>
      </c>
      <c r="BN298" s="5">
        <v>30.49</v>
      </c>
      <c r="BO298" s="5">
        <v>35.5</v>
      </c>
      <c r="BP298" s="5">
        <v>702.07</v>
      </c>
      <c r="BQ298" s="5">
        <v>73.309219999999996</v>
      </c>
      <c r="BR298" s="5">
        <v>347.55509999999998</v>
      </c>
      <c r="BS298" s="5">
        <v>49.01117</v>
      </c>
      <c r="BT298" s="5">
        <v>55.671849999999999</v>
      </c>
      <c r="BU298" s="5">
        <v>54.369660000000003</v>
      </c>
      <c r="BV298" s="5">
        <v>0.112109</v>
      </c>
      <c r="BW298" s="5">
        <v>0.10192</v>
      </c>
      <c r="BX298" s="5">
        <v>72.096149999999994</v>
      </c>
      <c r="BY298" s="5">
        <v>18.995360000000002</v>
      </c>
      <c r="BZ298" s="5">
        <v>0</v>
      </c>
      <c r="CA298" s="5">
        <v>0.92625299999999999</v>
      </c>
      <c r="CB298" s="5">
        <v>926.80399999999997</v>
      </c>
      <c r="CC298" s="5">
        <v>948.76080000000002</v>
      </c>
      <c r="CD298" s="5">
        <v>79.099630000000005</v>
      </c>
      <c r="CE298" s="5">
        <v>466.98</v>
      </c>
      <c r="CF298" s="5">
        <v>105.87</v>
      </c>
      <c r="CG298" s="5">
        <v>124.75</v>
      </c>
      <c r="CH298" s="5">
        <v>419.9</v>
      </c>
      <c r="CI298" s="5">
        <v>433.1</v>
      </c>
      <c r="CJ298" s="5">
        <v>443.61</v>
      </c>
      <c r="CK298" s="5">
        <v>447.91</v>
      </c>
      <c r="CL298" s="5">
        <v>459.14</v>
      </c>
      <c r="CM298" s="5">
        <v>454.89</v>
      </c>
      <c r="CN298" s="5">
        <v>311.77999999999997</v>
      </c>
      <c r="CO298" s="5">
        <v>28.57</v>
      </c>
      <c r="CP298" s="5">
        <v>445.8</v>
      </c>
      <c r="CQ298" s="5">
        <v>448.05</v>
      </c>
      <c r="CR298" s="5">
        <v>8</v>
      </c>
      <c r="CS298" s="5">
        <v>8</v>
      </c>
      <c r="CT298" s="5">
        <v>24.5</v>
      </c>
      <c r="CU298" s="5">
        <v>39.25</v>
      </c>
      <c r="CV298" s="5">
        <v>100.77</v>
      </c>
      <c r="CW298" s="5">
        <v>0.8923565066341087</v>
      </c>
      <c r="CX298" s="5">
        <v>1.6954773626048065</v>
      </c>
    </row>
    <row r="299" spans="1:103" x14ac:dyDescent="0.25">
      <c r="A299" s="5">
        <v>6</v>
      </c>
      <c r="B299" s="23">
        <v>41397.669136307872</v>
      </c>
      <c r="C299" s="5">
        <v>11</v>
      </c>
      <c r="D299" s="5">
        <v>43</v>
      </c>
      <c r="E299" s="5">
        <v>440</v>
      </c>
      <c r="F299" s="5">
        <v>440</v>
      </c>
      <c r="G299" s="5">
        <v>440</v>
      </c>
      <c r="H299" s="5">
        <v>100</v>
      </c>
      <c r="I299" s="5">
        <v>100</v>
      </c>
      <c r="J299" s="5">
        <v>1890</v>
      </c>
      <c r="K299" s="5">
        <v>33</v>
      </c>
      <c r="L299" s="5">
        <v>33</v>
      </c>
      <c r="M299" s="5">
        <v>0.26</v>
      </c>
      <c r="N299" s="5">
        <v>0.25994800000000001</v>
      </c>
      <c r="O299" s="5">
        <v>1</v>
      </c>
      <c r="P299" s="5">
        <v>1.068964</v>
      </c>
      <c r="Q299" s="5">
        <v>-4.71</v>
      </c>
      <c r="R299" s="5">
        <v>-4.7131350000000003</v>
      </c>
      <c r="S299" s="5">
        <v>159.86000000000001</v>
      </c>
      <c r="T299" s="5">
        <v>159.85939999999999</v>
      </c>
      <c r="U299" s="5">
        <v>3.5</v>
      </c>
      <c r="V299" s="5">
        <v>3.5</v>
      </c>
      <c r="W299" s="5">
        <v>300</v>
      </c>
      <c r="X299" s="5">
        <v>300</v>
      </c>
      <c r="Y299" s="5">
        <v>3.5</v>
      </c>
      <c r="Z299" s="5">
        <v>3.5</v>
      </c>
      <c r="AA299" s="5">
        <v>300</v>
      </c>
      <c r="AB299" s="5">
        <v>300</v>
      </c>
      <c r="AC299" s="5">
        <v>0</v>
      </c>
      <c r="AD299" s="5">
        <v>121.4105</v>
      </c>
      <c r="AE299" s="5">
        <v>0</v>
      </c>
      <c r="AF299" s="5">
        <v>121.41079999999999</v>
      </c>
      <c r="AG299" s="5">
        <v>37</v>
      </c>
      <c r="AH299" s="5">
        <v>0.17</v>
      </c>
      <c r="AI299" s="5">
        <v>71.11</v>
      </c>
      <c r="AJ299" s="5">
        <v>99.41</v>
      </c>
      <c r="AK299" s="5">
        <v>112.15</v>
      </c>
      <c r="AL299" s="5">
        <v>113.04</v>
      </c>
      <c r="AM299" s="5">
        <v>505.82</v>
      </c>
      <c r="AN299" s="5">
        <v>186.24160000000001</v>
      </c>
      <c r="AO299" s="5">
        <v>84.92</v>
      </c>
      <c r="AP299" s="5">
        <v>106.59</v>
      </c>
      <c r="AQ299" s="5">
        <v>99.49</v>
      </c>
      <c r="AR299" s="5">
        <v>559.09</v>
      </c>
      <c r="AS299" s="5">
        <v>27.24</v>
      </c>
      <c r="AT299" s="5">
        <v>65.239999999999995</v>
      </c>
      <c r="AU299" s="5">
        <v>110.06</v>
      </c>
      <c r="AV299" s="5">
        <v>120.02</v>
      </c>
      <c r="AW299" s="5">
        <v>0.28799999999999998</v>
      </c>
      <c r="AX299" s="5">
        <v>4.13</v>
      </c>
      <c r="AY299" s="5">
        <v>10000000000</v>
      </c>
      <c r="AZ299" s="5">
        <v>176.37</v>
      </c>
      <c r="BA299" s="5">
        <v>47.31</v>
      </c>
      <c r="BB299" s="5">
        <v>7.88</v>
      </c>
      <c r="BC299" s="5">
        <v>1.36</v>
      </c>
      <c r="BD299" s="5">
        <v>9.77</v>
      </c>
      <c r="BE299" s="5">
        <v>2.02</v>
      </c>
      <c r="BF299" s="5">
        <v>238.58</v>
      </c>
      <c r="BG299" s="5">
        <v>17.21</v>
      </c>
      <c r="BH299" s="5">
        <v>10000000000</v>
      </c>
      <c r="BI299" s="5">
        <v>237.5</v>
      </c>
      <c r="BJ299" s="5">
        <v>27</v>
      </c>
      <c r="BK299" s="5">
        <v>85.1</v>
      </c>
      <c r="BL299" s="5">
        <v>116.24</v>
      </c>
      <c r="BM299" s="5">
        <v>1.99</v>
      </c>
      <c r="BN299" s="5">
        <v>30.22</v>
      </c>
      <c r="BO299" s="5">
        <v>36.25</v>
      </c>
      <c r="BP299" s="5">
        <v>579.80999999999995</v>
      </c>
      <c r="BQ299" s="5">
        <v>65.558909999999997</v>
      </c>
      <c r="BR299" s="5">
        <v>209.62440000000001</v>
      </c>
      <c r="BS299" s="5">
        <v>53.279530000000001</v>
      </c>
      <c r="BT299" s="5">
        <v>50.724379999999996</v>
      </c>
      <c r="BU299" s="5">
        <v>50.192810000000001</v>
      </c>
      <c r="BV299" s="5">
        <v>0.102911</v>
      </c>
      <c r="BW299" s="5">
        <v>0.101076</v>
      </c>
      <c r="BX299" s="5">
        <v>58.915050000000001</v>
      </c>
      <c r="BY299" s="5">
        <v>18.995360000000002</v>
      </c>
      <c r="BZ299" s="5">
        <v>0</v>
      </c>
      <c r="CA299" s="5">
        <v>0.92903400000000003</v>
      </c>
      <c r="CB299" s="5">
        <v>704.69500000000005</v>
      </c>
      <c r="CC299" s="5">
        <v>722.96619999999996</v>
      </c>
      <c r="CD299" s="5">
        <v>65.917969999999997</v>
      </c>
      <c r="CE299" s="5">
        <v>479.48</v>
      </c>
      <c r="CF299" s="5">
        <v>88.9</v>
      </c>
      <c r="CG299" s="5">
        <v>103.39</v>
      </c>
      <c r="CH299" s="5">
        <v>425.47</v>
      </c>
      <c r="CI299" s="5">
        <v>437.9</v>
      </c>
      <c r="CJ299" s="5">
        <v>446.83</v>
      </c>
      <c r="CK299" s="5">
        <v>484.13</v>
      </c>
      <c r="CL299" s="5">
        <v>471.91</v>
      </c>
      <c r="CM299" s="5">
        <v>474.37</v>
      </c>
      <c r="CN299" s="5">
        <v>393.4</v>
      </c>
      <c r="CO299" s="5">
        <v>26.55</v>
      </c>
      <c r="CP299" s="5">
        <v>437.8</v>
      </c>
      <c r="CQ299" s="5">
        <v>440.04</v>
      </c>
      <c r="CR299" s="5">
        <v>7.8</v>
      </c>
      <c r="CS299" s="5">
        <v>7.9</v>
      </c>
      <c r="CT299" s="5">
        <v>24.72</v>
      </c>
      <c r="CU299" s="5">
        <v>40.25</v>
      </c>
      <c r="CV299" s="5">
        <v>100.78</v>
      </c>
      <c r="CW299" s="5">
        <v>0.89051070450960046</v>
      </c>
      <c r="CX299" s="5">
        <v>1.798831623109393</v>
      </c>
    </row>
    <row r="300" spans="1:103" x14ac:dyDescent="0.25">
      <c r="A300" s="5">
        <v>4</v>
      </c>
      <c r="B300" s="23">
        <v>41397.658261273151</v>
      </c>
      <c r="C300" s="5">
        <v>11</v>
      </c>
      <c r="D300" s="5">
        <v>41</v>
      </c>
      <c r="E300" s="5">
        <v>429</v>
      </c>
      <c r="F300" s="5">
        <v>429</v>
      </c>
      <c r="G300" s="5">
        <v>429</v>
      </c>
      <c r="H300" s="5">
        <v>100</v>
      </c>
      <c r="I300" s="5">
        <v>100</v>
      </c>
      <c r="J300" s="5">
        <v>1890</v>
      </c>
      <c r="K300" s="5">
        <v>54</v>
      </c>
      <c r="L300" s="5">
        <v>54</v>
      </c>
      <c r="M300" s="5">
        <v>0.24</v>
      </c>
      <c r="N300" s="5">
        <v>0.23995</v>
      </c>
      <c r="O300" s="5">
        <v>1</v>
      </c>
      <c r="P300" s="5">
        <v>1.0689500000000001</v>
      </c>
      <c r="Q300" s="5">
        <v>-4.67</v>
      </c>
      <c r="R300" s="5">
        <v>-4.6691890000000003</v>
      </c>
      <c r="S300" s="5">
        <v>157.43</v>
      </c>
      <c r="T300" s="5">
        <v>157.4375</v>
      </c>
      <c r="U300" s="5">
        <v>3.5</v>
      </c>
      <c r="V300" s="5">
        <v>3.5</v>
      </c>
      <c r="W300" s="5">
        <v>300</v>
      </c>
      <c r="X300" s="5">
        <v>300</v>
      </c>
      <c r="Y300" s="5">
        <v>3.5</v>
      </c>
      <c r="Z300" s="5">
        <v>3.5</v>
      </c>
      <c r="AA300" s="5">
        <v>300</v>
      </c>
      <c r="AB300" s="5">
        <v>300</v>
      </c>
      <c r="AC300" s="5">
        <v>0</v>
      </c>
      <c r="AD300" s="5">
        <v>141.7698</v>
      </c>
      <c r="AE300" s="5">
        <v>0</v>
      </c>
      <c r="AF300" s="5">
        <v>122.4889</v>
      </c>
      <c r="AG300" s="5">
        <v>37</v>
      </c>
      <c r="AH300" s="5">
        <v>0.17</v>
      </c>
      <c r="AI300" s="5">
        <v>82.74</v>
      </c>
      <c r="AJ300" s="5">
        <v>111.65</v>
      </c>
      <c r="AK300" s="5">
        <v>182.69</v>
      </c>
      <c r="AL300" s="5">
        <v>181.66</v>
      </c>
      <c r="AM300" s="5">
        <v>466.18</v>
      </c>
      <c r="AN300" s="5">
        <v>222.0384</v>
      </c>
      <c r="AO300" s="5">
        <v>121.75</v>
      </c>
      <c r="AP300" s="5">
        <v>132.61000000000001</v>
      </c>
      <c r="AQ300" s="5">
        <v>137.22</v>
      </c>
      <c r="AR300" s="5">
        <v>599.38</v>
      </c>
      <c r="AS300" s="5">
        <v>60.94</v>
      </c>
      <c r="AT300" s="5">
        <v>73.63</v>
      </c>
      <c r="AU300" s="5">
        <v>127.89</v>
      </c>
      <c r="AV300" s="5">
        <v>121.61</v>
      </c>
      <c r="AW300" s="5">
        <v>0.27700000000000002</v>
      </c>
      <c r="AX300" s="5">
        <v>3.96</v>
      </c>
      <c r="AY300" s="5">
        <v>10000000000</v>
      </c>
      <c r="AZ300" s="5">
        <v>202.31</v>
      </c>
      <c r="BA300" s="5">
        <v>62.05</v>
      </c>
      <c r="BB300" s="5">
        <v>7.39</v>
      </c>
      <c r="BC300" s="5">
        <v>1.78</v>
      </c>
      <c r="BD300" s="5">
        <v>10.37</v>
      </c>
      <c r="BE300" s="5">
        <v>1.55</v>
      </c>
      <c r="BF300" s="5">
        <v>164.72</v>
      </c>
      <c r="BG300" s="5">
        <v>24.11</v>
      </c>
      <c r="BH300" s="5">
        <v>10000000000</v>
      </c>
      <c r="BI300" s="5">
        <v>246.2</v>
      </c>
      <c r="BJ300" s="5">
        <v>28.7</v>
      </c>
      <c r="BK300" s="5">
        <v>84.1</v>
      </c>
      <c r="BL300" s="5">
        <v>190.52</v>
      </c>
      <c r="BM300" s="5">
        <v>2.36</v>
      </c>
      <c r="BN300" s="5">
        <v>30.63</v>
      </c>
      <c r="BO300" s="5">
        <v>35.840000000000003</v>
      </c>
      <c r="BP300" s="5">
        <v>620.58000000000004</v>
      </c>
      <c r="BQ300" s="5">
        <v>72.348590000000002</v>
      </c>
      <c r="BR300" s="5">
        <v>275.2346</v>
      </c>
      <c r="BS300" s="5">
        <v>52.549579999999999</v>
      </c>
      <c r="BT300" s="5">
        <v>58.151510000000002</v>
      </c>
      <c r="BU300" s="5">
        <v>56.920020000000001</v>
      </c>
      <c r="BV300" s="5">
        <v>0.105325</v>
      </c>
      <c r="BW300" s="5">
        <v>9.5545000000000005E-2</v>
      </c>
      <c r="BX300" s="5">
        <v>60.70026</v>
      </c>
      <c r="BY300" s="5">
        <v>18.995360000000002</v>
      </c>
      <c r="BZ300" s="5">
        <v>0</v>
      </c>
      <c r="CA300" s="5">
        <v>0.92865900000000001</v>
      </c>
      <c r="CB300" s="5">
        <v>823.31089999999995</v>
      </c>
      <c r="CC300" s="5">
        <v>842.08939999999996</v>
      </c>
      <c r="CD300" s="5">
        <v>67.70026</v>
      </c>
      <c r="CE300" s="5">
        <v>466.35</v>
      </c>
      <c r="CF300" s="5">
        <v>103.21</v>
      </c>
      <c r="CG300" s="5">
        <v>121.24</v>
      </c>
      <c r="CH300" s="5">
        <v>415.02</v>
      </c>
      <c r="CI300" s="5">
        <v>422.62</v>
      </c>
      <c r="CJ300" s="5">
        <v>434.22</v>
      </c>
      <c r="CK300" s="5">
        <v>459</v>
      </c>
      <c r="CL300" s="5">
        <v>452.81</v>
      </c>
      <c r="CM300" s="5">
        <v>456.16</v>
      </c>
      <c r="CN300" s="5">
        <v>330.74</v>
      </c>
      <c r="CO300" s="5">
        <v>27.98</v>
      </c>
      <c r="CP300" s="5">
        <v>426.9</v>
      </c>
      <c r="CQ300" s="5">
        <v>429.05</v>
      </c>
      <c r="CR300" s="5">
        <v>7.6</v>
      </c>
      <c r="CS300" s="5">
        <v>7.7</v>
      </c>
      <c r="CT300" s="5">
        <v>24.77</v>
      </c>
      <c r="CU300" s="5">
        <v>39.85</v>
      </c>
      <c r="CV300" s="5">
        <v>100.79</v>
      </c>
      <c r="CW300" s="5">
        <v>0.89216349184533628</v>
      </c>
      <c r="CX300" s="5">
        <v>1.3828534123602714</v>
      </c>
    </row>
    <row r="301" spans="1:103" x14ac:dyDescent="0.25">
      <c r="A301" s="5">
        <v>2</v>
      </c>
      <c r="B301" s="23">
        <v>41397.647392013889</v>
      </c>
      <c r="C301" s="5">
        <v>11</v>
      </c>
      <c r="D301" s="5">
        <v>39</v>
      </c>
      <c r="E301" s="5">
        <v>417</v>
      </c>
      <c r="F301" s="5">
        <v>417</v>
      </c>
      <c r="G301" s="5">
        <v>417.1</v>
      </c>
      <c r="H301" s="5">
        <v>100</v>
      </c>
      <c r="I301" s="5">
        <v>100</v>
      </c>
      <c r="J301" s="5">
        <v>1890</v>
      </c>
      <c r="K301" s="5">
        <v>23</v>
      </c>
      <c r="L301" s="5">
        <v>23</v>
      </c>
      <c r="M301" s="5">
        <v>0.15</v>
      </c>
      <c r="N301" s="5">
        <v>0.149979</v>
      </c>
      <c r="O301" s="5">
        <v>1</v>
      </c>
      <c r="P301" s="5">
        <v>1.068953</v>
      </c>
      <c r="Q301" s="5">
        <v>-4.63</v>
      </c>
      <c r="R301" s="5">
        <v>-4.6252440000000004</v>
      </c>
      <c r="S301" s="5">
        <v>154.78</v>
      </c>
      <c r="T301" s="5">
        <v>154.78129999999999</v>
      </c>
      <c r="U301" s="5">
        <v>3.5</v>
      </c>
      <c r="V301" s="5">
        <v>3.5</v>
      </c>
      <c r="W301" s="5">
        <v>300</v>
      </c>
      <c r="X301" s="5">
        <v>300</v>
      </c>
      <c r="Y301" s="5">
        <v>3.5</v>
      </c>
      <c r="Z301" s="5">
        <v>3.5</v>
      </c>
      <c r="AA301" s="5">
        <v>300</v>
      </c>
      <c r="AB301" s="5">
        <v>300</v>
      </c>
      <c r="AC301" s="5">
        <v>0</v>
      </c>
      <c r="AD301" s="5">
        <v>112.4228</v>
      </c>
      <c r="AE301" s="5">
        <v>0</v>
      </c>
      <c r="AF301" s="5">
        <v>112.4238</v>
      </c>
      <c r="AG301" s="5">
        <v>37</v>
      </c>
      <c r="AH301" s="5">
        <v>0.17</v>
      </c>
      <c r="AI301" s="5">
        <v>65.37</v>
      </c>
      <c r="AJ301" s="5">
        <v>93.94</v>
      </c>
      <c r="AK301" s="5">
        <v>93.21</v>
      </c>
      <c r="AL301" s="5">
        <v>95.35</v>
      </c>
      <c r="AM301" s="5">
        <v>513.29999999999995</v>
      </c>
      <c r="AN301" s="5">
        <v>168.9171</v>
      </c>
      <c r="AO301" s="5">
        <v>67.52</v>
      </c>
      <c r="AP301" s="5">
        <v>96.02</v>
      </c>
      <c r="AQ301" s="5">
        <v>81.89</v>
      </c>
      <c r="AR301" s="5">
        <v>550.58000000000004</v>
      </c>
      <c r="AS301" s="5">
        <v>25.69</v>
      </c>
      <c r="AT301" s="5">
        <v>59.13</v>
      </c>
      <c r="AU301" s="5">
        <v>99.69</v>
      </c>
      <c r="AV301" s="5">
        <v>120.22</v>
      </c>
      <c r="AW301" s="5">
        <v>0.224</v>
      </c>
      <c r="AX301" s="5">
        <v>3.15</v>
      </c>
      <c r="AY301" s="5">
        <v>10000000000</v>
      </c>
      <c r="AZ301" s="5">
        <v>153.13999999999999</v>
      </c>
      <c r="BA301" s="5">
        <v>47.67</v>
      </c>
      <c r="BB301" s="5">
        <v>7.6</v>
      </c>
      <c r="BC301" s="5">
        <v>0.86</v>
      </c>
      <c r="BD301" s="5">
        <v>10.130000000000001</v>
      </c>
      <c r="BE301" s="5">
        <v>2.89</v>
      </c>
      <c r="BF301" s="5">
        <v>327.38</v>
      </c>
      <c r="BG301" s="5">
        <v>11.31</v>
      </c>
      <c r="BH301" s="5">
        <v>10000000000</v>
      </c>
      <c r="BI301" s="5">
        <v>239.8</v>
      </c>
      <c r="BJ301" s="5">
        <v>27.8</v>
      </c>
      <c r="BK301" s="5">
        <v>86.1</v>
      </c>
      <c r="BL301" s="5">
        <v>70.2</v>
      </c>
      <c r="BM301" s="5">
        <v>1.81</v>
      </c>
      <c r="BN301" s="5">
        <v>29.77</v>
      </c>
      <c r="BO301" s="5">
        <v>36.049999999999997</v>
      </c>
      <c r="BP301" s="5">
        <v>570.29999999999995</v>
      </c>
      <c r="BQ301" s="5">
        <v>59.975679999999997</v>
      </c>
      <c r="BR301" s="5">
        <v>194.59700000000001</v>
      </c>
      <c r="BS301" s="5">
        <v>54.238199999999999</v>
      </c>
      <c r="BT301" s="5">
        <v>48.545380000000002</v>
      </c>
      <c r="BU301" s="5">
        <v>48.211689999999997</v>
      </c>
      <c r="BV301" s="5">
        <v>9.9736000000000005E-2</v>
      </c>
      <c r="BW301" s="5">
        <v>0.100975</v>
      </c>
      <c r="BX301" s="5">
        <v>56.572029999999998</v>
      </c>
      <c r="BY301" s="5">
        <v>18.995360000000002</v>
      </c>
      <c r="BZ301" s="5">
        <v>0</v>
      </c>
      <c r="CA301" s="5">
        <v>0.92952900000000005</v>
      </c>
      <c r="CB301" s="5">
        <v>650.19650000000001</v>
      </c>
      <c r="CC301" s="5">
        <v>667.81790000000001</v>
      </c>
      <c r="CD301" s="5">
        <v>63.572650000000003</v>
      </c>
      <c r="CE301" s="5">
        <v>464.08</v>
      </c>
      <c r="CF301" s="5">
        <v>80.09</v>
      </c>
      <c r="CG301" s="5">
        <v>92.99</v>
      </c>
      <c r="CH301" s="5">
        <v>431.3</v>
      </c>
      <c r="CI301" s="5">
        <v>440.67</v>
      </c>
      <c r="CJ301" s="5">
        <v>452.25</v>
      </c>
      <c r="CK301" s="5">
        <v>481.94</v>
      </c>
      <c r="CL301" s="5">
        <v>472.7</v>
      </c>
      <c r="CM301" s="5">
        <v>481.56</v>
      </c>
      <c r="CN301" s="5">
        <v>409.65</v>
      </c>
      <c r="CO301" s="5">
        <v>26.33</v>
      </c>
      <c r="CP301" s="5">
        <v>415</v>
      </c>
      <c r="CQ301" s="5">
        <v>417.05</v>
      </c>
      <c r="CR301" s="5">
        <v>7.4</v>
      </c>
      <c r="CS301" s="5">
        <v>7.5</v>
      </c>
      <c r="CT301" s="5">
        <v>25.38</v>
      </c>
      <c r="CU301" s="5">
        <v>37.97</v>
      </c>
      <c r="CV301" s="5">
        <v>100.8</v>
      </c>
      <c r="CW301" s="5">
        <v>0.88876153166109895</v>
      </c>
      <c r="CX301" s="5">
        <v>2.5685208265005759</v>
      </c>
    </row>
    <row r="302" spans="1:103" x14ac:dyDescent="0.25">
      <c r="A302" s="5">
        <v>1</v>
      </c>
      <c r="B302" s="23">
        <v>41397.641961504632</v>
      </c>
      <c r="C302" s="5">
        <v>11</v>
      </c>
      <c r="D302" s="5">
        <v>38</v>
      </c>
      <c r="E302" s="5">
        <v>409</v>
      </c>
      <c r="F302" s="5">
        <v>409</v>
      </c>
      <c r="G302" s="5">
        <v>409</v>
      </c>
      <c r="H302" s="5">
        <v>100</v>
      </c>
      <c r="I302" s="5">
        <v>100</v>
      </c>
      <c r="J302" s="5">
        <v>1890</v>
      </c>
      <c r="K302" s="5">
        <v>58</v>
      </c>
      <c r="L302" s="5">
        <v>58</v>
      </c>
      <c r="M302" s="5">
        <v>0.1</v>
      </c>
      <c r="N302" s="5">
        <v>9.9984000000000003E-2</v>
      </c>
      <c r="O302" s="5">
        <v>1</v>
      </c>
      <c r="P302" s="5">
        <v>1.068983</v>
      </c>
      <c r="Q302" s="5">
        <v>-4.5999999999999996</v>
      </c>
      <c r="R302" s="5">
        <v>-4.6032710000000003</v>
      </c>
      <c r="S302" s="5">
        <v>153.02000000000001</v>
      </c>
      <c r="T302" s="5">
        <v>153.01560000000001</v>
      </c>
      <c r="U302" s="5">
        <v>3.5</v>
      </c>
      <c r="V302" s="5">
        <v>3.5</v>
      </c>
      <c r="W302" s="5">
        <v>300</v>
      </c>
      <c r="X302" s="5">
        <v>300</v>
      </c>
      <c r="Y302" s="5">
        <v>3.5</v>
      </c>
      <c r="Z302" s="5">
        <v>3.5</v>
      </c>
      <c r="AA302" s="5">
        <v>300</v>
      </c>
      <c r="AB302" s="5">
        <v>300</v>
      </c>
      <c r="AC302" s="5">
        <v>0</v>
      </c>
      <c r="AD302" s="5">
        <v>163.62520000000001</v>
      </c>
      <c r="AE302" s="5">
        <v>0</v>
      </c>
      <c r="AF302" s="5">
        <v>122.4928</v>
      </c>
      <c r="AG302" s="5">
        <v>37</v>
      </c>
      <c r="AH302" s="5">
        <v>0.17</v>
      </c>
      <c r="AI302" s="5">
        <v>91.55</v>
      </c>
      <c r="AJ302" s="5">
        <v>125.67</v>
      </c>
      <c r="AK302" s="5">
        <v>266.16000000000003</v>
      </c>
      <c r="AL302" s="5">
        <v>267.27999999999997</v>
      </c>
      <c r="AM302" s="5">
        <v>445.1</v>
      </c>
      <c r="AN302" s="5">
        <v>245.4085</v>
      </c>
      <c r="AO302" s="5">
        <v>144.66999999999999</v>
      </c>
      <c r="AP302" s="5">
        <v>159.54</v>
      </c>
      <c r="AQ302" s="5">
        <v>163.71</v>
      </c>
      <c r="AR302" s="5">
        <v>756.56</v>
      </c>
      <c r="AS302" s="5">
        <v>121.48</v>
      </c>
      <c r="AT302" s="5">
        <v>64.19</v>
      </c>
      <c r="AU302" s="5">
        <v>107.94</v>
      </c>
      <c r="AV302" s="5">
        <v>121.31</v>
      </c>
      <c r="AW302" s="5">
        <v>8.1000000000000003E-2</v>
      </c>
      <c r="AX302" s="5">
        <v>1.08</v>
      </c>
      <c r="AY302" s="5">
        <v>10000000000</v>
      </c>
      <c r="AZ302" s="5">
        <v>121.84</v>
      </c>
      <c r="BA302" s="5">
        <v>50.79</v>
      </c>
      <c r="BB302" s="5">
        <v>6.08</v>
      </c>
      <c r="BC302" s="5">
        <v>0.87</v>
      </c>
      <c r="BD302" s="5">
        <v>12.27</v>
      </c>
      <c r="BE302" s="5">
        <v>3.6</v>
      </c>
      <c r="BF302" s="5">
        <v>281.13</v>
      </c>
      <c r="BG302" s="5">
        <v>14.39</v>
      </c>
      <c r="BH302" s="5">
        <v>10000000000</v>
      </c>
      <c r="BI302" s="5">
        <v>261.3</v>
      </c>
      <c r="BJ302" s="5">
        <v>35.799999999999997</v>
      </c>
      <c r="BK302" s="5">
        <v>85.3</v>
      </c>
      <c r="BL302" s="5">
        <v>127.27</v>
      </c>
      <c r="BM302" s="5">
        <v>2.61</v>
      </c>
      <c r="BN302" s="5">
        <v>29.77</v>
      </c>
      <c r="BO302" s="5">
        <v>34.520000000000003</v>
      </c>
      <c r="BP302" s="5">
        <v>778.05</v>
      </c>
      <c r="BQ302" s="5">
        <v>64.573130000000006</v>
      </c>
      <c r="BR302" s="5">
        <v>366.74079999999998</v>
      </c>
      <c r="BS302" s="5">
        <v>51.690910000000002</v>
      </c>
      <c r="BT302" s="5">
        <v>64.062160000000006</v>
      </c>
      <c r="BU302" s="5">
        <v>62.160339999999998</v>
      </c>
      <c r="BV302" s="5">
        <v>0.10813</v>
      </c>
      <c r="BW302" s="5">
        <v>9.3422000000000005E-2</v>
      </c>
      <c r="BX302" s="5">
        <v>62.815469999999998</v>
      </c>
      <c r="BY302" s="5">
        <v>18.995360000000002</v>
      </c>
      <c r="BZ302" s="5">
        <v>0</v>
      </c>
      <c r="CA302" s="5">
        <v>0.92821299999999995</v>
      </c>
      <c r="CB302" s="5">
        <v>930.46420000000001</v>
      </c>
      <c r="CC302" s="5">
        <v>949.83150000000001</v>
      </c>
      <c r="CD302" s="5">
        <v>69.819059999999993</v>
      </c>
      <c r="CE302" s="5">
        <v>433.55</v>
      </c>
      <c r="CF302" s="5">
        <v>87.61</v>
      </c>
      <c r="CG302" s="5">
        <v>101.32</v>
      </c>
      <c r="CH302" s="5">
        <v>416.27</v>
      </c>
      <c r="CI302" s="5">
        <v>418.02</v>
      </c>
      <c r="CJ302" s="5">
        <v>428.73</v>
      </c>
      <c r="CK302" s="5">
        <v>442.89</v>
      </c>
      <c r="CL302" s="5">
        <v>433.02</v>
      </c>
      <c r="CM302" s="5">
        <v>437.5</v>
      </c>
      <c r="CN302" s="5">
        <v>295.45</v>
      </c>
      <c r="CO302" s="5">
        <v>30.23</v>
      </c>
      <c r="CP302" s="5">
        <v>408.1</v>
      </c>
      <c r="CQ302" s="5">
        <v>409.05</v>
      </c>
      <c r="CR302" s="5">
        <v>7.3</v>
      </c>
      <c r="CS302" s="5">
        <v>7.3</v>
      </c>
      <c r="CT302" s="5">
        <v>25.37</v>
      </c>
      <c r="CU302" s="5">
        <v>27.16</v>
      </c>
      <c r="CV302" s="5">
        <v>100.81</v>
      </c>
      <c r="CW302" s="5">
        <v>0.87087589741278382</v>
      </c>
      <c r="CX302" s="5">
        <v>3.1351532306860217</v>
      </c>
    </row>
    <row r="303" spans="1:103" x14ac:dyDescent="0.25">
      <c r="A303" s="5">
        <v>39</v>
      </c>
      <c r="B303" s="23">
        <v>7.0115740740740737E-3</v>
      </c>
      <c r="C303" s="5">
        <v>11</v>
      </c>
      <c r="D303" s="5">
        <v>36</v>
      </c>
      <c r="E303" s="5">
        <v>397</v>
      </c>
      <c r="F303" s="5">
        <v>397</v>
      </c>
      <c r="G303" s="5">
        <v>397</v>
      </c>
      <c r="H303" s="5">
        <v>100</v>
      </c>
      <c r="I303" s="5">
        <v>100</v>
      </c>
      <c r="J303" s="5">
        <v>1890</v>
      </c>
      <c r="K303" s="5">
        <v>22</v>
      </c>
      <c r="L303" s="5">
        <v>22</v>
      </c>
      <c r="M303" s="5">
        <v>0.1</v>
      </c>
      <c r="N303" s="5">
        <v>0.100059</v>
      </c>
      <c r="O303" s="5">
        <v>1</v>
      </c>
      <c r="P303" s="5">
        <v>1.0695490000000001</v>
      </c>
      <c r="Q303" s="5">
        <v>-4.57</v>
      </c>
      <c r="R303" s="5">
        <v>-4.5703129999999996</v>
      </c>
      <c r="S303" s="5">
        <v>150.55000000000001</v>
      </c>
      <c r="T303" s="5">
        <v>150.54689999999999</v>
      </c>
      <c r="U303" s="5">
        <v>3.5</v>
      </c>
      <c r="V303" s="5">
        <v>3.5</v>
      </c>
      <c r="W303" s="5">
        <v>300</v>
      </c>
      <c r="X303" s="5">
        <v>300</v>
      </c>
      <c r="Y303" s="5">
        <v>3.5</v>
      </c>
      <c r="Z303" s="5">
        <v>3.5</v>
      </c>
      <c r="AA303" s="5">
        <v>300</v>
      </c>
      <c r="AB303" s="5">
        <v>300</v>
      </c>
      <c r="AC303" s="5">
        <v>0</v>
      </c>
      <c r="AD303" s="5">
        <v>111.0086</v>
      </c>
      <c r="AE303" s="5">
        <v>0</v>
      </c>
      <c r="AF303" s="5">
        <v>111.0086</v>
      </c>
      <c r="AG303" s="5">
        <v>37</v>
      </c>
      <c r="AH303" s="5">
        <v>0.17</v>
      </c>
      <c r="AI303" s="5">
        <v>64.06</v>
      </c>
      <c r="AJ303" s="5">
        <v>92.94</v>
      </c>
      <c r="AK303" s="5">
        <v>91.66</v>
      </c>
      <c r="AL303" s="5">
        <v>94.47</v>
      </c>
      <c r="AM303" s="5">
        <v>502.63</v>
      </c>
      <c r="AN303" s="5">
        <v>164.98230000000001</v>
      </c>
      <c r="AO303" s="5">
        <v>62.42</v>
      </c>
      <c r="AP303" s="5">
        <v>94.57</v>
      </c>
      <c r="AQ303" s="5">
        <v>78.37</v>
      </c>
      <c r="AR303" s="5">
        <v>555.54999999999995</v>
      </c>
      <c r="AS303" s="5">
        <v>29.25</v>
      </c>
      <c r="AT303" s="5">
        <v>55.09</v>
      </c>
      <c r="AU303" s="5">
        <v>97.55</v>
      </c>
      <c r="AV303" s="5">
        <v>113.75</v>
      </c>
      <c r="AW303" s="5">
        <v>0.152</v>
      </c>
      <c r="AX303" s="5">
        <v>2.1</v>
      </c>
      <c r="AY303" s="5">
        <v>10000000000</v>
      </c>
      <c r="AZ303" s="5">
        <v>136.93</v>
      </c>
      <c r="BA303" s="5">
        <v>51.87</v>
      </c>
      <c r="BB303" s="5">
        <v>7.24</v>
      </c>
      <c r="BC303" s="5">
        <v>0.62</v>
      </c>
      <c r="BD303" s="5">
        <v>10.67</v>
      </c>
      <c r="BE303" s="5">
        <v>3.63</v>
      </c>
      <c r="BF303" s="5">
        <v>384.6</v>
      </c>
      <c r="BG303" s="5">
        <v>8.6199999999999992</v>
      </c>
      <c r="BH303" s="5">
        <v>10000000000</v>
      </c>
      <c r="BI303" s="5">
        <v>240.1</v>
      </c>
      <c r="BJ303" s="5">
        <v>29.5</v>
      </c>
      <c r="BK303" s="5">
        <v>86.3</v>
      </c>
      <c r="BL303" s="5">
        <v>52.41</v>
      </c>
      <c r="BM303" s="5">
        <v>1.77</v>
      </c>
      <c r="BN303" s="5">
        <v>29.55</v>
      </c>
      <c r="BO303" s="5">
        <v>35.67</v>
      </c>
      <c r="BP303" s="5">
        <v>574.83000000000004</v>
      </c>
      <c r="BQ303" s="5">
        <v>56.54177</v>
      </c>
      <c r="BR303" s="5">
        <v>193.61340000000001</v>
      </c>
      <c r="BS303" s="5">
        <v>55.087420000000002</v>
      </c>
      <c r="BT303" s="5">
        <v>49.762239999999998</v>
      </c>
      <c r="BU303" s="5">
        <v>49.391150000000003</v>
      </c>
      <c r="BV303" s="5">
        <v>9.6930000000000002E-2</v>
      </c>
      <c r="BW303" s="5">
        <v>9.7845000000000001E-2</v>
      </c>
      <c r="BX303" s="5">
        <v>54.499319999999997</v>
      </c>
      <c r="BY303" s="5">
        <v>18.995360000000002</v>
      </c>
      <c r="BZ303" s="5">
        <v>0</v>
      </c>
      <c r="CA303" s="5">
        <v>0.92996900000000005</v>
      </c>
      <c r="CB303" s="5">
        <v>641.99040000000002</v>
      </c>
      <c r="CC303" s="5">
        <v>659.03890000000001</v>
      </c>
      <c r="CD303" s="5">
        <v>61.494370000000004</v>
      </c>
      <c r="CE303" s="5">
        <v>435.95</v>
      </c>
      <c r="CF303" s="5">
        <v>76.12</v>
      </c>
      <c r="CG303" s="5">
        <v>90.11</v>
      </c>
      <c r="CH303" s="5">
        <v>418.5</v>
      </c>
      <c r="CI303" s="5">
        <v>428.16</v>
      </c>
      <c r="CJ303" s="5">
        <v>443.9</v>
      </c>
      <c r="CK303" s="5">
        <v>481.97</v>
      </c>
      <c r="CL303" s="5">
        <v>466.34</v>
      </c>
      <c r="CM303" s="5">
        <v>467.47</v>
      </c>
      <c r="CN303" s="5">
        <v>403.29</v>
      </c>
      <c r="CO303" s="5">
        <v>27.8</v>
      </c>
      <c r="CP303" s="5">
        <v>395</v>
      </c>
      <c r="CQ303" s="5">
        <v>397.04</v>
      </c>
      <c r="CR303" s="5">
        <v>7.1</v>
      </c>
      <c r="CS303" s="5">
        <v>7.1</v>
      </c>
      <c r="CT303" s="5">
        <v>25.82</v>
      </c>
      <c r="CU303" s="5">
        <v>25.49</v>
      </c>
      <c r="CV303" s="5">
        <v>101.39</v>
      </c>
      <c r="CW303" s="5">
        <v>0.85867058608505076</v>
      </c>
      <c r="CX303" s="5">
        <v>3.116974227488734</v>
      </c>
    </row>
    <row r="304" spans="1:103" x14ac:dyDescent="0.25">
      <c r="A304" s="5">
        <v>38</v>
      </c>
      <c r="B304" s="23">
        <v>1.5752314814814815E-3</v>
      </c>
      <c r="C304" s="5">
        <v>11</v>
      </c>
      <c r="D304" s="5">
        <v>35</v>
      </c>
      <c r="E304" s="5">
        <v>393</v>
      </c>
      <c r="F304" s="5">
        <v>393</v>
      </c>
      <c r="G304" s="5">
        <v>393</v>
      </c>
      <c r="H304" s="5">
        <v>100</v>
      </c>
      <c r="I304" s="5">
        <v>100</v>
      </c>
      <c r="J304" s="5">
        <v>1890</v>
      </c>
      <c r="K304" s="5">
        <v>13</v>
      </c>
      <c r="L304" s="5">
        <v>13</v>
      </c>
      <c r="M304" s="5">
        <v>0.24</v>
      </c>
      <c r="N304" s="5">
        <v>0.24002899999999999</v>
      </c>
      <c r="O304" s="5">
        <v>1</v>
      </c>
      <c r="P304" s="5">
        <v>1.0694650000000001</v>
      </c>
      <c r="Q304" s="5">
        <v>-4.57</v>
      </c>
      <c r="R304" s="5">
        <v>-4.5703129999999996</v>
      </c>
      <c r="S304" s="5">
        <v>149.91</v>
      </c>
      <c r="T304" s="5">
        <v>149.90629999999999</v>
      </c>
      <c r="U304" s="5">
        <v>3.5</v>
      </c>
      <c r="V304" s="5">
        <v>3.5</v>
      </c>
      <c r="W304" s="5">
        <v>300</v>
      </c>
      <c r="X304" s="5">
        <v>300</v>
      </c>
      <c r="Y304" s="5">
        <v>3.5</v>
      </c>
      <c r="Z304" s="5">
        <v>3.5</v>
      </c>
      <c r="AA304" s="5">
        <v>300</v>
      </c>
      <c r="AB304" s="5">
        <v>300</v>
      </c>
      <c r="AC304" s="5">
        <v>0</v>
      </c>
      <c r="AD304" s="5">
        <v>100.7193</v>
      </c>
      <c r="AE304" s="5">
        <v>0</v>
      </c>
      <c r="AF304" s="5">
        <v>100.7193</v>
      </c>
      <c r="AG304" s="5">
        <v>37</v>
      </c>
      <c r="AH304" s="5">
        <v>0.17</v>
      </c>
      <c r="AI304" s="5">
        <v>58.01</v>
      </c>
      <c r="AJ304" s="5">
        <v>81.790000000000006</v>
      </c>
      <c r="AK304" s="5">
        <v>65.38</v>
      </c>
      <c r="AL304" s="5">
        <v>66.819999999999993</v>
      </c>
      <c r="AM304" s="5">
        <v>546.71</v>
      </c>
      <c r="AN304" s="5">
        <v>148.2921</v>
      </c>
      <c r="AO304" s="5">
        <v>45.74</v>
      </c>
      <c r="AP304" s="5">
        <v>79.599999999999994</v>
      </c>
      <c r="AQ304" s="5">
        <v>58.87</v>
      </c>
      <c r="AR304" s="5">
        <v>469.64</v>
      </c>
      <c r="AS304" s="5">
        <v>19.64</v>
      </c>
      <c r="AT304" s="5">
        <v>52.65</v>
      </c>
      <c r="AU304" s="5">
        <v>103.29</v>
      </c>
      <c r="AV304" s="5">
        <v>113.93</v>
      </c>
      <c r="AW304" s="5">
        <v>0.54500000000000004</v>
      </c>
      <c r="AX304" s="5">
        <v>8.4600000000000009</v>
      </c>
      <c r="AY304" s="5">
        <v>10000000000</v>
      </c>
      <c r="AZ304" s="5">
        <v>246.18</v>
      </c>
      <c r="BA304" s="5">
        <v>57.4</v>
      </c>
      <c r="BB304" s="5">
        <v>8.6</v>
      </c>
      <c r="BC304" s="5">
        <v>1.24</v>
      </c>
      <c r="BD304" s="5">
        <v>8.76</v>
      </c>
      <c r="BE304" s="5">
        <v>1.99</v>
      </c>
      <c r="BF304" s="5">
        <v>253.91</v>
      </c>
      <c r="BG304" s="5">
        <v>14.39</v>
      </c>
      <c r="BH304" s="5">
        <v>10000000000</v>
      </c>
      <c r="BI304" s="5">
        <v>243.5</v>
      </c>
      <c r="BJ304" s="5">
        <v>24.8</v>
      </c>
      <c r="BK304" s="5">
        <v>84.4</v>
      </c>
      <c r="BL304" s="5">
        <v>78.94</v>
      </c>
      <c r="BM304" s="5">
        <v>1.64</v>
      </c>
      <c r="BN304" s="5">
        <v>30.11</v>
      </c>
      <c r="BO304" s="5">
        <v>36.880000000000003</v>
      </c>
      <c r="BP304" s="5">
        <v>488.49</v>
      </c>
      <c r="BQ304" s="5">
        <v>54.15005</v>
      </c>
      <c r="BR304" s="5">
        <v>163.55240000000001</v>
      </c>
      <c r="BS304" s="5">
        <v>54.848579999999998</v>
      </c>
      <c r="BT304" s="5">
        <v>44.281199999999998</v>
      </c>
      <c r="BU304" s="5">
        <v>44.245829999999998</v>
      </c>
      <c r="BV304" s="5">
        <v>9.7722000000000003E-2</v>
      </c>
      <c r="BW304" s="5">
        <v>0.10349999999999999</v>
      </c>
      <c r="BX304" s="5">
        <v>55.079949999999997</v>
      </c>
      <c r="BY304" s="5">
        <v>18.995360000000002</v>
      </c>
      <c r="BZ304" s="5">
        <v>0</v>
      </c>
      <c r="CA304" s="5">
        <v>0.92984599999999995</v>
      </c>
      <c r="CB304" s="5">
        <v>581.16330000000005</v>
      </c>
      <c r="CC304" s="5">
        <v>598.37559999999996</v>
      </c>
      <c r="CD304" s="5">
        <v>62.079740000000001</v>
      </c>
      <c r="CE304" s="5">
        <v>495.87</v>
      </c>
      <c r="CF304" s="5">
        <v>80.44</v>
      </c>
      <c r="CG304" s="5">
        <v>95.4</v>
      </c>
      <c r="CH304" s="5">
        <v>440.9</v>
      </c>
      <c r="CI304" s="5">
        <v>456.81</v>
      </c>
      <c r="CJ304" s="5">
        <v>471.26</v>
      </c>
      <c r="CK304" s="5">
        <v>517.97</v>
      </c>
      <c r="CL304" s="5">
        <v>490.95</v>
      </c>
      <c r="CM304" s="5">
        <v>500.48</v>
      </c>
      <c r="CN304" s="5">
        <v>452.73</v>
      </c>
      <c r="CO304" s="5">
        <v>28.18</v>
      </c>
      <c r="CP304" s="5">
        <v>391</v>
      </c>
      <c r="CQ304" s="5">
        <v>393.05</v>
      </c>
      <c r="CR304" s="5">
        <v>7</v>
      </c>
      <c r="CS304" s="5">
        <v>7</v>
      </c>
      <c r="CT304" s="5">
        <v>26.46</v>
      </c>
      <c r="CU304" s="5">
        <v>24.74</v>
      </c>
      <c r="CV304" s="5">
        <v>101.39</v>
      </c>
      <c r="CW304" s="5">
        <v>0.84998630744624204</v>
      </c>
      <c r="CX304" s="5">
        <v>1.6914727518180217</v>
      </c>
    </row>
    <row r="305" spans="1:102" x14ac:dyDescent="0.25">
      <c r="A305" s="5">
        <v>34</v>
      </c>
      <c r="B305" s="23">
        <v>1.1456018518518518E-2</v>
      </c>
      <c r="C305" s="5">
        <v>11</v>
      </c>
      <c r="D305" s="5">
        <v>33</v>
      </c>
      <c r="E305" s="5">
        <v>386</v>
      </c>
      <c r="F305" s="5">
        <v>386</v>
      </c>
      <c r="G305" s="5">
        <v>386</v>
      </c>
      <c r="H305" s="5">
        <v>100</v>
      </c>
      <c r="I305" s="5">
        <v>100</v>
      </c>
      <c r="J305" s="5">
        <v>1890</v>
      </c>
      <c r="K305" s="5">
        <v>17</v>
      </c>
      <c r="L305" s="5">
        <v>17</v>
      </c>
      <c r="M305" s="5">
        <v>0.26</v>
      </c>
      <c r="N305" s="5">
        <v>0.25995400000000002</v>
      </c>
      <c r="O305" s="5">
        <v>1</v>
      </c>
      <c r="P305" s="5">
        <v>1.0694459999999999</v>
      </c>
      <c r="Q305" s="5">
        <v>-4.58</v>
      </c>
      <c r="R305" s="5">
        <v>-4.5812989999999996</v>
      </c>
      <c r="S305" s="5">
        <v>148.78</v>
      </c>
      <c r="T305" s="5">
        <v>148.78129999999999</v>
      </c>
      <c r="U305" s="5">
        <v>3.5</v>
      </c>
      <c r="V305" s="5">
        <v>3.5</v>
      </c>
      <c r="W305" s="5">
        <v>300</v>
      </c>
      <c r="X305" s="5">
        <v>300</v>
      </c>
      <c r="Y305" s="5">
        <v>3.5</v>
      </c>
      <c r="Z305" s="5">
        <v>3.5</v>
      </c>
      <c r="AA305" s="5">
        <v>300</v>
      </c>
      <c r="AB305" s="5">
        <v>300</v>
      </c>
      <c r="AC305" s="5">
        <v>0</v>
      </c>
      <c r="AD305" s="5">
        <v>101.4135</v>
      </c>
      <c r="AE305" s="5">
        <v>0</v>
      </c>
      <c r="AF305" s="5">
        <v>101.4135</v>
      </c>
      <c r="AG305" s="5">
        <v>37</v>
      </c>
      <c r="AH305" s="5">
        <v>0.17</v>
      </c>
      <c r="AI305" s="5">
        <v>58.49</v>
      </c>
      <c r="AJ305" s="5">
        <v>82.63</v>
      </c>
      <c r="AK305" s="5">
        <v>67.78</v>
      </c>
      <c r="AL305" s="5">
        <v>69.12</v>
      </c>
      <c r="AM305" s="5">
        <v>532.11</v>
      </c>
      <c r="AN305" s="5">
        <v>150.65010000000001</v>
      </c>
      <c r="AO305" s="5">
        <v>48.09</v>
      </c>
      <c r="AP305" s="5">
        <v>80</v>
      </c>
      <c r="AQ305" s="5">
        <v>61.34</v>
      </c>
      <c r="AR305" s="5">
        <v>471.65</v>
      </c>
      <c r="AS305" s="5">
        <v>19.690000000000001</v>
      </c>
      <c r="AT305" s="5">
        <v>55.82</v>
      </c>
      <c r="AU305" s="5">
        <v>104.27</v>
      </c>
      <c r="AV305" s="5">
        <v>113.09</v>
      </c>
      <c r="AW305" s="5">
        <v>0.501</v>
      </c>
      <c r="AX305" s="5">
        <v>7.67</v>
      </c>
      <c r="AY305" s="5">
        <v>10000000000</v>
      </c>
      <c r="AZ305" s="5">
        <v>233.43</v>
      </c>
      <c r="BA305" s="5">
        <v>61.61</v>
      </c>
      <c r="BB305" s="5">
        <v>8.32</v>
      </c>
      <c r="BC305" s="5">
        <v>1.29</v>
      </c>
      <c r="BD305" s="5">
        <v>9.07</v>
      </c>
      <c r="BE305" s="5">
        <v>1.94</v>
      </c>
      <c r="BF305" s="5">
        <v>240.75</v>
      </c>
      <c r="BG305" s="5">
        <v>15.51</v>
      </c>
      <c r="BH305" s="5">
        <v>10000000000</v>
      </c>
      <c r="BI305" s="5">
        <v>242.9</v>
      </c>
      <c r="BJ305" s="5">
        <v>25.4</v>
      </c>
      <c r="BK305" s="5">
        <v>85.1</v>
      </c>
      <c r="BL305" s="5">
        <v>86.57</v>
      </c>
      <c r="BM305" s="5">
        <v>1.65</v>
      </c>
      <c r="BN305" s="5">
        <v>30.17</v>
      </c>
      <c r="BO305" s="5">
        <v>36.700000000000003</v>
      </c>
      <c r="BP305" s="5">
        <v>490.04</v>
      </c>
      <c r="BQ305" s="5">
        <v>57.057609999999997</v>
      </c>
      <c r="BR305" s="5">
        <v>167.26840000000001</v>
      </c>
      <c r="BS305" s="5">
        <v>55.387799999999999</v>
      </c>
      <c r="BT305" s="5">
        <v>45.90728</v>
      </c>
      <c r="BU305" s="5">
        <v>45.639690000000002</v>
      </c>
      <c r="BV305" s="5">
        <v>9.5937999999999996E-2</v>
      </c>
      <c r="BW305" s="5">
        <v>9.8064999999999999E-2</v>
      </c>
      <c r="BX305" s="5">
        <v>53.763800000000003</v>
      </c>
      <c r="BY305" s="5">
        <v>18.995360000000002</v>
      </c>
      <c r="BZ305" s="5">
        <v>0</v>
      </c>
      <c r="CA305" s="5">
        <v>0.93012300000000003</v>
      </c>
      <c r="CB305" s="5">
        <v>585.37850000000003</v>
      </c>
      <c r="CC305" s="5">
        <v>602.2242</v>
      </c>
      <c r="CD305" s="5">
        <v>60.760829999999999</v>
      </c>
      <c r="CE305" s="5">
        <v>491.49</v>
      </c>
      <c r="CF305" s="5">
        <v>83.37</v>
      </c>
      <c r="CG305" s="5">
        <v>97.28</v>
      </c>
      <c r="CH305" s="5">
        <v>435.93</v>
      </c>
      <c r="CI305" s="5">
        <v>447.01</v>
      </c>
      <c r="CJ305" s="5">
        <v>458.12</v>
      </c>
      <c r="CK305" s="5">
        <v>504.92</v>
      </c>
      <c r="CL305" s="5">
        <v>483.63</v>
      </c>
      <c r="CM305" s="5">
        <v>494.74</v>
      </c>
      <c r="CN305" s="5">
        <v>438.09</v>
      </c>
      <c r="CO305" s="5">
        <v>27.39</v>
      </c>
      <c r="CP305" s="5">
        <v>383.7</v>
      </c>
      <c r="CQ305" s="5">
        <v>386.05</v>
      </c>
      <c r="CR305" s="5">
        <v>6.9</v>
      </c>
      <c r="CS305" s="5">
        <v>6.9</v>
      </c>
      <c r="CT305" s="5">
        <v>25.81</v>
      </c>
      <c r="CU305" s="5">
        <v>30.32</v>
      </c>
      <c r="CV305" s="5">
        <v>101.41</v>
      </c>
      <c r="CW305" s="5">
        <v>0.86243546842238739</v>
      </c>
      <c r="CX305" s="5">
        <v>1.6731248087394315</v>
      </c>
    </row>
    <row r="306" spans="1:102" x14ac:dyDescent="0.25">
      <c r="A306" s="5">
        <v>31</v>
      </c>
      <c r="B306" s="23">
        <v>3.6820601851851854E-2</v>
      </c>
      <c r="C306" s="5">
        <v>11</v>
      </c>
      <c r="D306" s="5">
        <v>30</v>
      </c>
      <c r="E306" s="5">
        <v>366</v>
      </c>
      <c r="F306" s="5">
        <v>366</v>
      </c>
      <c r="G306" s="5">
        <v>366.1</v>
      </c>
      <c r="H306" s="5">
        <v>100</v>
      </c>
      <c r="I306" s="5">
        <v>100</v>
      </c>
      <c r="J306" s="5">
        <v>1890</v>
      </c>
      <c r="K306" s="5">
        <v>7</v>
      </c>
      <c r="L306" s="5">
        <v>7</v>
      </c>
      <c r="M306" s="5">
        <v>0.2</v>
      </c>
      <c r="N306" s="5">
        <v>0.20000299999999999</v>
      </c>
      <c r="O306" s="5">
        <v>1</v>
      </c>
      <c r="P306" s="5">
        <v>1.069418</v>
      </c>
      <c r="Q306" s="5">
        <v>-4.59</v>
      </c>
      <c r="R306" s="5">
        <v>-4.5922850000000004</v>
      </c>
      <c r="S306" s="5">
        <v>145.57</v>
      </c>
      <c r="T306" s="5">
        <v>145.5625</v>
      </c>
      <c r="U306" s="5">
        <v>3.5</v>
      </c>
      <c r="V306" s="5">
        <v>3.5</v>
      </c>
      <c r="W306" s="5">
        <v>300</v>
      </c>
      <c r="X306" s="5">
        <v>300</v>
      </c>
      <c r="Y306" s="5">
        <v>3.5</v>
      </c>
      <c r="Z306" s="5">
        <v>3.5</v>
      </c>
      <c r="AA306" s="5">
        <v>300</v>
      </c>
      <c r="AB306" s="5">
        <v>300</v>
      </c>
      <c r="AC306" s="5">
        <v>0</v>
      </c>
      <c r="AD306" s="5">
        <v>94.798389999999998</v>
      </c>
      <c r="AE306" s="5">
        <v>0</v>
      </c>
      <c r="AF306" s="5">
        <v>94.798389999999998</v>
      </c>
      <c r="AG306" s="5">
        <v>37</v>
      </c>
      <c r="AH306" s="5">
        <v>0.17</v>
      </c>
      <c r="AI306" s="5">
        <v>54.2</v>
      </c>
      <c r="AJ306" s="5">
        <v>76.34</v>
      </c>
      <c r="AK306" s="5">
        <v>56.95</v>
      </c>
      <c r="AL306" s="5">
        <v>58.63</v>
      </c>
      <c r="AM306" s="5">
        <v>541.35</v>
      </c>
      <c r="AN306" s="5">
        <v>139.04990000000001</v>
      </c>
      <c r="AO306" s="5">
        <v>36.25</v>
      </c>
      <c r="AP306" s="5">
        <v>70.819999999999993</v>
      </c>
      <c r="AQ306" s="5">
        <v>48.84</v>
      </c>
      <c r="AR306" s="5">
        <v>448.17</v>
      </c>
      <c r="AS306" s="5">
        <v>20.7</v>
      </c>
      <c r="AT306" s="5">
        <v>51.74</v>
      </c>
      <c r="AU306" s="5">
        <v>100.63</v>
      </c>
      <c r="AV306" s="5">
        <v>110.53</v>
      </c>
      <c r="AW306" s="5">
        <v>0.57799999999999996</v>
      </c>
      <c r="AX306" s="5">
        <v>9.0500000000000007</v>
      </c>
      <c r="AY306" s="5">
        <v>10000000000</v>
      </c>
      <c r="AZ306" s="5">
        <v>247.26</v>
      </c>
      <c r="BA306" s="5">
        <v>60.05</v>
      </c>
      <c r="BB306" s="5">
        <v>8.52</v>
      </c>
      <c r="BC306" s="5">
        <v>1.1499999999999999</v>
      </c>
      <c r="BD306" s="5">
        <v>8.81</v>
      </c>
      <c r="BE306" s="5">
        <v>2.08</v>
      </c>
      <c r="BF306" s="5">
        <v>258.08</v>
      </c>
      <c r="BG306" s="5">
        <v>13.49</v>
      </c>
      <c r="BH306" s="5">
        <v>10000000000</v>
      </c>
      <c r="BI306" s="5">
        <v>246.4</v>
      </c>
      <c r="BJ306" s="5">
        <v>25.1</v>
      </c>
      <c r="BK306" s="5">
        <v>85.1</v>
      </c>
      <c r="BL306" s="5">
        <v>69.89</v>
      </c>
      <c r="BM306" s="5">
        <v>1.53</v>
      </c>
      <c r="BN306" s="5">
        <v>30.02</v>
      </c>
      <c r="BO306" s="5">
        <v>36.79</v>
      </c>
      <c r="BP306" s="5">
        <v>465.99</v>
      </c>
      <c r="BQ306" s="5">
        <v>53.372450000000001</v>
      </c>
      <c r="BR306" s="5">
        <v>156.5291</v>
      </c>
      <c r="BS306" s="5">
        <v>56.305529999999997</v>
      </c>
      <c r="BT306" s="5">
        <v>44.230429999999998</v>
      </c>
      <c r="BU306" s="5">
        <v>44.26305</v>
      </c>
      <c r="BV306" s="5">
        <v>9.3905000000000002E-2</v>
      </c>
      <c r="BW306" s="5">
        <v>0.100878</v>
      </c>
      <c r="BX306" s="5">
        <v>51.662610000000001</v>
      </c>
      <c r="BY306" s="5">
        <v>18.995360000000002</v>
      </c>
      <c r="BZ306" s="5">
        <v>0</v>
      </c>
      <c r="CA306" s="5">
        <v>0.93054199999999998</v>
      </c>
      <c r="CB306" s="5">
        <v>546.64750000000004</v>
      </c>
      <c r="CC306" s="5">
        <v>562.90390000000002</v>
      </c>
      <c r="CD306" s="5">
        <v>58.658749999999998</v>
      </c>
      <c r="CE306" s="5">
        <v>492.3</v>
      </c>
      <c r="CF306" s="5">
        <v>78.17</v>
      </c>
      <c r="CG306" s="5">
        <v>92.12</v>
      </c>
      <c r="CH306" s="5">
        <v>435.52</v>
      </c>
      <c r="CI306" s="5">
        <v>451.38</v>
      </c>
      <c r="CJ306" s="5">
        <v>467.53</v>
      </c>
      <c r="CK306" s="5">
        <v>511.71</v>
      </c>
      <c r="CL306" s="5">
        <v>494.87</v>
      </c>
      <c r="CM306" s="5">
        <v>501.92</v>
      </c>
      <c r="CN306" s="5">
        <v>455.11</v>
      </c>
      <c r="CO306" s="5">
        <v>27.49</v>
      </c>
      <c r="CP306" s="5">
        <v>364</v>
      </c>
      <c r="CQ306" s="5">
        <v>366.05</v>
      </c>
      <c r="CR306" s="5">
        <v>6.5</v>
      </c>
      <c r="CS306" s="5">
        <v>6.6</v>
      </c>
      <c r="CT306" s="5">
        <v>25.78</v>
      </c>
      <c r="CU306" s="5">
        <v>29.47</v>
      </c>
      <c r="CV306" s="5">
        <v>101.42</v>
      </c>
      <c r="CW306" s="5">
        <v>0.85819338094552777</v>
      </c>
      <c r="CX306" s="5">
        <v>1.7850422323666979</v>
      </c>
    </row>
    <row r="307" spans="1:102" x14ac:dyDescent="0.25">
      <c r="A307" s="5">
        <v>29</v>
      </c>
      <c r="B307" s="23">
        <v>2.5957175925925922E-2</v>
      </c>
      <c r="C307" s="5">
        <v>11</v>
      </c>
      <c r="D307" s="5">
        <v>28</v>
      </c>
      <c r="E307" s="5">
        <v>354</v>
      </c>
      <c r="F307" s="5">
        <v>354</v>
      </c>
      <c r="G307" s="5">
        <v>354.1</v>
      </c>
      <c r="H307" s="5">
        <v>100</v>
      </c>
      <c r="I307" s="5">
        <v>100</v>
      </c>
      <c r="J307" s="5">
        <v>1890</v>
      </c>
      <c r="K307" s="5">
        <v>46</v>
      </c>
      <c r="L307" s="5">
        <v>46</v>
      </c>
      <c r="M307" s="5">
        <v>0.1</v>
      </c>
      <c r="N307" s="5">
        <v>9.9962999999999996E-2</v>
      </c>
      <c r="O307" s="5">
        <v>1</v>
      </c>
      <c r="P307" s="5">
        <v>1.0694140000000001</v>
      </c>
      <c r="Q307" s="5">
        <v>-4.5999999999999996</v>
      </c>
      <c r="R307" s="5">
        <v>-4.6032710000000003</v>
      </c>
      <c r="S307" s="5">
        <v>143.63999999999999</v>
      </c>
      <c r="T307" s="5">
        <v>143.64060000000001</v>
      </c>
      <c r="U307" s="5">
        <v>3.5</v>
      </c>
      <c r="V307" s="5">
        <v>3.5</v>
      </c>
      <c r="W307" s="5">
        <v>300</v>
      </c>
      <c r="X307" s="5">
        <v>300</v>
      </c>
      <c r="Y307" s="5">
        <v>3.5</v>
      </c>
      <c r="Z307" s="5">
        <v>3.5</v>
      </c>
      <c r="AA307" s="5">
        <v>300</v>
      </c>
      <c r="AB307" s="5">
        <v>300</v>
      </c>
      <c r="AC307" s="5">
        <v>0</v>
      </c>
      <c r="AD307" s="5">
        <v>130.78540000000001</v>
      </c>
      <c r="AE307" s="5">
        <v>0</v>
      </c>
      <c r="AF307" s="5">
        <v>122.48950000000001</v>
      </c>
      <c r="AG307" s="5">
        <v>37</v>
      </c>
      <c r="AH307" s="5">
        <v>0.17</v>
      </c>
      <c r="AI307" s="5">
        <v>75.739999999999995</v>
      </c>
      <c r="AJ307" s="5">
        <v>107.38</v>
      </c>
      <c r="AK307" s="5">
        <v>157.87</v>
      </c>
      <c r="AL307" s="5">
        <v>159.86000000000001</v>
      </c>
      <c r="AM307" s="5">
        <v>426.95</v>
      </c>
      <c r="AN307" s="5">
        <v>199.44659999999999</v>
      </c>
      <c r="AO307" s="5">
        <v>96.99</v>
      </c>
      <c r="AP307" s="5">
        <v>119.57</v>
      </c>
      <c r="AQ307" s="5">
        <v>115.36</v>
      </c>
      <c r="AR307" s="5">
        <v>639.27</v>
      </c>
      <c r="AS307" s="5">
        <v>60.89</v>
      </c>
      <c r="AT307" s="5">
        <v>62.04</v>
      </c>
      <c r="AU307" s="5">
        <v>100.94</v>
      </c>
      <c r="AV307" s="5">
        <v>113.2</v>
      </c>
      <c r="AW307" s="5">
        <v>9.7000000000000003E-2</v>
      </c>
      <c r="AX307" s="5">
        <v>1.31</v>
      </c>
      <c r="AY307" s="5">
        <v>10000000000</v>
      </c>
      <c r="AZ307" s="5">
        <v>125.44</v>
      </c>
      <c r="BA307" s="5">
        <v>61.61</v>
      </c>
      <c r="BB307" s="5">
        <v>5.92</v>
      </c>
      <c r="BC307" s="5">
        <v>0.69</v>
      </c>
      <c r="BD307" s="5">
        <v>12.43</v>
      </c>
      <c r="BE307" s="5">
        <v>3.92</v>
      </c>
      <c r="BF307" s="5">
        <v>312.64999999999998</v>
      </c>
      <c r="BG307" s="5">
        <v>11.73</v>
      </c>
      <c r="BH307" s="5">
        <v>10000000000</v>
      </c>
      <c r="BI307" s="5">
        <v>251.1</v>
      </c>
      <c r="BJ307" s="5">
        <v>36.4</v>
      </c>
      <c r="BK307" s="5">
        <v>86.5</v>
      </c>
      <c r="BL307" s="5">
        <v>84.98</v>
      </c>
      <c r="BM307" s="5">
        <v>2.11</v>
      </c>
      <c r="BN307" s="5">
        <v>29.61</v>
      </c>
      <c r="BO307" s="5">
        <v>34.43</v>
      </c>
      <c r="BP307" s="5">
        <v>657.3</v>
      </c>
      <c r="BQ307" s="5">
        <v>62.77552</v>
      </c>
      <c r="BR307" s="5">
        <v>259.24939999999998</v>
      </c>
      <c r="BS307" s="5">
        <v>56.778350000000003</v>
      </c>
      <c r="BT307" s="5">
        <v>64.361090000000004</v>
      </c>
      <c r="BU307" s="5">
        <v>62.910730000000001</v>
      </c>
      <c r="BV307" s="5">
        <v>9.3122999999999997E-2</v>
      </c>
      <c r="BW307" s="5">
        <v>8.3255999999999997E-2</v>
      </c>
      <c r="BX307" s="5">
        <v>50.615830000000003</v>
      </c>
      <c r="BY307" s="5">
        <v>18.995360000000002</v>
      </c>
      <c r="BZ307" s="5">
        <v>0</v>
      </c>
      <c r="CA307" s="5">
        <v>0.93074100000000004</v>
      </c>
      <c r="CB307" s="5">
        <v>762.32249999999999</v>
      </c>
      <c r="CC307" s="5">
        <v>778.32579999999996</v>
      </c>
      <c r="CD307" s="5">
        <v>57.613489999999999</v>
      </c>
      <c r="CE307" s="5">
        <v>413.08</v>
      </c>
      <c r="CF307" s="5">
        <v>81.25</v>
      </c>
      <c r="CG307" s="5">
        <v>94.59</v>
      </c>
      <c r="CH307" s="5">
        <v>379.22</v>
      </c>
      <c r="CI307" s="5">
        <v>386.69</v>
      </c>
      <c r="CJ307" s="5">
        <v>400.55</v>
      </c>
      <c r="CK307" s="5">
        <v>426.65</v>
      </c>
      <c r="CL307" s="5">
        <v>416.44</v>
      </c>
      <c r="CM307" s="5">
        <v>423.53</v>
      </c>
      <c r="CN307" s="5">
        <v>311.18</v>
      </c>
      <c r="CO307" s="5">
        <v>27.82</v>
      </c>
      <c r="CP307" s="5">
        <v>352.1</v>
      </c>
      <c r="CQ307" s="5">
        <v>354.05</v>
      </c>
      <c r="CR307" s="5">
        <v>6.3</v>
      </c>
      <c r="CS307" s="5">
        <v>6.3</v>
      </c>
      <c r="CT307" s="5">
        <v>25.85</v>
      </c>
      <c r="CU307" s="5">
        <v>28.43</v>
      </c>
      <c r="CV307" s="5">
        <v>101.43</v>
      </c>
      <c r="CW307" s="5">
        <v>0.87436077013029623</v>
      </c>
      <c r="CX307" s="5">
        <v>3.4274942189107613</v>
      </c>
    </row>
    <row r="308" spans="1:102" x14ac:dyDescent="0.25">
      <c r="A308" s="5">
        <v>27</v>
      </c>
      <c r="B308" s="23">
        <v>1.5109953703703704E-2</v>
      </c>
      <c r="C308" s="5">
        <v>11</v>
      </c>
      <c r="D308" s="5">
        <v>26</v>
      </c>
      <c r="E308" s="5">
        <v>339</v>
      </c>
      <c r="F308" s="5">
        <v>339</v>
      </c>
      <c r="G308" s="5">
        <v>339.1</v>
      </c>
      <c r="H308" s="5">
        <v>100</v>
      </c>
      <c r="I308" s="5">
        <v>100</v>
      </c>
      <c r="J308" s="5">
        <v>1890</v>
      </c>
      <c r="K308" s="5">
        <v>29</v>
      </c>
      <c r="L308" s="5">
        <v>29</v>
      </c>
      <c r="M308" s="5">
        <v>0.21</v>
      </c>
      <c r="N308" s="5">
        <v>0.21002000000000001</v>
      </c>
      <c r="O308" s="5">
        <v>1</v>
      </c>
      <c r="P308" s="5">
        <v>1.0693980000000001</v>
      </c>
      <c r="Q308" s="5">
        <v>-4.62</v>
      </c>
      <c r="R308" s="5">
        <v>-4.6252440000000004</v>
      </c>
      <c r="S308" s="5">
        <v>141.22999999999999</v>
      </c>
      <c r="T308" s="5">
        <v>141.23439999999999</v>
      </c>
      <c r="U308" s="5">
        <v>3.5</v>
      </c>
      <c r="V308" s="5">
        <v>3.5</v>
      </c>
      <c r="W308" s="5">
        <v>300</v>
      </c>
      <c r="X308" s="5">
        <v>300</v>
      </c>
      <c r="Y308" s="5">
        <v>3.5</v>
      </c>
      <c r="Z308" s="5">
        <v>3.5</v>
      </c>
      <c r="AA308" s="5">
        <v>300</v>
      </c>
      <c r="AB308" s="5">
        <v>300</v>
      </c>
      <c r="AC308" s="5">
        <v>0</v>
      </c>
      <c r="AD308" s="5">
        <v>105.3656</v>
      </c>
      <c r="AE308" s="5">
        <v>0</v>
      </c>
      <c r="AF308" s="5">
        <v>105.3656</v>
      </c>
      <c r="AG308" s="5">
        <v>37</v>
      </c>
      <c r="AH308" s="5">
        <v>0.17</v>
      </c>
      <c r="AI308" s="5">
        <v>60.72</v>
      </c>
      <c r="AJ308" s="5">
        <v>86.27</v>
      </c>
      <c r="AK308" s="5">
        <v>80.680000000000007</v>
      </c>
      <c r="AL308" s="5">
        <v>81.99</v>
      </c>
      <c r="AM308" s="5">
        <v>468.75</v>
      </c>
      <c r="AN308" s="5">
        <v>157.4008</v>
      </c>
      <c r="AO308" s="5">
        <v>54.83</v>
      </c>
      <c r="AP308" s="5">
        <v>85.53</v>
      </c>
      <c r="AQ308" s="5">
        <v>68.709999999999994</v>
      </c>
      <c r="AR308" s="5">
        <v>490.59</v>
      </c>
      <c r="AS308" s="5">
        <v>25.86</v>
      </c>
      <c r="AT308" s="5">
        <v>57.62</v>
      </c>
      <c r="AU308" s="5">
        <v>104.23</v>
      </c>
      <c r="AV308" s="5">
        <v>114.51</v>
      </c>
      <c r="AW308" s="5">
        <v>0.35499999999999998</v>
      </c>
      <c r="AX308" s="5">
        <v>5.21</v>
      </c>
      <c r="AY308" s="5">
        <v>10000000000</v>
      </c>
      <c r="AZ308" s="5">
        <v>230.98</v>
      </c>
      <c r="BA308" s="5">
        <v>89.87</v>
      </c>
      <c r="BB308" s="5">
        <v>7.19</v>
      </c>
      <c r="BC308" s="5">
        <v>1.1499999999999999</v>
      </c>
      <c r="BD308" s="5">
        <v>10.69</v>
      </c>
      <c r="BE308" s="5">
        <v>2.27</v>
      </c>
      <c r="BF308" s="5">
        <v>232.93</v>
      </c>
      <c r="BG308" s="5">
        <v>15.92</v>
      </c>
      <c r="BH308" s="5">
        <v>10000000000</v>
      </c>
      <c r="BI308" s="5">
        <v>247</v>
      </c>
      <c r="BJ308" s="5">
        <v>29.6</v>
      </c>
      <c r="BK308" s="5">
        <v>86</v>
      </c>
      <c r="BL308" s="5">
        <v>92.93</v>
      </c>
      <c r="BM308" s="5">
        <v>1.71</v>
      </c>
      <c r="BN308" s="5">
        <v>30.03</v>
      </c>
      <c r="BO308" s="5">
        <v>35.630000000000003</v>
      </c>
      <c r="BP308" s="5">
        <v>507.36</v>
      </c>
      <c r="BQ308" s="5">
        <v>58.64479</v>
      </c>
      <c r="BR308" s="5">
        <v>179.8785</v>
      </c>
      <c r="BS308" s="5">
        <v>58.118070000000003</v>
      </c>
      <c r="BT308" s="5">
        <v>53.913910000000001</v>
      </c>
      <c r="BU308" s="5">
        <v>53.162649999999999</v>
      </c>
      <c r="BV308" s="5">
        <v>9.1174000000000005E-2</v>
      </c>
      <c r="BW308" s="5">
        <v>8.7623000000000006E-2</v>
      </c>
      <c r="BX308" s="5">
        <v>47.651769999999999</v>
      </c>
      <c r="BY308" s="5">
        <v>18.995360000000002</v>
      </c>
      <c r="BZ308" s="5">
        <v>0</v>
      </c>
      <c r="CA308" s="5">
        <v>0.93131299999999995</v>
      </c>
      <c r="CB308" s="5">
        <v>609.46230000000003</v>
      </c>
      <c r="CC308" s="5">
        <v>624.60440000000006</v>
      </c>
      <c r="CD308" s="5">
        <v>54.64958</v>
      </c>
      <c r="CE308" s="5">
        <v>452.03</v>
      </c>
      <c r="CF308" s="5">
        <v>83.16</v>
      </c>
      <c r="CG308" s="5">
        <v>96.3</v>
      </c>
      <c r="CH308" s="5">
        <v>389.92</v>
      </c>
      <c r="CI308" s="5">
        <v>401.65</v>
      </c>
      <c r="CJ308" s="5">
        <v>411.06</v>
      </c>
      <c r="CK308" s="5">
        <v>452.86</v>
      </c>
      <c r="CL308" s="5">
        <v>443.67</v>
      </c>
      <c r="CM308" s="5">
        <v>450.11</v>
      </c>
      <c r="CN308" s="5">
        <v>376.79</v>
      </c>
      <c r="CO308" s="5">
        <v>26.69</v>
      </c>
      <c r="CP308" s="5">
        <v>337.1</v>
      </c>
      <c r="CQ308" s="5">
        <v>339.05</v>
      </c>
      <c r="CR308" s="5">
        <v>6</v>
      </c>
      <c r="CS308" s="5">
        <v>6.1</v>
      </c>
      <c r="CT308" s="5">
        <v>25.85</v>
      </c>
      <c r="CU308" s="5">
        <v>31.08</v>
      </c>
      <c r="CV308" s="5">
        <v>101.43</v>
      </c>
      <c r="CW308" s="5">
        <v>0.87088450970556297</v>
      </c>
      <c r="CX308" s="5">
        <v>1.976907837031628</v>
      </c>
    </row>
    <row r="309" spans="1:102" x14ac:dyDescent="0.25">
      <c r="A309" s="5">
        <v>30</v>
      </c>
      <c r="B309" s="23">
        <v>3.1385416666666666E-2</v>
      </c>
      <c r="C309" s="5">
        <v>11</v>
      </c>
      <c r="D309" s="5">
        <v>29</v>
      </c>
      <c r="E309" s="5">
        <v>362</v>
      </c>
      <c r="F309" s="5">
        <v>362</v>
      </c>
      <c r="G309" s="5">
        <v>362.1</v>
      </c>
      <c r="H309" s="5">
        <v>100</v>
      </c>
      <c r="I309" s="5">
        <v>100</v>
      </c>
      <c r="J309" s="5">
        <v>1890</v>
      </c>
      <c r="K309" s="5">
        <v>13</v>
      </c>
      <c r="L309" s="5">
        <v>13</v>
      </c>
      <c r="M309" s="5">
        <v>0.08</v>
      </c>
      <c r="N309" s="5">
        <v>7.9977000000000006E-2</v>
      </c>
      <c r="O309" s="5">
        <v>1</v>
      </c>
      <c r="P309" s="5">
        <v>1.069477</v>
      </c>
      <c r="Q309" s="5">
        <v>-4.5999999999999996</v>
      </c>
      <c r="R309" s="5">
        <v>-4.6032710000000003</v>
      </c>
      <c r="S309" s="5">
        <v>144.91999999999999</v>
      </c>
      <c r="T309" s="5">
        <v>144.92189999999999</v>
      </c>
      <c r="U309" s="5">
        <v>3.5</v>
      </c>
      <c r="V309" s="5">
        <v>3.5</v>
      </c>
      <c r="W309" s="5">
        <v>300</v>
      </c>
      <c r="X309" s="5">
        <v>300</v>
      </c>
      <c r="Y309" s="5">
        <v>3.5</v>
      </c>
      <c r="Z309" s="5">
        <v>3.5</v>
      </c>
      <c r="AA309" s="5">
        <v>300</v>
      </c>
      <c r="AB309" s="5">
        <v>300</v>
      </c>
      <c r="AC309" s="5">
        <v>0</v>
      </c>
      <c r="AD309" s="5">
        <v>100.35209999999999</v>
      </c>
      <c r="AE309" s="5">
        <v>0</v>
      </c>
      <c r="AF309" s="5">
        <v>100.35209999999999</v>
      </c>
      <c r="AG309" s="5">
        <v>37</v>
      </c>
      <c r="AH309" s="5">
        <v>0.17</v>
      </c>
      <c r="AI309" s="5">
        <v>57.61</v>
      </c>
      <c r="AJ309" s="5">
        <v>83.98</v>
      </c>
      <c r="AK309" s="5">
        <v>71.83</v>
      </c>
      <c r="AL309" s="5">
        <v>74.849999999999994</v>
      </c>
      <c r="AM309" s="5">
        <v>509.12</v>
      </c>
      <c r="AN309" s="5">
        <v>147.50899999999999</v>
      </c>
      <c r="AO309" s="5">
        <v>44.61</v>
      </c>
      <c r="AP309" s="5">
        <v>80.37</v>
      </c>
      <c r="AQ309" s="5">
        <v>59.25</v>
      </c>
      <c r="AR309" s="5">
        <v>511.33</v>
      </c>
      <c r="AS309" s="5">
        <v>27.22</v>
      </c>
      <c r="AT309" s="5">
        <v>51.83</v>
      </c>
      <c r="AU309" s="5">
        <v>96.13</v>
      </c>
      <c r="AV309" s="5">
        <v>112.03</v>
      </c>
      <c r="AW309" s="5">
        <v>0.2</v>
      </c>
      <c r="AX309" s="5">
        <v>2.79</v>
      </c>
      <c r="AY309" s="5">
        <v>10000000000</v>
      </c>
      <c r="AZ309" s="5">
        <v>162.02000000000001</v>
      </c>
      <c r="BA309" s="5">
        <v>60.4</v>
      </c>
      <c r="BB309" s="5">
        <v>7.34</v>
      </c>
      <c r="BC309" s="5">
        <v>0.49</v>
      </c>
      <c r="BD309" s="5">
        <v>10.48</v>
      </c>
      <c r="BE309" s="5">
        <v>3.73</v>
      </c>
      <c r="BF309" s="5">
        <v>392.56</v>
      </c>
      <c r="BG309" s="5">
        <v>6.64</v>
      </c>
      <c r="BH309" s="5">
        <v>10000000000</v>
      </c>
      <c r="BI309" s="5">
        <v>245</v>
      </c>
      <c r="BJ309" s="5">
        <v>29.1</v>
      </c>
      <c r="BK309" s="5">
        <v>86.6</v>
      </c>
      <c r="BL309" s="5">
        <v>36.380000000000003</v>
      </c>
      <c r="BM309" s="5">
        <v>1.59</v>
      </c>
      <c r="BN309" s="5">
        <v>29.42</v>
      </c>
      <c r="BO309" s="5">
        <v>35.74</v>
      </c>
      <c r="BP309" s="5">
        <v>528.98</v>
      </c>
      <c r="BQ309" s="5">
        <v>53.615780000000001</v>
      </c>
      <c r="BR309" s="5">
        <v>175.90539999999999</v>
      </c>
      <c r="BS309" s="5">
        <v>56.60445</v>
      </c>
      <c r="BT309" s="5">
        <v>47.635469999999998</v>
      </c>
      <c r="BU309" s="5">
        <v>47.493020000000001</v>
      </c>
      <c r="BV309" s="5">
        <v>9.3410000000000007E-2</v>
      </c>
      <c r="BW309" s="5">
        <v>9.7663E-2</v>
      </c>
      <c r="BX309" s="5">
        <v>50.99906</v>
      </c>
      <c r="BY309" s="5">
        <v>18.995360000000002</v>
      </c>
      <c r="BZ309" s="5">
        <v>0</v>
      </c>
      <c r="CA309" s="5">
        <v>0.93066800000000005</v>
      </c>
      <c r="CB309" s="5">
        <v>579.55349999999999</v>
      </c>
      <c r="CC309" s="5">
        <v>595.63480000000004</v>
      </c>
      <c r="CD309" s="5">
        <v>57.998649999999998</v>
      </c>
      <c r="CE309" s="5">
        <v>412.94</v>
      </c>
      <c r="CF309" s="5">
        <v>72.67</v>
      </c>
      <c r="CG309" s="5">
        <v>86.48</v>
      </c>
      <c r="CH309" s="5">
        <v>418.26</v>
      </c>
      <c r="CI309" s="5">
        <v>430.43</v>
      </c>
      <c r="CJ309" s="5">
        <v>443.25</v>
      </c>
      <c r="CK309" s="5">
        <v>486.38</v>
      </c>
      <c r="CL309" s="5">
        <v>475.73</v>
      </c>
      <c r="CM309" s="5">
        <v>470.29</v>
      </c>
      <c r="CN309" s="5">
        <v>420.7</v>
      </c>
      <c r="CO309" s="5">
        <v>27.53</v>
      </c>
      <c r="CP309" s="5">
        <v>360</v>
      </c>
      <c r="CQ309" s="5">
        <v>362.05</v>
      </c>
      <c r="CR309" s="5">
        <v>6.5</v>
      </c>
      <c r="CS309" s="5">
        <v>6.5</v>
      </c>
      <c r="CT309" s="5">
        <v>26.34</v>
      </c>
      <c r="CU309" s="5">
        <v>28.41</v>
      </c>
      <c r="CV309" s="5">
        <v>101.43</v>
      </c>
      <c r="CW309" s="5">
        <v>0.86586235685768331</v>
      </c>
      <c r="CX309" s="5">
        <v>3.2296665910791589</v>
      </c>
    </row>
    <row r="310" spans="1:102" x14ac:dyDescent="0.25">
      <c r="A310" s="5">
        <v>26</v>
      </c>
      <c r="B310" s="23">
        <v>9.6874999999999999E-3</v>
      </c>
      <c r="C310" s="5">
        <v>11</v>
      </c>
      <c r="D310" s="5">
        <v>25</v>
      </c>
      <c r="E310" s="5">
        <v>335</v>
      </c>
      <c r="F310" s="5">
        <v>335</v>
      </c>
      <c r="G310" s="5">
        <v>335.1</v>
      </c>
      <c r="H310" s="5">
        <v>100</v>
      </c>
      <c r="I310" s="5">
        <v>100</v>
      </c>
      <c r="J310" s="5">
        <v>1890</v>
      </c>
      <c r="K310" s="5">
        <v>48</v>
      </c>
      <c r="L310" s="5">
        <v>48</v>
      </c>
      <c r="M310" s="5">
        <v>0.16</v>
      </c>
      <c r="N310" s="5">
        <v>0.160077</v>
      </c>
      <c r="O310" s="5">
        <v>1</v>
      </c>
      <c r="P310" s="5">
        <v>1.0694809999999999</v>
      </c>
      <c r="Q310" s="5">
        <v>-4.62</v>
      </c>
      <c r="R310" s="5">
        <v>-4.6252440000000004</v>
      </c>
      <c r="S310" s="5">
        <v>140.59</v>
      </c>
      <c r="T310" s="5">
        <v>140.59379999999999</v>
      </c>
      <c r="U310" s="5">
        <v>3.5</v>
      </c>
      <c r="V310" s="5">
        <v>3.5</v>
      </c>
      <c r="W310" s="5">
        <v>300</v>
      </c>
      <c r="X310" s="5">
        <v>300</v>
      </c>
      <c r="Y310" s="5">
        <v>3.5</v>
      </c>
      <c r="Z310" s="5">
        <v>3.5</v>
      </c>
      <c r="AA310" s="5">
        <v>300</v>
      </c>
      <c r="AB310" s="5">
        <v>300</v>
      </c>
      <c r="AC310" s="5">
        <v>0</v>
      </c>
      <c r="AD310" s="5">
        <v>124.273</v>
      </c>
      <c r="AE310" s="5">
        <v>0</v>
      </c>
      <c r="AF310" s="5">
        <v>122.4851</v>
      </c>
      <c r="AG310" s="5">
        <v>37</v>
      </c>
      <c r="AH310" s="5">
        <v>0.17</v>
      </c>
      <c r="AI310" s="5">
        <v>72.260000000000005</v>
      </c>
      <c r="AJ310" s="5">
        <v>101.61</v>
      </c>
      <c r="AK310" s="5">
        <v>140.4</v>
      </c>
      <c r="AL310" s="5">
        <v>141.32</v>
      </c>
      <c r="AM310" s="5">
        <v>424.26</v>
      </c>
      <c r="AN310" s="5">
        <v>190.6977</v>
      </c>
      <c r="AO310" s="5">
        <v>88.66</v>
      </c>
      <c r="AP310" s="5">
        <v>111.7</v>
      </c>
      <c r="AQ310" s="5">
        <v>104.99</v>
      </c>
      <c r="AR310" s="5">
        <v>573.80999999999995</v>
      </c>
      <c r="AS310" s="5">
        <v>51.74</v>
      </c>
      <c r="AT310" s="5">
        <v>64.89</v>
      </c>
      <c r="AU310" s="5">
        <v>109.19</v>
      </c>
      <c r="AV310" s="5">
        <v>116.53</v>
      </c>
      <c r="AW310" s="5">
        <v>0.17899999999999999</v>
      </c>
      <c r="AX310" s="5">
        <v>2.4900000000000002</v>
      </c>
      <c r="AY310" s="5">
        <v>10000000000</v>
      </c>
      <c r="AZ310" s="5">
        <v>173.53</v>
      </c>
      <c r="BA310" s="5">
        <v>80.34</v>
      </c>
      <c r="BB310" s="5">
        <v>6.26</v>
      </c>
      <c r="BC310" s="5">
        <v>1.0900000000000001</v>
      </c>
      <c r="BD310" s="5">
        <v>12.01</v>
      </c>
      <c r="BE310" s="5">
        <v>2.71</v>
      </c>
      <c r="BF310" s="5">
        <v>229.8</v>
      </c>
      <c r="BG310" s="5">
        <v>17.47</v>
      </c>
      <c r="BH310" s="5">
        <v>10000000000</v>
      </c>
      <c r="BI310" s="5">
        <v>252.7</v>
      </c>
      <c r="BJ310" s="5">
        <v>34.299999999999997</v>
      </c>
      <c r="BK310" s="5">
        <v>86.2</v>
      </c>
      <c r="BL310" s="5">
        <v>121.48</v>
      </c>
      <c r="BM310" s="5">
        <v>2.0299999999999998</v>
      </c>
      <c r="BN310" s="5">
        <v>29.98</v>
      </c>
      <c r="BO310" s="5">
        <v>34.76</v>
      </c>
      <c r="BP310" s="5">
        <v>590.65</v>
      </c>
      <c r="BQ310" s="5">
        <v>65.40531</v>
      </c>
      <c r="BR310" s="5">
        <v>238.3837</v>
      </c>
      <c r="BS310" s="5">
        <v>58.017429999999997</v>
      </c>
      <c r="BT310" s="5">
        <v>64.194950000000006</v>
      </c>
      <c r="BU310" s="5">
        <v>62.859450000000002</v>
      </c>
      <c r="BV310" s="5">
        <v>9.1200000000000003E-2</v>
      </c>
      <c r="BW310" s="5">
        <v>8.2664000000000001E-2</v>
      </c>
      <c r="BX310" s="5">
        <v>47.874839999999999</v>
      </c>
      <c r="BY310" s="5">
        <v>18.995360000000002</v>
      </c>
      <c r="BZ310" s="5">
        <v>0</v>
      </c>
      <c r="CA310" s="5">
        <v>0.93127000000000004</v>
      </c>
      <c r="CB310" s="5">
        <v>723.66020000000003</v>
      </c>
      <c r="CC310" s="5">
        <v>738.86789999999996</v>
      </c>
      <c r="CD310" s="5">
        <v>54.87088</v>
      </c>
      <c r="CE310" s="5">
        <v>426.6</v>
      </c>
      <c r="CF310" s="5">
        <v>88.66</v>
      </c>
      <c r="CG310" s="5">
        <v>102</v>
      </c>
      <c r="CH310" s="5">
        <v>375.14</v>
      </c>
      <c r="CI310" s="5">
        <v>382.29</v>
      </c>
      <c r="CJ310" s="5">
        <v>392.77</v>
      </c>
      <c r="CK310" s="5">
        <v>419.35</v>
      </c>
      <c r="CL310" s="5">
        <v>415.51</v>
      </c>
      <c r="CM310" s="5">
        <v>422.91</v>
      </c>
      <c r="CN310" s="5">
        <v>312.83999999999997</v>
      </c>
      <c r="CO310" s="5">
        <v>27.32</v>
      </c>
      <c r="CP310" s="5">
        <v>333.2</v>
      </c>
      <c r="CQ310" s="5">
        <v>335.05</v>
      </c>
      <c r="CR310" s="5">
        <v>6</v>
      </c>
      <c r="CS310" s="5">
        <v>6</v>
      </c>
      <c r="CT310" s="5">
        <v>25.95</v>
      </c>
      <c r="CU310" s="5">
        <v>31.06</v>
      </c>
      <c r="CV310" s="5">
        <v>101.44</v>
      </c>
      <c r="CW310" s="5">
        <v>0.87864271714347664</v>
      </c>
      <c r="CX310" s="5">
        <v>2.3811217634588218</v>
      </c>
    </row>
    <row r="311" spans="1:102" x14ac:dyDescent="0.25">
      <c r="A311" s="5">
        <v>22</v>
      </c>
      <c r="B311" s="23">
        <v>2.4621527777777777E-2</v>
      </c>
      <c r="C311" s="5">
        <v>11</v>
      </c>
      <c r="D311" s="5">
        <v>21</v>
      </c>
      <c r="E311" s="5">
        <v>315</v>
      </c>
      <c r="F311" s="5">
        <v>315</v>
      </c>
      <c r="G311" s="5">
        <v>315</v>
      </c>
      <c r="H311" s="5">
        <v>100</v>
      </c>
      <c r="I311" s="5">
        <v>100</v>
      </c>
      <c r="J311" s="5">
        <v>1890</v>
      </c>
      <c r="K311" s="5">
        <v>66</v>
      </c>
      <c r="L311" s="5">
        <v>66</v>
      </c>
      <c r="M311" s="5">
        <v>0.15</v>
      </c>
      <c r="N311" s="5">
        <v>0.14999000000000001</v>
      </c>
      <c r="O311" s="5">
        <v>1</v>
      </c>
      <c r="P311" s="5">
        <v>1.0694109999999999</v>
      </c>
      <c r="Q311" s="5">
        <v>-4.6399999999999997</v>
      </c>
      <c r="R311" s="5">
        <v>-4.6362300000000003</v>
      </c>
      <c r="S311" s="5">
        <v>137.38</v>
      </c>
      <c r="T311" s="5">
        <v>137.375</v>
      </c>
      <c r="U311" s="5">
        <v>3.5</v>
      </c>
      <c r="V311" s="5">
        <v>3.5</v>
      </c>
      <c r="W311" s="5">
        <v>300</v>
      </c>
      <c r="X311" s="5">
        <v>300</v>
      </c>
      <c r="Y311" s="5">
        <v>3.5</v>
      </c>
      <c r="Z311" s="5">
        <v>3.5</v>
      </c>
      <c r="AA311" s="5">
        <v>300</v>
      </c>
      <c r="AB311" s="5">
        <v>300</v>
      </c>
      <c r="AC311" s="5">
        <v>0</v>
      </c>
      <c r="AD311" s="5">
        <v>153.2003</v>
      </c>
      <c r="AE311" s="5">
        <v>0</v>
      </c>
      <c r="AF311" s="5">
        <v>122.4873</v>
      </c>
      <c r="AG311" s="5">
        <v>37</v>
      </c>
      <c r="AH311" s="5">
        <v>0.17</v>
      </c>
      <c r="AI311" s="5">
        <v>87.48</v>
      </c>
      <c r="AJ311" s="5">
        <v>116.71</v>
      </c>
      <c r="AK311" s="5">
        <v>268.92</v>
      </c>
      <c r="AL311" s="5">
        <v>268.64999999999998</v>
      </c>
      <c r="AM311" s="5">
        <v>419.49</v>
      </c>
      <c r="AN311" s="5">
        <v>237.17740000000001</v>
      </c>
      <c r="AO311" s="5">
        <v>136.02000000000001</v>
      </c>
      <c r="AP311" s="5">
        <v>143.54</v>
      </c>
      <c r="AQ311" s="5">
        <v>153.88</v>
      </c>
      <c r="AR311" s="5">
        <v>644.14</v>
      </c>
      <c r="AS311" s="5">
        <v>132.91</v>
      </c>
      <c r="AT311" s="5">
        <v>72.510000000000005</v>
      </c>
      <c r="AU311" s="5">
        <v>125.37</v>
      </c>
      <c r="AV311" s="5">
        <v>113.52</v>
      </c>
      <c r="AW311" s="5">
        <v>0.161</v>
      </c>
      <c r="AX311" s="5">
        <v>2.2200000000000002</v>
      </c>
      <c r="AY311" s="5">
        <v>10000000000</v>
      </c>
      <c r="AZ311" s="5">
        <v>137.13</v>
      </c>
      <c r="BA311" s="5">
        <v>68.92</v>
      </c>
      <c r="BB311" s="5">
        <v>5.89</v>
      </c>
      <c r="BC311" s="5">
        <v>1.34</v>
      </c>
      <c r="BD311" s="5">
        <v>12.52</v>
      </c>
      <c r="BE311" s="5">
        <v>2.56</v>
      </c>
      <c r="BF311" s="5">
        <v>180.65</v>
      </c>
      <c r="BG311" s="5">
        <v>22.8</v>
      </c>
      <c r="BH311" s="5">
        <v>10000000000</v>
      </c>
      <c r="BI311" s="5">
        <v>284.60000000000002</v>
      </c>
      <c r="BJ311" s="5">
        <v>36.299999999999997</v>
      </c>
      <c r="BK311" s="5">
        <v>84</v>
      </c>
      <c r="BL311" s="5">
        <v>190.09</v>
      </c>
      <c r="BM311" s="5">
        <v>2.5</v>
      </c>
      <c r="BN311" s="5">
        <v>30.22</v>
      </c>
      <c r="BO311" s="5">
        <v>34.44</v>
      </c>
      <c r="BP311" s="5">
        <v>661.31</v>
      </c>
      <c r="BQ311" s="5">
        <v>71.496350000000007</v>
      </c>
      <c r="BR311" s="5">
        <v>364.02050000000003</v>
      </c>
      <c r="BS311" s="5">
        <v>56.823120000000003</v>
      </c>
      <c r="BT311" s="5">
        <v>76.272310000000004</v>
      </c>
      <c r="BU311" s="5">
        <v>73.057159999999996</v>
      </c>
      <c r="BV311" s="5">
        <v>9.3048000000000006E-2</v>
      </c>
      <c r="BW311" s="5">
        <v>6.8888000000000005E-2</v>
      </c>
      <c r="BX311" s="5">
        <v>50.520099999999999</v>
      </c>
      <c r="BY311" s="5">
        <v>18.995360000000002</v>
      </c>
      <c r="BZ311" s="5">
        <v>0</v>
      </c>
      <c r="CA311" s="5">
        <v>0.93076000000000003</v>
      </c>
      <c r="CB311" s="5">
        <v>883.63980000000004</v>
      </c>
      <c r="CC311" s="5">
        <v>899.57809999999995</v>
      </c>
      <c r="CD311" s="5">
        <v>57.514789999999998</v>
      </c>
      <c r="CE311" s="5">
        <v>407.81</v>
      </c>
      <c r="CF311" s="5">
        <v>100.77</v>
      </c>
      <c r="CG311" s="5">
        <v>119.04</v>
      </c>
      <c r="CH311" s="5">
        <v>392.44</v>
      </c>
      <c r="CI311" s="5">
        <v>382.63</v>
      </c>
      <c r="CJ311" s="5">
        <v>391.96</v>
      </c>
      <c r="CK311" s="5">
        <v>415.34</v>
      </c>
      <c r="CL311" s="5">
        <v>406.91</v>
      </c>
      <c r="CM311" s="5">
        <v>412.49</v>
      </c>
      <c r="CN311" s="5">
        <v>277.14</v>
      </c>
      <c r="CO311" s="5">
        <v>29</v>
      </c>
      <c r="CP311" s="5">
        <v>313.2</v>
      </c>
      <c r="CQ311" s="5">
        <v>315.05</v>
      </c>
      <c r="CR311" s="5">
        <v>5.6</v>
      </c>
      <c r="CS311" s="5">
        <v>5.6</v>
      </c>
      <c r="CT311" s="5">
        <v>25.55</v>
      </c>
      <c r="CU311" s="5">
        <v>29.98</v>
      </c>
      <c r="CV311" s="5">
        <v>101.46</v>
      </c>
      <c r="CW311" s="5">
        <v>0.87552934186385112</v>
      </c>
      <c r="CX311" s="5">
        <v>2.241355115171459</v>
      </c>
    </row>
    <row r="312" spans="1:102" x14ac:dyDescent="0.25">
      <c r="A312" s="5">
        <v>23</v>
      </c>
      <c r="B312" s="23">
        <v>3.0055555555555558E-2</v>
      </c>
      <c r="C312" s="5">
        <v>11</v>
      </c>
      <c r="D312" s="5">
        <v>22</v>
      </c>
      <c r="E312" s="5">
        <v>323</v>
      </c>
      <c r="F312" s="5">
        <v>323</v>
      </c>
      <c r="G312" s="5">
        <v>323</v>
      </c>
      <c r="H312" s="5">
        <v>100</v>
      </c>
      <c r="I312" s="5">
        <v>100</v>
      </c>
      <c r="J312" s="5">
        <v>1890</v>
      </c>
      <c r="K312" s="5">
        <v>34</v>
      </c>
      <c r="L312" s="5">
        <v>34</v>
      </c>
      <c r="M312" s="5">
        <v>0.08</v>
      </c>
      <c r="N312" s="5">
        <v>7.9966999999999996E-2</v>
      </c>
      <c r="O312" s="5">
        <v>1</v>
      </c>
      <c r="P312" s="5">
        <v>1.0693790000000001</v>
      </c>
      <c r="Q312" s="5">
        <v>-4.63</v>
      </c>
      <c r="R312" s="5">
        <v>-4.6252440000000004</v>
      </c>
      <c r="S312" s="5">
        <v>138.66</v>
      </c>
      <c r="T312" s="5">
        <v>138.65629999999999</v>
      </c>
      <c r="U312" s="5">
        <v>3.5</v>
      </c>
      <c r="V312" s="5">
        <v>3.5</v>
      </c>
      <c r="W312" s="5">
        <v>300</v>
      </c>
      <c r="X312" s="5">
        <v>300</v>
      </c>
      <c r="Y312" s="5">
        <v>3.5</v>
      </c>
      <c r="Z312" s="5">
        <v>3.5</v>
      </c>
      <c r="AA312" s="5">
        <v>300</v>
      </c>
      <c r="AB312" s="5">
        <v>300</v>
      </c>
      <c r="AC312" s="5">
        <v>0</v>
      </c>
      <c r="AD312" s="5">
        <v>113.43170000000001</v>
      </c>
      <c r="AE312" s="5">
        <v>0</v>
      </c>
      <c r="AF312" s="5">
        <v>113.4342</v>
      </c>
      <c r="AG312" s="5">
        <v>37</v>
      </c>
      <c r="AH312" s="5">
        <v>0.17</v>
      </c>
      <c r="AI312" s="5">
        <v>65.569999999999993</v>
      </c>
      <c r="AJ312" s="5">
        <v>95.68</v>
      </c>
      <c r="AK312" s="5">
        <v>109.02</v>
      </c>
      <c r="AL312" s="5">
        <v>111.62</v>
      </c>
      <c r="AM312" s="5">
        <v>432.97</v>
      </c>
      <c r="AN312" s="5">
        <v>170.1696</v>
      </c>
      <c r="AO312" s="5">
        <v>67.59</v>
      </c>
      <c r="AP312" s="5">
        <v>98.25</v>
      </c>
      <c r="AQ312" s="5">
        <v>84.28</v>
      </c>
      <c r="AR312" s="5">
        <v>577.1</v>
      </c>
      <c r="AS312" s="5">
        <v>41.43</v>
      </c>
      <c r="AT312" s="5">
        <v>58.04</v>
      </c>
      <c r="AU312" s="5">
        <v>96.15</v>
      </c>
      <c r="AV312" s="5">
        <v>113.15</v>
      </c>
      <c r="AW312" s="5">
        <v>0.115</v>
      </c>
      <c r="AX312" s="5">
        <v>1.56</v>
      </c>
      <c r="AY312" s="5">
        <v>10000000000</v>
      </c>
      <c r="AZ312" s="5">
        <v>146.83000000000001</v>
      </c>
      <c r="BA312" s="5">
        <v>74.400000000000006</v>
      </c>
      <c r="BB312" s="5">
        <v>5.98</v>
      </c>
      <c r="BC312" s="5">
        <v>0.49</v>
      </c>
      <c r="BD312" s="5">
        <v>12.39</v>
      </c>
      <c r="BE312" s="5">
        <v>4.24</v>
      </c>
      <c r="BF312" s="5">
        <v>342.7</v>
      </c>
      <c r="BG312" s="5">
        <v>8.18</v>
      </c>
      <c r="BH312" s="5">
        <v>10000000000</v>
      </c>
      <c r="BI312" s="5">
        <v>251.1</v>
      </c>
      <c r="BJ312" s="5">
        <v>36</v>
      </c>
      <c r="BK312" s="5">
        <v>87.5</v>
      </c>
      <c r="BL312" s="5">
        <v>51.4</v>
      </c>
      <c r="BM312" s="5">
        <v>1.81</v>
      </c>
      <c r="BN312" s="5">
        <v>29.42</v>
      </c>
      <c r="BO312" s="5">
        <v>34.49</v>
      </c>
      <c r="BP312" s="5">
        <v>593.32000000000005</v>
      </c>
      <c r="BQ312" s="5">
        <v>59.216410000000003</v>
      </c>
      <c r="BR312" s="5">
        <v>212.58420000000001</v>
      </c>
      <c r="BS312" s="5">
        <v>59.230289999999997</v>
      </c>
      <c r="BT312" s="5">
        <v>61.088140000000003</v>
      </c>
      <c r="BU312" s="5">
        <v>60.118049999999997</v>
      </c>
      <c r="BV312" s="5">
        <v>9.1176999999999994E-2</v>
      </c>
      <c r="BW312" s="5">
        <v>8.6152999999999993E-2</v>
      </c>
      <c r="BX312" s="5">
        <v>45.190730000000002</v>
      </c>
      <c r="BY312" s="5">
        <v>18.995360000000002</v>
      </c>
      <c r="BZ312" s="5">
        <v>0</v>
      </c>
      <c r="CA312" s="5">
        <v>0.931786</v>
      </c>
      <c r="CB312" s="5">
        <v>658.09059999999999</v>
      </c>
      <c r="CC312" s="5">
        <v>672.56899999999996</v>
      </c>
      <c r="CD312" s="5">
        <v>52.188229999999997</v>
      </c>
      <c r="CE312" s="5">
        <v>393.86</v>
      </c>
      <c r="CF312" s="5">
        <v>77.040000000000006</v>
      </c>
      <c r="CG312" s="5">
        <v>88.74</v>
      </c>
      <c r="CH312" s="5">
        <v>375.47</v>
      </c>
      <c r="CI312" s="5">
        <v>382.29</v>
      </c>
      <c r="CJ312" s="5">
        <v>393.74</v>
      </c>
      <c r="CK312" s="5">
        <v>424.08</v>
      </c>
      <c r="CL312" s="5">
        <v>419.62</v>
      </c>
      <c r="CM312" s="5">
        <v>424.99</v>
      </c>
      <c r="CN312" s="5">
        <v>337.1</v>
      </c>
      <c r="CO312" s="5">
        <v>26.74</v>
      </c>
      <c r="CP312" s="5">
        <v>321.2</v>
      </c>
      <c r="CQ312" s="5">
        <v>323.05</v>
      </c>
      <c r="CR312" s="5">
        <v>5.8</v>
      </c>
      <c r="CS312" s="5">
        <v>5.8</v>
      </c>
      <c r="CT312" s="5">
        <v>26.01</v>
      </c>
      <c r="CU312" s="5">
        <v>30.13</v>
      </c>
      <c r="CV312" s="5">
        <v>101.46</v>
      </c>
      <c r="CW312" s="5">
        <v>0.87800078953274896</v>
      </c>
      <c r="CX312" s="5">
        <v>3.7227233476188557</v>
      </c>
    </row>
    <row r="313" spans="1:102" x14ac:dyDescent="0.25">
      <c r="A313" s="5">
        <v>19</v>
      </c>
      <c r="B313" s="23">
        <v>8.309027777777778E-3</v>
      </c>
      <c r="C313" s="5">
        <v>11</v>
      </c>
      <c r="D313" s="5">
        <v>18</v>
      </c>
      <c r="E313" s="5">
        <v>300</v>
      </c>
      <c r="F313" s="5">
        <v>300</v>
      </c>
      <c r="G313" s="5">
        <v>300.10000000000002</v>
      </c>
      <c r="H313" s="5">
        <v>100</v>
      </c>
      <c r="I313" s="5">
        <v>100</v>
      </c>
      <c r="J313" s="5">
        <v>1890</v>
      </c>
      <c r="K313" s="5">
        <v>6</v>
      </c>
      <c r="L313" s="5">
        <v>6</v>
      </c>
      <c r="M313" s="5">
        <v>0.27</v>
      </c>
      <c r="N313" s="5">
        <v>0.26999499999999999</v>
      </c>
      <c r="O313" s="5">
        <v>1</v>
      </c>
      <c r="P313" s="5">
        <v>1.0694349999999999</v>
      </c>
      <c r="Q313" s="5">
        <v>-4.6500000000000004</v>
      </c>
      <c r="R313" s="5">
        <v>-4.6472170000000004</v>
      </c>
      <c r="S313" s="5">
        <v>134.97</v>
      </c>
      <c r="T313" s="5">
        <v>134.96879999999999</v>
      </c>
      <c r="U313" s="5">
        <v>3.5</v>
      </c>
      <c r="V313" s="5">
        <v>3.5</v>
      </c>
      <c r="W313" s="5">
        <v>300</v>
      </c>
      <c r="X313" s="5">
        <v>300</v>
      </c>
      <c r="Y313" s="5">
        <v>3.5</v>
      </c>
      <c r="Z313" s="5">
        <v>3.5</v>
      </c>
      <c r="AA313" s="5">
        <v>300</v>
      </c>
      <c r="AB313" s="5">
        <v>300</v>
      </c>
      <c r="AC313" s="5">
        <v>0</v>
      </c>
      <c r="AD313" s="5">
        <v>86.397390000000001</v>
      </c>
      <c r="AE313" s="5">
        <v>0</v>
      </c>
      <c r="AF313" s="5">
        <v>86.397390000000001</v>
      </c>
      <c r="AG313" s="5">
        <v>37</v>
      </c>
      <c r="AH313" s="5">
        <v>0.17</v>
      </c>
      <c r="AI313" s="5">
        <v>49.28</v>
      </c>
      <c r="AJ313" s="5">
        <v>66.989999999999995</v>
      </c>
      <c r="AK313" s="5">
        <v>44.02</v>
      </c>
      <c r="AL313" s="5">
        <v>44.87</v>
      </c>
      <c r="AM313" s="5">
        <v>506.35</v>
      </c>
      <c r="AN313" s="5">
        <v>127.1418</v>
      </c>
      <c r="AO313" s="5">
        <v>24.64</v>
      </c>
      <c r="AP313" s="5">
        <v>62.26</v>
      </c>
      <c r="AQ313" s="5">
        <v>35.700000000000003</v>
      </c>
      <c r="AR313" s="5">
        <v>392.21</v>
      </c>
      <c r="AS313" s="5">
        <v>19.38</v>
      </c>
      <c r="AT313" s="5">
        <v>53.79</v>
      </c>
      <c r="AU313" s="5">
        <v>103.1</v>
      </c>
      <c r="AV313" s="5">
        <v>114.78</v>
      </c>
      <c r="AW313" s="5">
        <v>0.89800000000000002</v>
      </c>
      <c r="AX313" s="5">
        <v>15.53</v>
      </c>
      <c r="AY313" s="5">
        <v>10000000000</v>
      </c>
      <c r="AZ313" s="5">
        <v>343.84</v>
      </c>
      <c r="BA313" s="5">
        <v>106.03</v>
      </c>
      <c r="BB313" s="5">
        <v>8.27</v>
      </c>
      <c r="BC313" s="5">
        <v>1.44</v>
      </c>
      <c r="BD313" s="5">
        <v>9.19</v>
      </c>
      <c r="BE313" s="5">
        <v>1.6</v>
      </c>
      <c r="BF313" s="5">
        <v>185.76</v>
      </c>
      <c r="BG313" s="5">
        <v>17.350000000000001</v>
      </c>
      <c r="BH313" s="5">
        <v>10000000000</v>
      </c>
      <c r="BI313" s="5">
        <v>256.60000000000002</v>
      </c>
      <c r="BJ313" s="5">
        <v>25.7</v>
      </c>
      <c r="BK313" s="5">
        <v>84.9</v>
      </c>
      <c r="BL313" s="5">
        <v>82.31</v>
      </c>
      <c r="BM313" s="5">
        <v>1.41</v>
      </c>
      <c r="BN313" s="5">
        <v>30.29</v>
      </c>
      <c r="BO313" s="5">
        <v>36.6</v>
      </c>
      <c r="BP313" s="5">
        <v>407.27</v>
      </c>
      <c r="BQ313" s="5">
        <v>55.293019999999999</v>
      </c>
      <c r="BR313" s="5">
        <v>141.9443</v>
      </c>
      <c r="BS313" s="5">
        <v>62.460830000000001</v>
      </c>
      <c r="BT313" s="5">
        <v>51.104019999999998</v>
      </c>
      <c r="BU313" s="5">
        <v>48.760730000000002</v>
      </c>
      <c r="BV313" s="5">
        <v>8.7535000000000002E-2</v>
      </c>
      <c r="BW313" s="5">
        <v>6.0666999999999999E-2</v>
      </c>
      <c r="BX313" s="5">
        <v>41.916040000000002</v>
      </c>
      <c r="BY313" s="5">
        <v>18.995360000000002</v>
      </c>
      <c r="BZ313" s="5">
        <v>0</v>
      </c>
      <c r="CA313" s="5">
        <v>0.93241600000000002</v>
      </c>
      <c r="CB313" s="5">
        <v>497.91039999999998</v>
      </c>
      <c r="CC313" s="5">
        <v>511.45420000000001</v>
      </c>
      <c r="CD313" s="5">
        <v>48.912709999999997</v>
      </c>
      <c r="CE313" s="5">
        <v>484.84</v>
      </c>
      <c r="CF313" s="5">
        <v>82.5</v>
      </c>
      <c r="CG313" s="5">
        <v>95.88</v>
      </c>
      <c r="CH313" s="5">
        <v>415.31</v>
      </c>
      <c r="CI313" s="5">
        <v>423.75</v>
      </c>
      <c r="CJ313" s="5">
        <v>434.66</v>
      </c>
      <c r="CK313" s="5">
        <v>481.77</v>
      </c>
      <c r="CL313" s="5">
        <v>469.76</v>
      </c>
      <c r="CM313" s="5">
        <v>485.92</v>
      </c>
      <c r="CN313" s="5">
        <v>431.65</v>
      </c>
      <c r="CO313" s="5">
        <v>26.87</v>
      </c>
      <c r="CP313" s="5">
        <v>298.5</v>
      </c>
      <c r="CQ313" s="5">
        <v>300.05</v>
      </c>
      <c r="CR313" s="5">
        <v>5.3</v>
      </c>
      <c r="CS313" s="5">
        <v>5.4</v>
      </c>
      <c r="CT313" s="5">
        <v>25.78</v>
      </c>
      <c r="CU313" s="5">
        <v>28.1</v>
      </c>
      <c r="CV313" s="5">
        <v>101.47</v>
      </c>
      <c r="CW313" s="5">
        <v>0.85128331861173845</v>
      </c>
      <c r="CX313" s="5">
        <v>1.3620533097787817</v>
      </c>
    </row>
    <row r="314" spans="1:102" x14ac:dyDescent="0.25">
      <c r="A314" s="5">
        <v>21</v>
      </c>
      <c r="B314" s="23">
        <v>1.9180555555555558E-2</v>
      </c>
      <c r="C314" s="5">
        <v>11</v>
      </c>
      <c r="D314" s="5">
        <v>20</v>
      </c>
      <c r="E314" s="5">
        <v>307</v>
      </c>
      <c r="F314" s="5">
        <v>307</v>
      </c>
      <c r="G314" s="5">
        <v>307.10000000000002</v>
      </c>
      <c r="H314" s="5">
        <v>100</v>
      </c>
      <c r="I314" s="5">
        <v>100</v>
      </c>
      <c r="J314" s="5">
        <v>1890</v>
      </c>
      <c r="K314" s="5">
        <v>42</v>
      </c>
      <c r="L314" s="5">
        <v>42</v>
      </c>
      <c r="M314" s="5">
        <v>0.24</v>
      </c>
      <c r="N314" s="5">
        <v>0.24000199999999999</v>
      </c>
      <c r="O314" s="5">
        <v>1</v>
      </c>
      <c r="P314" s="5">
        <v>1.069372</v>
      </c>
      <c r="Q314" s="5">
        <v>-4.6399999999999997</v>
      </c>
      <c r="R314" s="5">
        <v>-4.6362300000000003</v>
      </c>
      <c r="S314" s="5">
        <v>136.1</v>
      </c>
      <c r="T314" s="5">
        <v>136.09379999999999</v>
      </c>
      <c r="U314" s="5">
        <v>3.5</v>
      </c>
      <c r="V314" s="5">
        <v>3.5</v>
      </c>
      <c r="W314" s="5">
        <v>300</v>
      </c>
      <c r="X314" s="5">
        <v>300</v>
      </c>
      <c r="Y314" s="5">
        <v>3.5</v>
      </c>
      <c r="Z314" s="5">
        <v>3.5</v>
      </c>
      <c r="AA314" s="5">
        <v>300</v>
      </c>
      <c r="AB314" s="5">
        <v>300</v>
      </c>
      <c r="AC314" s="5">
        <v>0</v>
      </c>
      <c r="AD314" s="5">
        <v>108.9646</v>
      </c>
      <c r="AE314" s="5">
        <v>0</v>
      </c>
      <c r="AF314" s="5">
        <v>108.9646</v>
      </c>
      <c r="AG314" s="5">
        <v>37</v>
      </c>
      <c r="AH314" s="5">
        <v>0.17</v>
      </c>
      <c r="AI314" s="5">
        <v>63.06</v>
      </c>
      <c r="AJ314" s="5">
        <v>88.91</v>
      </c>
      <c r="AK314" s="5">
        <v>96.17</v>
      </c>
      <c r="AL314" s="5">
        <v>96.55</v>
      </c>
      <c r="AM314" s="5">
        <v>429.83</v>
      </c>
      <c r="AN314" s="5">
        <v>165.36619999999999</v>
      </c>
      <c r="AO314" s="5">
        <v>62.94</v>
      </c>
      <c r="AP314" s="5">
        <v>91.41</v>
      </c>
      <c r="AQ314" s="5">
        <v>76.650000000000006</v>
      </c>
      <c r="AR314" s="5">
        <v>484.15</v>
      </c>
      <c r="AS314" s="5">
        <v>33.229999999999997</v>
      </c>
      <c r="AT314" s="5">
        <v>63.2</v>
      </c>
      <c r="AU314" s="5">
        <v>110.55</v>
      </c>
      <c r="AV314" s="5">
        <v>110.94</v>
      </c>
      <c r="AW314" s="5">
        <v>0.34899999999999998</v>
      </c>
      <c r="AX314" s="5">
        <v>5.0999999999999996</v>
      </c>
      <c r="AY314" s="5">
        <v>10000000000</v>
      </c>
      <c r="AZ314" s="5">
        <v>229.26</v>
      </c>
      <c r="BA314" s="5">
        <v>107.52</v>
      </c>
      <c r="BB314" s="5">
        <v>6.82</v>
      </c>
      <c r="BC314" s="5">
        <v>1.4</v>
      </c>
      <c r="BD314" s="5">
        <v>11.23</v>
      </c>
      <c r="BE314" s="5">
        <v>1.97</v>
      </c>
      <c r="BF314" s="5">
        <v>184.12</v>
      </c>
      <c r="BG314" s="5">
        <v>20.59</v>
      </c>
      <c r="BH314" s="5">
        <v>10000000000</v>
      </c>
      <c r="BI314" s="5">
        <v>252.8</v>
      </c>
      <c r="BJ314" s="5">
        <v>31.5</v>
      </c>
      <c r="BK314" s="5">
        <v>86.1</v>
      </c>
      <c r="BL314" s="5">
        <v>125.39</v>
      </c>
      <c r="BM314" s="5">
        <v>1.78</v>
      </c>
      <c r="BN314" s="5">
        <v>30.26</v>
      </c>
      <c r="BO314" s="5">
        <v>35.25</v>
      </c>
      <c r="BP314" s="5">
        <v>499.07</v>
      </c>
      <c r="BQ314" s="5">
        <v>63.610100000000003</v>
      </c>
      <c r="BR314" s="5">
        <v>192.30850000000001</v>
      </c>
      <c r="BS314" s="5">
        <v>61.497280000000003</v>
      </c>
      <c r="BT314" s="5">
        <v>63.270049999999998</v>
      </c>
      <c r="BU314" s="5">
        <v>61.14255</v>
      </c>
      <c r="BV314" s="5">
        <v>8.9096999999999996E-2</v>
      </c>
      <c r="BW314" s="5">
        <v>7.1146000000000001E-2</v>
      </c>
      <c r="BX314" s="5">
        <v>42.382399999999997</v>
      </c>
      <c r="BY314" s="5">
        <v>18.995360000000002</v>
      </c>
      <c r="BZ314" s="5">
        <v>0</v>
      </c>
      <c r="CA314" s="5">
        <v>0.93232499999999996</v>
      </c>
      <c r="CB314" s="5">
        <v>631.55880000000002</v>
      </c>
      <c r="CC314" s="5">
        <v>645.23249999999996</v>
      </c>
      <c r="CD314" s="5">
        <v>49.379689999999997</v>
      </c>
      <c r="CE314" s="5">
        <v>434.28</v>
      </c>
      <c r="CF314" s="5">
        <v>87.28</v>
      </c>
      <c r="CG314" s="5">
        <v>102.3</v>
      </c>
      <c r="CH314" s="5">
        <v>373.92</v>
      </c>
      <c r="CI314" s="5">
        <v>376.13</v>
      </c>
      <c r="CJ314" s="5">
        <v>388.95</v>
      </c>
      <c r="CK314" s="5">
        <v>432.21</v>
      </c>
      <c r="CL314" s="5">
        <v>417</v>
      </c>
      <c r="CM314" s="5">
        <v>429.54</v>
      </c>
      <c r="CN314" s="5">
        <v>334.74</v>
      </c>
      <c r="CO314" s="5">
        <v>26.89</v>
      </c>
      <c r="CP314" s="5">
        <v>305.39999999999998</v>
      </c>
      <c r="CQ314" s="5">
        <v>307.04000000000002</v>
      </c>
      <c r="CR314" s="5">
        <v>5.5</v>
      </c>
      <c r="CS314" s="5">
        <v>5.5</v>
      </c>
      <c r="CT314" s="5">
        <v>26.08</v>
      </c>
      <c r="CU314" s="5">
        <v>30.32</v>
      </c>
      <c r="CV314" s="5">
        <v>101.47</v>
      </c>
      <c r="CW314" s="5">
        <v>0.87154259368385045</v>
      </c>
      <c r="CX314" s="5">
        <v>1.7169389095571854</v>
      </c>
    </row>
    <row r="315" spans="1:102" x14ac:dyDescent="0.25">
      <c r="A315" s="5">
        <v>18</v>
      </c>
      <c r="B315" s="23">
        <v>2.8657407407407412E-3</v>
      </c>
      <c r="C315" s="5">
        <v>11</v>
      </c>
      <c r="D315" s="5">
        <v>17</v>
      </c>
      <c r="E315" s="5">
        <v>292</v>
      </c>
      <c r="F315" s="5">
        <v>292</v>
      </c>
      <c r="G315" s="5">
        <v>292</v>
      </c>
      <c r="H315" s="5">
        <v>100</v>
      </c>
      <c r="I315" s="5">
        <v>100</v>
      </c>
      <c r="J315" s="5">
        <v>1890</v>
      </c>
      <c r="K315" s="5">
        <v>64</v>
      </c>
      <c r="L315" s="5">
        <v>64</v>
      </c>
      <c r="M315" s="5">
        <v>0.26</v>
      </c>
      <c r="N315" s="5">
        <v>0.26007999999999998</v>
      </c>
      <c r="O315" s="5">
        <v>1</v>
      </c>
      <c r="P315" s="5">
        <v>1.069456</v>
      </c>
      <c r="Q315" s="5">
        <v>-4.46</v>
      </c>
      <c r="R315" s="5">
        <v>-4.4604489999999997</v>
      </c>
      <c r="S315" s="5">
        <v>133.82</v>
      </c>
      <c r="T315" s="5">
        <v>133.8125</v>
      </c>
      <c r="U315" s="5">
        <v>3.5</v>
      </c>
      <c r="V315" s="5">
        <v>3.5</v>
      </c>
      <c r="W315" s="5">
        <v>300</v>
      </c>
      <c r="X315" s="5">
        <v>300</v>
      </c>
      <c r="Y315" s="5">
        <v>3.5</v>
      </c>
      <c r="Z315" s="5">
        <v>3.5</v>
      </c>
      <c r="AA315" s="5">
        <v>300</v>
      </c>
      <c r="AB315" s="5">
        <v>300</v>
      </c>
      <c r="AC315" s="5">
        <v>0</v>
      </c>
      <c r="AD315" s="5">
        <v>121.49850000000001</v>
      </c>
      <c r="AE315" s="5">
        <v>0</v>
      </c>
      <c r="AF315" s="5">
        <v>121.4978</v>
      </c>
      <c r="AG315" s="5">
        <v>37</v>
      </c>
      <c r="AH315" s="5">
        <v>0.17</v>
      </c>
      <c r="AI315" s="5">
        <v>71.790000000000006</v>
      </c>
      <c r="AJ315" s="5">
        <v>98.26</v>
      </c>
      <c r="AK315" s="5">
        <v>165.07</v>
      </c>
      <c r="AL315" s="5">
        <v>163.16999999999999</v>
      </c>
      <c r="AM315" s="5">
        <v>420.48</v>
      </c>
      <c r="AN315" s="5">
        <v>193.1438</v>
      </c>
      <c r="AO315" s="5">
        <v>92.08</v>
      </c>
      <c r="AP315" s="5">
        <v>115.37</v>
      </c>
      <c r="AQ315" s="5">
        <v>105.32</v>
      </c>
      <c r="AR315" s="5">
        <v>472.63</v>
      </c>
      <c r="AS315" s="5">
        <v>72.989999999999995</v>
      </c>
      <c r="AT315" s="5">
        <v>80.819999999999993</v>
      </c>
      <c r="AU315" s="5">
        <v>133.15</v>
      </c>
      <c r="AV315" s="5">
        <v>118.61</v>
      </c>
      <c r="AW315" s="5">
        <v>0.80100000000000005</v>
      </c>
      <c r="AX315" s="5">
        <v>13.45</v>
      </c>
      <c r="AY315" s="5">
        <v>10000000000</v>
      </c>
      <c r="AZ315" s="5">
        <v>315.27999999999997</v>
      </c>
      <c r="BA315" s="5">
        <v>141.91</v>
      </c>
      <c r="BB315" s="5">
        <v>7.19</v>
      </c>
      <c r="BC315" s="5">
        <v>2.3199999999999998</v>
      </c>
      <c r="BD315" s="5">
        <v>10.71</v>
      </c>
      <c r="BE315" s="5">
        <v>1.0900000000000001</v>
      </c>
      <c r="BF315" s="5">
        <v>99.86</v>
      </c>
      <c r="BG315" s="5">
        <v>32.299999999999997</v>
      </c>
      <c r="BH315" s="5">
        <v>10000000000</v>
      </c>
      <c r="BI315" s="5">
        <v>274.2</v>
      </c>
      <c r="BJ315" s="5">
        <v>29.8</v>
      </c>
      <c r="BK315" s="5">
        <v>85.8</v>
      </c>
      <c r="BL315" s="5">
        <v>225.43</v>
      </c>
      <c r="BM315" s="5">
        <v>2.0499999999999998</v>
      </c>
      <c r="BN315" s="5">
        <v>31.11</v>
      </c>
      <c r="BO315" s="5">
        <v>35.590000000000003</v>
      </c>
      <c r="BP315" s="5">
        <v>488.38</v>
      </c>
      <c r="BQ315" s="5">
        <v>77.867869999999996</v>
      </c>
      <c r="BR315" s="5">
        <v>253.8673</v>
      </c>
      <c r="BS315" s="5">
        <v>60.105269999999997</v>
      </c>
      <c r="BT315" s="5">
        <v>68.633240000000001</v>
      </c>
      <c r="BU315" s="5">
        <v>67.05753</v>
      </c>
      <c r="BV315" s="5">
        <v>9.1134999999999994E-2</v>
      </c>
      <c r="BW315" s="5">
        <v>8.1008999999999998E-2</v>
      </c>
      <c r="BX315" s="5">
        <v>43.308489999999999</v>
      </c>
      <c r="BY315" s="5">
        <v>18.995360000000002</v>
      </c>
      <c r="BZ315" s="5">
        <v>0</v>
      </c>
      <c r="CA315" s="5">
        <v>0.93214900000000001</v>
      </c>
      <c r="CB315" s="5">
        <v>707.55380000000002</v>
      </c>
      <c r="CC315" s="5">
        <v>721.48130000000003</v>
      </c>
      <c r="CD315" s="5">
        <v>50.307139999999997</v>
      </c>
      <c r="CE315" s="5">
        <v>441.47</v>
      </c>
      <c r="CF315" s="5">
        <v>107.46</v>
      </c>
      <c r="CG315" s="5">
        <v>127.22</v>
      </c>
      <c r="CH315" s="5">
        <v>389.53</v>
      </c>
      <c r="CI315" s="5">
        <v>391.87</v>
      </c>
      <c r="CJ315" s="5">
        <v>397.59</v>
      </c>
      <c r="CK315" s="5">
        <v>421.23</v>
      </c>
      <c r="CL315" s="5">
        <v>423.58</v>
      </c>
      <c r="CM315" s="5">
        <v>435.01</v>
      </c>
      <c r="CN315" s="5">
        <v>307.05</v>
      </c>
      <c r="CO315" s="5">
        <v>27.57</v>
      </c>
      <c r="CP315" s="5">
        <v>290.8</v>
      </c>
      <c r="CQ315" s="5">
        <v>292.05</v>
      </c>
      <c r="CR315" s="5">
        <v>5.2</v>
      </c>
      <c r="CS315" s="5">
        <v>5.2</v>
      </c>
      <c r="CT315" s="5">
        <v>25.64</v>
      </c>
      <c r="CU315" s="5">
        <v>26.62</v>
      </c>
      <c r="CV315" s="5">
        <v>101.49</v>
      </c>
      <c r="CW315" s="5">
        <v>0.85545428752126318</v>
      </c>
      <c r="CX315" s="5">
        <v>0.9324451733981769</v>
      </c>
    </row>
    <row r="316" spans="1:102" x14ac:dyDescent="0.25">
      <c r="A316" s="5">
        <v>17</v>
      </c>
      <c r="B316" s="23">
        <v>3.9098379629629636E-2</v>
      </c>
      <c r="C316" s="5">
        <v>11</v>
      </c>
      <c r="D316" s="5">
        <v>16</v>
      </c>
      <c r="E316" s="5">
        <v>284</v>
      </c>
      <c r="F316" s="5">
        <v>284</v>
      </c>
      <c r="G316" s="5">
        <v>284</v>
      </c>
      <c r="H316" s="5">
        <v>100</v>
      </c>
      <c r="I316" s="5">
        <v>100</v>
      </c>
      <c r="J316" s="5">
        <v>1890</v>
      </c>
      <c r="K316" s="5">
        <v>19</v>
      </c>
      <c r="L316" s="5">
        <v>19</v>
      </c>
      <c r="M316" s="5">
        <v>0.17</v>
      </c>
      <c r="N316" s="5">
        <v>0.170047</v>
      </c>
      <c r="O316" s="5">
        <v>1</v>
      </c>
      <c r="P316" s="5">
        <v>1.069477</v>
      </c>
      <c r="Q316" s="5">
        <v>-4.28</v>
      </c>
      <c r="R316" s="5">
        <v>-4.2846679999999999</v>
      </c>
      <c r="S316" s="5">
        <v>132.66</v>
      </c>
      <c r="T316" s="5">
        <v>132.65629999999999</v>
      </c>
      <c r="U316" s="5">
        <v>3.5</v>
      </c>
      <c r="V316" s="5">
        <v>3.5</v>
      </c>
      <c r="W316" s="5">
        <v>300</v>
      </c>
      <c r="X316" s="5">
        <v>300</v>
      </c>
      <c r="Y316" s="5">
        <v>3.5</v>
      </c>
      <c r="Z316" s="5">
        <v>3.5</v>
      </c>
      <c r="AA316" s="5">
        <v>300</v>
      </c>
      <c r="AB316" s="5">
        <v>300</v>
      </c>
      <c r="AC316" s="5">
        <v>0</v>
      </c>
      <c r="AD316" s="5">
        <v>92.676829999999995</v>
      </c>
      <c r="AE316" s="5">
        <v>0</v>
      </c>
      <c r="AF316" s="5">
        <v>92.676829999999995</v>
      </c>
      <c r="AG316" s="5">
        <v>37</v>
      </c>
      <c r="AH316" s="5">
        <v>0.17</v>
      </c>
      <c r="AI316" s="5">
        <v>52.22</v>
      </c>
      <c r="AJ316" s="5">
        <v>73.900000000000006</v>
      </c>
      <c r="AK316" s="5">
        <v>56.06</v>
      </c>
      <c r="AL316" s="5">
        <v>57.53</v>
      </c>
      <c r="AM316" s="5">
        <v>450.38</v>
      </c>
      <c r="AN316" s="5">
        <v>134.70429999999999</v>
      </c>
      <c r="AO316" s="5">
        <v>31.8</v>
      </c>
      <c r="AP316" s="5">
        <v>69.12</v>
      </c>
      <c r="AQ316" s="5">
        <v>44.16</v>
      </c>
      <c r="AR316" s="5">
        <v>440.58</v>
      </c>
      <c r="AS316" s="5">
        <v>24.26</v>
      </c>
      <c r="AT316" s="5">
        <v>48.97</v>
      </c>
      <c r="AU316" s="5">
        <v>98.89</v>
      </c>
      <c r="AV316" s="5">
        <v>110.09</v>
      </c>
      <c r="AW316" s="5">
        <v>0.375</v>
      </c>
      <c r="AX316" s="5">
        <v>5.53</v>
      </c>
      <c r="AY316" s="5">
        <v>10000000000</v>
      </c>
      <c r="AZ316" s="5">
        <v>236.59</v>
      </c>
      <c r="BA316" s="5">
        <v>105.98</v>
      </c>
      <c r="BB316" s="5">
        <v>6.97</v>
      </c>
      <c r="BC316" s="5">
        <v>0.97</v>
      </c>
      <c r="BD316" s="5">
        <v>11.04</v>
      </c>
      <c r="BE316" s="5">
        <v>2.5099999999999998</v>
      </c>
      <c r="BF316" s="5">
        <v>238.73</v>
      </c>
      <c r="BG316" s="5">
        <v>13.98</v>
      </c>
      <c r="BH316" s="5">
        <v>10000000000</v>
      </c>
      <c r="BI316" s="5">
        <v>253.7</v>
      </c>
      <c r="BJ316" s="5">
        <v>30.9</v>
      </c>
      <c r="BK316" s="5">
        <v>86.7</v>
      </c>
      <c r="BL316" s="5">
        <v>71.62</v>
      </c>
      <c r="BM316" s="5">
        <v>1.49</v>
      </c>
      <c r="BN316" s="5">
        <v>29.86</v>
      </c>
      <c r="BO316" s="5">
        <v>35.369999999999997</v>
      </c>
      <c r="BP316" s="5">
        <v>454.75</v>
      </c>
      <c r="BQ316" s="5">
        <v>50.64188</v>
      </c>
      <c r="BR316" s="5">
        <v>155.43950000000001</v>
      </c>
      <c r="BS316" s="5">
        <v>68.66534</v>
      </c>
      <c r="BT316" s="5">
        <v>57.669089999999997</v>
      </c>
      <c r="BU316" s="5">
        <v>56.607759999999999</v>
      </c>
      <c r="BV316" s="5">
        <v>7.7425999999999995E-2</v>
      </c>
      <c r="BW316" s="5">
        <v>7.1476999999999999E-2</v>
      </c>
      <c r="BX316" s="5">
        <v>38.911409999999997</v>
      </c>
      <c r="BY316" s="5">
        <v>18.995360000000002</v>
      </c>
      <c r="BZ316" s="5">
        <v>0</v>
      </c>
      <c r="CA316" s="5">
        <v>0.93299200000000004</v>
      </c>
      <c r="CB316" s="5">
        <v>535.42229999999995</v>
      </c>
      <c r="CC316" s="5">
        <v>548.13059999999996</v>
      </c>
      <c r="CD316" s="5">
        <v>45.908749999999998</v>
      </c>
      <c r="CE316" s="5">
        <v>426.81</v>
      </c>
      <c r="CF316" s="5">
        <v>75.290000000000006</v>
      </c>
      <c r="CG316" s="5">
        <v>89.4</v>
      </c>
      <c r="CH316" s="5">
        <v>383.23</v>
      </c>
      <c r="CI316" s="5">
        <v>384.61</v>
      </c>
      <c r="CJ316" s="5">
        <v>399.61</v>
      </c>
      <c r="CK316" s="5">
        <v>433.42</v>
      </c>
      <c r="CL316" s="5">
        <v>420.3</v>
      </c>
      <c r="CM316" s="5">
        <v>433.31</v>
      </c>
      <c r="CN316" s="5">
        <v>376.29</v>
      </c>
      <c r="CO316" s="5">
        <v>26.68</v>
      </c>
      <c r="CP316" s="5">
        <v>282.7</v>
      </c>
      <c r="CQ316" s="5">
        <v>284.05</v>
      </c>
      <c r="CR316" s="5">
        <v>5.0999999999999996</v>
      </c>
      <c r="CS316" s="5">
        <v>5.0999999999999996</v>
      </c>
      <c r="CT316" s="5">
        <v>25.98</v>
      </c>
      <c r="CU316" s="5">
        <v>27.8</v>
      </c>
      <c r="CV316" s="5">
        <v>101.5</v>
      </c>
      <c r="CW316" s="5">
        <v>0.86189954408971536</v>
      </c>
      <c r="CX316" s="5">
        <v>2.1633678556651854</v>
      </c>
    </row>
    <row r="317" spans="1:102" x14ac:dyDescent="0.25">
      <c r="A317" s="5">
        <v>16</v>
      </c>
      <c r="B317" s="23">
        <v>3.3663194444444447E-2</v>
      </c>
      <c r="C317" s="5">
        <v>11</v>
      </c>
      <c r="D317" s="5">
        <v>15</v>
      </c>
      <c r="E317" s="5">
        <v>276</v>
      </c>
      <c r="F317" s="5">
        <v>276</v>
      </c>
      <c r="G317" s="5">
        <v>276.10000000000002</v>
      </c>
      <c r="H317" s="5">
        <v>100</v>
      </c>
      <c r="I317" s="5">
        <v>100</v>
      </c>
      <c r="J317" s="5">
        <v>1890</v>
      </c>
      <c r="K317" s="5">
        <v>8</v>
      </c>
      <c r="L317" s="5">
        <v>8</v>
      </c>
      <c r="M317" s="5">
        <v>0.11</v>
      </c>
      <c r="N317" s="5">
        <v>0.109997</v>
      </c>
      <c r="O317" s="5">
        <v>1</v>
      </c>
      <c r="P317" s="5">
        <v>1.069421</v>
      </c>
      <c r="Q317" s="5">
        <v>-4.0999999999999996</v>
      </c>
      <c r="R317" s="5">
        <v>-4.0979000000000001</v>
      </c>
      <c r="S317" s="5">
        <v>131.5</v>
      </c>
      <c r="T317" s="5">
        <v>131.5</v>
      </c>
      <c r="U317" s="5">
        <v>3.5</v>
      </c>
      <c r="V317" s="5">
        <v>3.5</v>
      </c>
      <c r="W317" s="5">
        <v>300</v>
      </c>
      <c r="X317" s="5">
        <v>300</v>
      </c>
      <c r="Y317" s="5">
        <v>3.5</v>
      </c>
      <c r="Z317" s="5">
        <v>3.5</v>
      </c>
      <c r="AA317" s="5">
        <v>300</v>
      </c>
      <c r="AB317" s="5">
        <v>300</v>
      </c>
      <c r="AC317" s="5">
        <v>0</v>
      </c>
      <c r="AD317" s="5">
        <v>87.534480000000002</v>
      </c>
      <c r="AE317" s="5">
        <v>0</v>
      </c>
      <c r="AF317" s="5">
        <v>87.531980000000004</v>
      </c>
      <c r="AG317" s="5">
        <v>37</v>
      </c>
      <c r="AH317" s="5">
        <v>0.17</v>
      </c>
      <c r="AI317" s="5">
        <v>49.71</v>
      </c>
      <c r="AJ317" s="5">
        <v>69.91</v>
      </c>
      <c r="AK317" s="5">
        <v>49.67</v>
      </c>
      <c r="AL317" s="5">
        <v>51.63</v>
      </c>
      <c r="AM317" s="5">
        <v>461.34</v>
      </c>
      <c r="AN317" s="5">
        <v>127.26049999999999</v>
      </c>
      <c r="AO317" s="5">
        <v>24.59</v>
      </c>
      <c r="AP317" s="5">
        <v>63.49</v>
      </c>
      <c r="AQ317" s="5">
        <v>36.880000000000003</v>
      </c>
      <c r="AR317" s="5">
        <v>432.58</v>
      </c>
      <c r="AS317" s="5">
        <v>25.08</v>
      </c>
      <c r="AT317" s="5">
        <v>49.27</v>
      </c>
      <c r="AU317" s="5">
        <v>95.76</v>
      </c>
      <c r="AV317" s="5">
        <v>112.82</v>
      </c>
      <c r="AW317" s="5">
        <v>0.32300000000000001</v>
      </c>
      <c r="AX317" s="5">
        <v>4.68</v>
      </c>
      <c r="AY317" s="5">
        <v>10000000000</v>
      </c>
      <c r="AZ317" s="5">
        <v>207.89</v>
      </c>
      <c r="BA317" s="5">
        <v>91.04</v>
      </c>
      <c r="BB317" s="5">
        <v>6.93</v>
      </c>
      <c r="BC317" s="5">
        <v>0.69</v>
      </c>
      <c r="BD317" s="5">
        <v>11.08</v>
      </c>
      <c r="BE317" s="5">
        <v>3.16</v>
      </c>
      <c r="BF317" s="5">
        <v>297.08</v>
      </c>
      <c r="BG317" s="5">
        <v>9.91</v>
      </c>
      <c r="BH317" s="5">
        <v>10000000000</v>
      </c>
      <c r="BI317" s="5">
        <v>256</v>
      </c>
      <c r="BJ317" s="5">
        <v>30.9</v>
      </c>
      <c r="BK317" s="5">
        <v>86.7</v>
      </c>
      <c r="BL317" s="5">
        <v>47.58</v>
      </c>
      <c r="BM317" s="5">
        <v>1.39</v>
      </c>
      <c r="BN317" s="5">
        <v>29.6</v>
      </c>
      <c r="BO317" s="5">
        <v>35.36</v>
      </c>
      <c r="BP317" s="5">
        <v>446.4</v>
      </c>
      <c r="BQ317" s="5">
        <v>51.182290000000002</v>
      </c>
      <c r="BR317" s="5">
        <v>150.68799999999999</v>
      </c>
      <c r="BS317" s="5">
        <v>70.496210000000005</v>
      </c>
      <c r="BT317" s="5">
        <v>54.566499999999998</v>
      </c>
      <c r="BU317" s="5">
        <v>54.665779999999998</v>
      </c>
      <c r="BV317" s="5">
        <v>7.4453000000000005E-2</v>
      </c>
      <c r="BW317" s="5">
        <v>8.3098000000000005E-2</v>
      </c>
      <c r="BX317" s="5">
        <v>38.02505</v>
      </c>
      <c r="BY317" s="5">
        <v>18.995360000000002</v>
      </c>
      <c r="BZ317" s="5">
        <v>0</v>
      </c>
      <c r="CA317" s="5">
        <v>0.93316399999999999</v>
      </c>
      <c r="CB317" s="5">
        <v>505.09519999999998</v>
      </c>
      <c r="CC317" s="5">
        <v>517.55460000000005</v>
      </c>
      <c r="CD317" s="5">
        <v>45.021929999999998</v>
      </c>
      <c r="CE317" s="5">
        <v>412.73</v>
      </c>
      <c r="CF317" s="5">
        <v>75.73</v>
      </c>
      <c r="CG317" s="5">
        <v>88.71</v>
      </c>
      <c r="CH317" s="5">
        <v>391.66</v>
      </c>
      <c r="CI317" s="5">
        <v>393.53</v>
      </c>
      <c r="CJ317" s="5">
        <v>408.34</v>
      </c>
      <c r="CK317" s="5">
        <v>444.33</v>
      </c>
      <c r="CL317" s="5">
        <v>427.53</v>
      </c>
      <c r="CM317" s="5">
        <v>438.33</v>
      </c>
      <c r="CN317" s="5">
        <v>392.46</v>
      </c>
      <c r="CO317" s="5">
        <v>26.17</v>
      </c>
      <c r="CP317" s="5">
        <v>274.60000000000002</v>
      </c>
      <c r="CQ317" s="5">
        <v>276.05</v>
      </c>
      <c r="CR317" s="5">
        <v>4.9000000000000004</v>
      </c>
      <c r="CS317" s="5">
        <v>4.9000000000000004</v>
      </c>
      <c r="CT317" s="5">
        <v>25.92</v>
      </c>
      <c r="CU317" s="5">
        <v>29.19</v>
      </c>
      <c r="CV317" s="5">
        <v>101.51</v>
      </c>
      <c r="CW317" s="5">
        <v>0.86510330638098787</v>
      </c>
      <c r="CX317" s="5">
        <v>2.7337264481639219</v>
      </c>
    </row>
    <row r="318" spans="1:102" x14ac:dyDescent="0.25">
      <c r="A318" s="5">
        <v>5</v>
      </c>
      <c r="B318" s="23">
        <v>41397.663698159726</v>
      </c>
      <c r="C318" s="5">
        <v>11</v>
      </c>
      <c r="D318" s="5">
        <v>42</v>
      </c>
      <c r="E318" s="5">
        <v>432</v>
      </c>
      <c r="F318" s="5">
        <v>432</v>
      </c>
      <c r="G318" s="5">
        <v>432</v>
      </c>
      <c r="H318" s="5">
        <v>100</v>
      </c>
      <c r="I318" s="5">
        <v>100</v>
      </c>
      <c r="J318" s="5">
        <v>1890</v>
      </c>
      <c r="K318" s="5">
        <v>7</v>
      </c>
      <c r="L318" s="5">
        <v>7</v>
      </c>
      <c r="M318" s="5">
        <v>0.12</v>
      </c>
      <c r="N318" s="5">
        <v>0.120046</v>
      </c>
      <c r="O318" s="5">
        <v>1</v>
      </c>
      <c r="P318" s="5">
        <v>1.0689569999999999</v>
      </c>
      <c r="Q318" s="5">
        <v>-4.68</v>
      </c>
      <c r="R318" s="5">
        <v>-4.6801760000000003</v>
      </c>
      <c r="S318" s="5">
        <v>158.09</v>
      </c>
      <c r="T318" s="5">
        <v>158.09379999999999</v>
      </c>
      <c r="U318" s="5">
        <v>3.5</v>
      </c>
      <c r="V318" s="5">
        <v>3.5</v>
      </c>
      <c r="W318" s="5">
        <v>300</v>
      </c>
      <c r="X318" s="5">
        <v>300</v>
      </c>
      <c r="Y318" s="5">
        <v>3.5</v>
      </c>
      <c r="Z318" s="5">
        <v>3.5</v>
      </c>
      <c r="AA318" s="5">
        <v>300</v>
      </c>
      <c r="AB318" s="5">
        <v>300</v>
      </c>
      <c r="AC318" s="5">
        <v>0</v>
      </c>
      <c r="AD318" s="5">
        <v>104.42910000000001</v>
      </c>
      <c r="AE318" s="5">
        <v>0</v>
      </c>
      <c r="AF318" s="5">
        <v>104.42910000000001</v>
      </c>
      <c r="AG318" s="5">
        <v>37</v>
      </c>
      <c r="AH318" s="5">
        <v>0.17</v>
      </c>
      <c r="AI318" s="5">
        <v>60.32</v>
      </c>
      <c r="AJ318" s="5">
        <v>86.95</v>
      </c>
      <c r="AK318" s="5">
        <v>75.27</v>
      </c>
      <c r="AL318" s="5">
        <v>77.95</v>
      </c>
      <c r="AM318" s="5">
        <v>565.58000000000004</v>
      </c>
      <c r="AN318" s="5">
        <v>154.45070000000001</v>
      </c>
      <c r="AO318" s="5">
        <v>52.65</v>
      </c>
      <c r="AP318" s="5">
        <v>84.26</v>
      </c>
      <c r="AQ318" s="5">
        <v>65.989999999999995</v>
      </c>
      <c r="AR318" s="5">
        <v>519.64</v>
      </c>
      <c r="AS318" s="5">
        <v>22.61</v>
      </c>
      <c r="AT318" s="5">
        <v>53.84</v>
      </c>
      <c r="AU318" s="5">
        <v>97.62</v>
      </c>
      <c r="AV318" s="5">
        <v>119.95</v>
      </c>
      <c r="AW318" s="5">
        <v>0.32700000000000001</v>
      </c>
      <c r="AX318" s="5">
        <v>4.75</v>
      </c>
      <c r="AY318" s="5">
        <v>10000000000</v>
      </c>
      <c r="AZ318" s="5">
        <v>174.19</v>
      </c>
      <c r="BA318" s="5">
        <v>37.549999999999997</v>
      </c>
      <c r="BB318" s="5">
        <v>8.5</v>
      </c>
      <c r="BC318" s="5">
        <v>0.73</v>
      </c>
      <c r="BD318" s="5">
        <v>8.84</v>
      </c>
      <c r="BE318" s="5">
        <v>2.97</v>
      </c>
      <c r="BF318" s="5">
        <v>375.8</v>
      </c>
      <c r="BG318" s="5">
        <v>8.6199999999999992</v>
      </c>
      <c r="BH318" s="5">
        <v>10000000000</v>
      </c>
      <c r="BI318" s="5">
        <v>241</v>
      </c>
      <c r="BJ318" s="5">
        <v>25.2</v>
      </c>
      <c r="BK318" s="5">
        <v>85.4</v>
      </c>
      <c r="BL318" s="5">
        <v>49.01</v>
      </c>
      <c r="BM318" s="5">
        <v>1.67</v>
      </c>
      <c r="BN318" s="5">
        <v>29.64</v>
      </c>
      <c r="BO318" s="5">
        <v>36.76</v>
      </c>
      <c r="BP318" s="5">
        <v>539.91</v>
      </c>
      <c r="BQ318" s="5">
        <v>55.400210000000001</v>
      </c>
      <c r="BR318" s="5">
        <v>178.5437</v>
      </c>
      <c r="BS318" s="5">
        <v>52.893810000000002</v>
      </c>
      <c r="BT318" s="5">
        <v>42.227849999999997</v>
      </c>
      <c r="BU318" s="5">
        <v>42.229529999999997</v>
      </c>
      <c r="BV318" s="5">
        <v>0.104188</v>
      </c>
      <c r="BW318" s="5">
        <v>0.11022899999999999</v>
      </c>
      <c r="BX318" s="5">
        <v>59.857860000000002</v>
      </c>
      <c r="BY318" s="5">
        <v>18.995360000000002</v>
      </c>
      <c r="BZ318" s="5">
        <v>0</v>
      </c>
      <c r="CA318" s="5">
        <v>0.92883599999999999</v>
      </c>
      <c r="CB318" s="5">
        <v>602.34079999999994</v>
      </c>
      <c r="CC318" s="5">
        <v>620.88400000000001</v>
      </c>
      <c r="CD318" s="5">
        <v>66.858860000000007</v>
      </c>
      <c r="CE318" s="5">
        <v>469.24</v>
      </c>
      <c r="CF318" s="5">
        <v>78.650000000000006</v>
      </c>
      <c r="CG318" s="5">
        <v>92.24</v>
      </c>
      <c r="CH318" s="5">
        <v>462.29</v>
      </c>
      <c r="CI318" s="5">
        <v>477.43</v>
      </c>
      <c r="CJ318" s="5">
        <v>490.87</v>
      </c>
      <c r="CK318" s="5">
        <v>531.72</v>
      </c>
      <c r="CL318" s="5">
        <v>510.29</v>
      </c>
      <c r="CM318" s="5">
        <v>509.62</v>
      </c>
      <c r="CN318" s="5">
        <v>467.35</v>
      </c>
      <c r="CO318" s="5">
        <v>27.37</v>
      </c>
      <c r="CP318" s="5">
        <v>429.9</v>
      </c>
      <c r="CQ318" s="5">
        <v>432.05</v>
      </c>
      <c r="CR318" s="5">
        <v>7.7</v>
      </c>
      <c r="CS318" s="5">
        <v>7.7</v>
      </c>
      <c r="CT318" s="5">
        <v>25.1</v>
      </c>
      <c r="CU318" s="5">
        <v>39.869999999999997</v>
      </c>
      <c r="CV318" s="5">
        <v>100.79</v>
      </c>
      <c r="CW318" s="5">
        <v>0.88804186873018043</v>
      </c>
      <c r="CX318" s="5">
        <v>2.637484350128636</v>
      </c>
    </row>
    <row r="319" spans="1:102" x14ac:dyDescent="0.25">
      <c r="A319" s="5">
        <v>20</v>
      </c>
      <c r="B319" s="23">
        <v>1.3740740740740741E-2</v>
      </c>
      <c r="C319" s="5">
        <v>11</v>
      </c>
      <c r="D319" s="5">
        <v>19</v>
      </c>
      <c r="E319" s="5">
        <v>304</v>
      </c>
      <c r="F319" s="5">
        <v>304</v>
      </c>
      <c r="G319" s="5">
        <v>304.10000000000002</v>
      </c>
      <c r="H319" s="5">
        <v>100</v>
      </c>
      <c r="I319" s="5">
        <v>100</v>
      </c>
      <c r="J319" s="5">
        <v>1890</v>
      </c>
      <c r="K319" s="5">
        <v>12</v>
      </c>
      <c r="L319" s="5">
        <v>12</v>
      </c>
      <c r="M319" s="5">
        <v>0.1</v>
      </c>
      <c r="N319" s="5">
        <v>0.100081</v>
      </c>
      <c r="O319" s="5">
        <v>1</v>
      </c>
      <c r="P319" s="5">
        <v>1.069472</v>
      </c>
      <c r="Q319" s="5">
        <v>-4.6399999999999997</v>
      </c>
      <c r="R319" s="5">
        <v>-4.6362300000000003</v>
      </c>
      <c r="S319" s="5">
        <v>135.61000000000001</v>
      </c>
      <c r="T319" s="5">
        <v>135.60939999999999</v>
      </c>
      <c r="U319" s="5">
        <v>3.5</v>
      </c>
      <c r="V319" s="5">
        <v>3.5</v>
      </c>
      <c r="W319" s="5">
        <v>300</v>
      </c>
      <c r="X319" s="5">
        <v>300</v>
      </c>
      <c r="Y319" s="5">
        <v>3.5</v>
      </c>
      <c r="Z319" s="5">
        <v>3.5</v>
      </c>
      <c r="AA319" s="5">
        <v>300</v>
      </c>
      <c r="AB319" s="5">
        <v>300</v>
      </c>
      <c r="AC319" s="5">
        <v>0</v>
      </c>
      <c r="AD319" s="5">
        <v>94.083799999999997</v>
      </c>
      <c r="AE319" s="5">
        <v>0</v>
      </c>
      <c r="AF319" s="5">
        <v>94.083799999999997</v>
      </c>
      <c r="AG319" s="5">
        <v>37</v>
      </c>
      <c r="AH319" s="5">
        <v>0.17</v>
      </c>
      <c r="AI319" s="5">
        <v>52.93</v>
      </c>
      <c r="AJ319" s="5">
        <v>76.28</v>
      </c>
      <c r="AK319" s="5">
        <v>59.27</v>
      </c>
      <c r="AL319" s="5">
        <v>61.62</v>
      </c>
      <c r="AM319" s="5">
        <v>472.48</v>
      </c>
      <c r="AN319" s="5">
        <v>136.02090000000001</v>
      </c>
      <c r="AO319" s="5">
        <v>32.99</v>
      </c>
      <c r="AP319" s="5">
        <v>69.819999999999993</v>
      </c>
      <c r="AQ319" s="5">
        <v>46.26</v>
      </c>
      <c r="AR319" s="5">
        <v>467.12</v>
      </c>
      <c r="AS319" s="5">
        <v>26.28</v>
      </c>
      <c r="AT319" s="5">
        <v>46.84</v>
      </c>
      <c r="AU319" s="5">
        <v>96.09</v>
      </c>
      <c r="AV319" s="5">
        <v>112.01</v>
      </c>
      <c r="AW319" s="5">
        <v>0.252</v>
      </c>
      <c r="AX319" s="5">
        <v>3.58</v>
      </c>
      <c r="AY319" s="5">
        <v>10000000000</v>
      </c>
      <c r="AZ319" s="5">
        <v>203.77</v>
      </c>
      <c r="BA319" s="5">
        <v>86.52</v>
      </c>
      <c r="BB319" s="5">
        <v>6.93</v>
      </c>
      <c r="BC319" s="5">
        <v>0.62</v>
      </c>
      <c r="BD319" s="5">
        <v>11.04</v>
      </c>
      <c r="BE319" s="5">
        <v>3.19</v>
      </c>
      <c r="BF319" s="5">
        <v>306.37</v>
      </c>
      <c r="BG319" s="5">
        <v>8.9</v>
      </c>
      <c r="BH319" s="5">
        <v>10000000000</v>
      </c>
      <c r="BI319" s="5">
        <v>252</v>
      </c>
      <c r="BJ319" s="5">
        <v>30.8</v>
      </c>
      <c r="BK319" s="5">
        <v>86.3</v>
      </c>
      <c r="BL319" s="5">
        <v>45.58</v>
      </c>
      <c r="BM319" s="5">
        <v>1.49</v>
      </c>
      <c r="BN319" s="5">
        <v>29.54</v>
      </c>
      <c r="BO319" s="5">
        <v>35.39</v>
      </c>
      <c r="BP319" s="5">
        <v>482.01</v>
      </c>
      <c r="BQ319" s="5">
        <v>48.778700000000001</v>
      </c>
      <c r="BR319" s="5">
        <v>161.84819999999999</v>
      </c>
      <c r="BS319" s="5">
        <v>63.518889999999999</v>
      </c>
      <c r="BT319" s="5">
        <v>54.087800000000001</v>
      </c>
      <c r="BU319" s="5">
        <v>53.91339</v>
      </c>
      <c r="BV319" s="5">
        <v>8.5801000000000002E-2</v>
      </c>
      <c r="BW319" s="5">
        <v>9.0246999999999994E-2</v>
      </c>
      <c r="BX319" s="5">
        <v>41.403640000000003</v>
      </c>
      <c r="BY319" s="5">
        <v>18.995360000000002</v>
      </c>
      <c r="BZ319" s="5">
        <v>0</v>
      </c>
      <c r="CA319" s="5">
        <v>0.93251499999999998</v>
      </c>
      <c r="CB319" s="5">
        <v>543.52229999999997</v>
      </c>
      <c r="CC319" s="5">
        <v>556.92309999999998</v>
      </c>
      <c r="CD319" s="5">
        <v>48.399430000000002</v>
      </c>
      <c r="CE319" s="5">
        <v>419.76</v>
      </c>
      <c r="CF319" s="5">
        <v>71.92</v>
      </c>
      <c r="CG319" s="5">
        <v>87.12</v>
      </c>
      <c r="CH319" s="5">
        <v>392.13</v>
      </c>
      <c r="CI319" s="5">
        <v>397.93</v>
      </c>
      <c r="CJ319" s="5">
        <v>413.88</v>
      </c>
      <c r="CK319" s="5">
        <v>460.97</v>
      </c>
      <c r="CL319" s="5">
        <v>441.95</v>
      </c>
      <c r="CM319" s="5">
        <v>452.12</v>
      </c>
      <c r="CN319" s="5">
        <v>396.28</v>
      </c>
      <c r="CO319" s="5">
        <v>27.14</v>
      </c>
      <c r="CP319" s="5">
        <v>302.39999999999998</v>
      </c>
      <c r="CQ319" s="5">
        <v>304.05</v>
      </c>
      <c r="CR319" s="5">
        <v>5.4</v>
      </c>
      <c r="CS319" s="5">
        <v>5.4</v>
      </c>
      <c r="CT319" s="5">
        <v>25.77</v>
      </c>
      <c r="CU319" s="5">
        <v>30.94</v>
      </c>
      <c r="CV319" s="5">
        <v>101.47</v>
      </c>
      <c r="CW319" s="5">
        <v>0.87016918268585497</v>
      </c>
      <c r="CX319" s="5">
        <v>2.7758396927678772</v>
      </c>
    </row>
    <row r="320" spans="1:102" x14ac:dyDescent="0.25">
      <c r="A320" s="5">
        <v>5</v>
      </c>
      <c r="B320" s="23">
        <v>1.0310185185185184E-2</v>
      </c>
      <c r="C320" s="5">
        <v>11</v>
      </c>
      <c r="D320" s="5">
        <v>5</v>
      </c>
      <c r="E320" s="5">
        <v>221</v>
      </c>
      <c r="F320" s="5">
        <v>221</v>
      </c>
      <c r="G320" s="5">
        <v>221</v>
      </c>
      <c r="H320" s="5">
        <v>100</v>
      </c>
      <c r="I320" s="5">
        <v>100</v>
      </c>
      <c r="J320" s="5">
        <v>1890</v>
      </c>
      <c r="K320" s="5">
        <v>46</v>
      </c>
      <c r="L320" s="5">
        <v>46</v>
      </c>
      <c r="M320" s="5">
        <v>0.25</v>
      </c>
      <c r="N320" s="5">
        <v>0.25004599999999999</v>
      </c>
      <c r="O320" s="5">
        <v>1</v>
      </c>
      <c r="P320" s="5">
        <v>1.069407</v>
      </c>
      <c r="Q320" s="5">
        <v>-2.83</v>
      </c>
      <c r="R320" s="5">
        <v>-2.834473</v>
      </c>
      <c r="S320" s="5">
        <v>123.54</v>
      </c>
      <c r="T320" s="5">
        <v>123.54689999999999</v>
      </c>
      <c r="U320" s="5">
        <v>3.5</v>
      </c>
      <c r="V320" s="5">
        <v>3.5</v>
      </c>
      <c r="W320" s="5">
        <v>300</v>
      </c>
      <c r="X320" s="5">
        <v>300</v>
      </c>
      <c r="Y320" s="5">
        <v>3.5</v>
      </c>
      <c r="Z320" s="5">
        <v>3.5</v>
      </c>
      <c r="AA320" s="5">
        <v>300</v>
      </c>
      <c r="AB320" s="5">
        <v>300</v>
      </c>
      <c r="AC320" s="5">
        <v>0</v>
      </c>
      <c r="AD320" s="5">
        <v>95.570989999999995</v>
      </c>
      <c r="AE320" s="5">
        <v>0</v>
      </c>
      <c r="AF320" s="5">
        <v>95.570989999999995</v>
      </c>
      <c r="AG320" s="5">
        <v>37</v>
      </c>
      <c r="AH320" s="5">
        <v>0.17</v>
      </c>
      <c r="AI320" s="5">
        <v>55.7</v>
      </c>
      <c r="AJ320" s="5">
        <v>78.290000000000006</v>
      </c>
      <c r="AK320" s="5">
        <v>77.290000000000006</v>
      </c>
      <c r="AL320" s="5">
        <v>76.84</v>
      </c>
      <c r="AM320" s="5">
        <v>379.33</v>
      </c>
      <c r="AN320" s="5">
        <v>145.59229999999999</v>
      </c>
      <c r="AO320" s="5">
        <v>43.91</v>
      </c>
      <c r="AP320" s="5">
        <v>81.180000000000007</v>
      </c>
      <c r="AQ320" s="5">
        <v>55.35</v>
      </c>
      <c r="AR320" s="5">
        <v>418.31</v>
      </c>
      <c r="AS320" s="5">
        <v>33.380000000000003</v>
      </c>
      <c r="AT320" s="5">
        <v>65.510000000000005</v>
      </c>
      <c r="AU320" s="5">
        <v>106.66</v>
      </c>
      <c r="AV320" s="5">
        <v>115.07</v>
      </c>
      <c r="AW320" s="5">
        <v>0.55700000000000005</v>
      </c>
      <c r="AX320" s="5">
        <v>8.68</v>
      </c>
      <c r="AY320" s="5">
        <v>10000000000</v>
      </c>
      <c r="AZ320" s="5">
        <v>211.89</v>
      </c>
      <c r="BA320" s="5">
        <v>105.67</v>
      </c>
      <c r="BB320" s="5">
        <v>6.33</v>
      </c>
      <c r="BC320" s="5">
        <v>1.43</v>
      </c>
      <c r="BD320" s="5">
        <v>12.07</v>
      </c>
      <c r="BE320" s="5">
        <v>2.2799999999999998</v>
      </c>
      <c r="BF320" s="5">
        <v>173.82</v>
      </c>
      <c r="BG320" s="5">
        <v>22.61</v>
      </c>
      <c r="BH320" s="5">
        <v>10000000000</v>
      </c>
      <c r="BI320" s="5">
        <v>270.7</v>
      </c>
      <c r="BJ320" s="5">
        <v>35.4</v>
      </c>
      <c r="BK320" s="5">
        <v>87.1</v>
      </c>
      <c r="BL320" s="5">
        <v>122.36</v>
      </c>
      <c r="BM320" s="5">
        <v>1.56</v>
      </c>
      <c r="BN320" s="5">
        <v>30.24</v>
      </c>
      <c r="BO320" s="5">
        <v>34.58</v>
      </c>
      <c r="BP320" s="5">
        <v>430.57</v>
      </c>
      <c r="BQ320" s="5">
        <v>65.888850000000005</v>
      </c>
      <c r="BR320" s="5">
        <v>172.38290000000001</v>
      </c>
      <c r="BS320" s="5">
        <v>84.070530000000005</v>
      </c>
      <c r="BT320" s="5">
        <v>75.177859999999995</v>
      </c>
      <c r="BU320" s="5">
        <v>74.246480000000005</v>
      </c>
      <c r="BV320" s="5">
        <v>5.4267999999999997E-2</v>
      </c>
      <c r="BW320" s="5">
        <v>5.4218000000000002E-2</v>
      </c>
      <c r="BX320" s="5">
        <v>30.322030000000002</v>
      </c>
      <c r="BY320" s="5">
        <v>18.995360000000002</v>
      </c>
      <c r="BZ320" s="5">
        <v>0</v>
      </c>
      <c r="CA320" s="5">
        <v>0.93425199999999997</v>
      </c>
      <c r="CB320" s="5">
        <v>553.4366</v>
      </c>
      <c r="CC320" s="5">
        <v>563.75</v>
      </c>
      <c r="CD320" s="5">
        <v>37.318440000000002</v>
      </c>
      <c r="CE320" s="5">
        <v>371.96</v>
      </c>
      <c r="CF320" s="5">
        <v>86.78</v>
      </c>
      <c r="CG320" s="5">
        <v>99.48</v>
      </c>
      <c r="CH320" s="5">
        <v>352.61</v>
      </c>
      <c r="CI320" s="5">
        <v>344.74</v>
      </c>
      <c r="CJ320" s="5">
        <v>352.58</v>
      </c>
      <c r="CK320" s="5">
        <v>377.51</v>
      </c>
      <c r="CL320" s="5">
        <v>366.41</v>
      </c>
      <c r="CM320" s="5">
        <v>364.8</v>
      </c>
      <c r="CN320" s="5">
        <v>300.49</v>
      </c>
      <c r="CO320" s="5">
        <v>25.23</v>
      </c>
      <c r="CP320" s="5">
        <v>220.4</v>
      </c>
      <c r="CQ320" s="5">
        <v>221.05</v>
      </c>
      <c r="CR320" s="5">
        <v>3.9</v>
      </c>
      <c r="CS320" s="5">
        <v>4</v>
      </c>
      <c r="CT320" s="5">
        <v>21.82</v>
      </c>
      <c r="CU320" s="5">
        <v>22.56</v>
      </c>
      <c r="CV320" s="5">
        <v>101.61</v>
      </c>
      <c r="CW320" s="5">
        <v>0.83884839072970929</v>
      </c>
      <c r="CX320" s="5">
        <v>1.9125743308637371</v>
      </c>
    </row>
    <row r="321" spans="1:102" x14ac:dyDescent="0.25">
      <c r="A321" s="5">
        <v>36</v>
      </c>
      <c r="B321" s="23">
        <v>2.3981481481481479E-2</v>
      </c>
      <c r="C321" s="5">
        <v>11</v>
      </c>
      <c r="D321" s="5">
        <v>24</v>
      </c>
      <c r="E321" s="5">
        <v>331</v>
      </c>
      <c r="F321" s="5">
        <v>331</v>
      </c>
      <c r="G321" s="5">
        <v>331</v>
      </c>
      <c r="H321" s="5">
        <v>100</v>
      </c>
      <c r="I321" s="5">
        <v>100</v>
      </c>
      <c r="J321" s="5">
        <v>1890</v>
      </c>
      <c r="K321" s="5">
        <v>64</v>
      </c>
      <c r="L321" s="5">
        <v>64</v>
      </c>
      <c r="M321" s="5">
        <v>0.26</v>
      </c>
      <c r="N321" s="5">
        <v>0.25993500000000003</v>
      </c>
      <c r="O321" s="5">
        <v>1</v>
      </c>
      <c r="P321" s="5">
        <v>1.0694699999999999</v>
      </c>
      <c r="Q321" s="5">
        <v>-4.62</v>
      </c>
      <c r="R321" s="5">
        <v>-4.6252440000000004</v>
      </c>
      <c r="S321" s="5">
        <v>139.94999999999999</v>
      </c>
      <c r="T321" s="5">
        <v>139.95310000000001</v>
      </c>
      <c r="U321" s="5">
        <v>3.5</v>
      </c>
      <c r="V321" s="5">
        <v>3.5</v>
      </c>
      <c r="W321" s="5">
        <v>300</v>
      </c>
      <c r="X321" s="5">
        <v>300</v>
      </c>
      <c r="Y321" s="5">
        <v>3.5</v>
      </c>
      <c r="Z321" s="5">
        <v>3.5</v>
      </c>
      <c r="AA321" s="5">
        <v>300</v>
      </c>
      <c r="AB321" s="5">
        <v>300</v>
      </c>
      <c r="AC321" s="5">
        <v>0</v>
      </c>
      <c r="AD321" s="5">
        <v>129.50839999999999</v>
      </c>
      <c r="AE321" s="5">
        <v>0</v>
      </c>
      <c r="AF321" s="5">
        <v>122.4883</v>
      </c>
      <c r="AG321" s="5">
        <v>37</v>
      </c>
      <c r="AH321" s="5">
        <v>0.17</v>
      </c>
      <c r="AI321" s="5">
        <v>76.709999999999994</v>
      </c>
      <c r="AJ321" s="5">
        <v>103.58</v>
      </c>
      <c r="AK321" s="5">
        <v>185.19</v>
      </c>
      <c r="AL321" s="5">
        <v>183.03</v>
      </c>
      <c r="AM321" s="5">
        <v>437.35</v>
      </c>
      <c r="AN321" s="5">
        <v>207.20310000000001</v>
      </c>
      <c r="AO321" s="5">
        <v>106.36</v>
      </c>
      <c r="AP321" s="5">
        <v>121.92</v>
      </c>
      <c r="AQ321" s="5">
        <v>120.47</v>
      </c>
      <c r="AR321" s="5">
        <v>502.64</v>
      </c>
      <c r="AS321" s="5">
        <v>78.84</v>
      </c>
      <c r="AT321" s="5">
        <v>82.53</v>
      </c>
      <c r="AU321" s="5">
        <v>138.72999999999999</v>
      </c>
      <c r="AV321" s="5">
        <v>118.74</v>
      </c>
      <c r="AW321" s="5">
        <v>0.67200000000000004</v>
      </c>
      <c r="AX321" s="5">
        <v>10.84</v>
      </c>
      <c r="AY321" s="5">
        <v>10000000000</v>
      </c>
      <c r="AZ321" s="5">
        <v>274.51</v>
      </c>
      <c r="BA321" s="5">
        <v>108.41</v>
      </c>
      <c r="BB321" s="5">
        <v>7.36</v>
      </c>
      <c r="BC321" s="5">
        <v>2.33</v>
      </c>
      <c r="BD321" s="5">
        <v>10.41</v>
      </c>
      <c r="BE321" s="5">
        <v>1.0900000000000001</v>
      </c>
      <c r="BF321" s="5">
        <v>107.18</v>
      </c>
      <c r="BG321" s="5">
        <v>31.64</v>
      </c>
      <c r="BH321" s="5">
        <v>10000000000</v>
      </c>
      <c r="BI321" s="5">
        <v>266.89999999999998</v>
      </c>
      <c r="BJ321" s="5">
        <v>28.8</v>
      </c>
      <c r="BK321" s="5">
        <v>84.6</v>
      </c>
      <c r="BL321" s="5">
        <v>232.8</v>
      </c>
      <c r="BM321" s="5">
        <v>2.19</v>
      </c>
      <c r="BN321" s="5">
        <v>31.14</v>
      </c>
      <c r="BO321" s="5">
        <v>35.83</v>
      </c>
      <c r="BP321" s="5">
        <v>520.36</v>
      </c>
      <c r="BQ321" s="5">
        <v>79.212909999999994</v>
      </c>
      <c r="BR321" s="5">
        <v>274.19889999999998</v>
      </c>
      <c r="BS321" s="5">
        <v>57.081389999999999</v>
      </c>
      <c r="BT321" s="5">
        <v>64.521330000000006</v>
      </c>
      <c r="BU321" s="5">
        <v>63.089530000000003</v>
      </c>
      <c r="BV321" s="5">
        <v>9.2620999999999995E-2</v>
      </c>
      <c r="BW321" s="5">
        <v>8.2957000000000003E-2</v>
      </c>
      <c r="BX321" s="5">
        <v>49.946719999999999</v>
      </c>
      <c r="BY321" s="5">
        <v>18.995360000000002</v>
      </c>
      <c r="BZ321" s="5">
        <v>0</v>
      </c>
      <c r="CA321" s="5">
        <v>0.930871</v>
      </c>
      <c r="CB321" s="5">
        <v>755.12310000000002</v>
      </c>
      <c r="CC321" s="5">
        <v>770.90329999999994</v>
      </c>
      <c r="CD321" s="5">
        <v>56.943330000000003</v>
      </c>
      <c r="CE321" s="5">
        <v>453.34</v>
      </c>
      <c r="CF321" s="5">
        <v>111.54</v>
      </c>
      <c r="CG321" s="5">
        <v>132.56</v>
      </c>
      <c r="CH321" s="5">
        <v>401.97</v>
      </c>
      <c r="CI321" s="5">
        <v>407.69</v>
      </c>
      <c r="CJ321" s="5">
        <v>416.74</v>
      </c>
      <c r="CK321" s="5">
        <v>434.16</v>
      </c>
      <c r="CL321" s="5">
        <v>441.48</v>
      </c>
      <c r="CM321" s="5">
        <v>443.99</v>
      </c>
      <c r="CN321" s="5">
        <v>312.36</v>
      </c>
      <c r="CO321" s="5">
        <v>27.6</v>
      </c>
      <c r="CP321" s="5">
        <v>329.2</v>
      </c>
      <c r="CQ321" s="5">
        <v>331.05</v>
      </c>
      <c r="CR321" s="5">
        <v>5.9</v>
      </c>
      <c r="CS321" s="5">
        <v>5.9</v>
      </c>
      <c r="CT321" s="5">
        <v>25.68</v>
      </c>
      <c r="CU321" s="5">
        <v>28.31</v>
      </c>
      <c r="CV321" s="5">
        <v>101.41</v>
      </c>
      <c r="CW321" s="5">
        <v>0.8637509240142075</v>
      </c>
      <c r="CX321" s="5">
        <v>0.94148850717548627</v>
      </c>
    </row>
    <row r="322" spans="1:102" x14ac:dyDescent="0.25">
      <c r="A322" s="5">
        <v>28</v>
      </c>
      <c r="B322" s="23">
        <v>2.053587962962963E-2</v>
      </c>
      <c r="C322" s="5">
        <v>11</v>
      </c>
      <c r="D322" s="5">
        <v>27</v>
      </c>
      <c r="E322" s="5">
        <v>346</v>
      </c>
      <c r="F322" s="5">
        <v>346</v>
      </c>
      <c r="G322" s="5">
        <v>346.1</v>
      </c>
      <c r="H322" s="5">
        <v>100</v>
      </c>
      <c r="I322" s="5">
        <v>100</v>
      </c>
      <c r="J322" s="5">
        <v>1890</v>
      </c>
      <c r="K322" s="5">
        <v>5</v>
      </c>
      <c r="L322" s="5">
        <v>5</v>
      </c>
      <c r="M322" s="5">
        <v>0.1</v>
      </c>
      <c r="N322" s="5">
        <v>9.9991999999999998E-2</v>
      </c>
      <c r="O322" s="5">
        <v>1</v>
      </c>
      <c r="P322" s="5">
        <v>1.069528</v>
      </c>
      <c r="Q322" s="5">
        <v>-4.6100000000000003</v>
      </c>
      <c r="R322" s="5">
        <v>-4.6142580000000004</v>
      </c>
      <c r="S322" s="5">
        <v>142.35</v>
      </c>
      <c r="T322" s="5">
        <v>142.34379999999999</v>
      </c>
      <c r="U322" s="5">
        <v>3.5</v>
      </c>
      <c r="V322" s="5">
        <v>3.5</v>
      </c>
      <c r="W322" s="5">
        <v>300</v>
      </c>
      <c r="X322" s="5">
        <v>300</v>
      </c>
      <c r="Y322" s="5">
        <v>3.5</v>
      </c>
      <c r="Z322" s="5">
        <v>3.5</v>
      </c>
      <c r="AA322" s="5">
        <v>300</v>
      </c>
      <c r="AB322" s="5">
        <v>300</v>
      </c>
      <c r="AC322" s="5">
        <v>0</v>
      </c>
      <c r="AD322" s="5">
        <v>94.917550000000006</v>
      </c>
      <c r="AE322" s="5">
        <v>0</v>
      </c>
      <c r="AF322" s="5">
        <v>94.917550000000006</v>
      </c>
      <c r="AG322" s="5">
        <v>37</v>
      </c>
      <c r="AH322" s="5">
        <v>0.17</v>
      </c>
      <c r="AI322" s="5">
        <v>53.71</v>
      </c>
      <c r="AJ322" s="5">
        <v>77.08</v>
      </c>
      <c r="AK322" s="5">
        <v>59.55</v>
      </c>
      <c r="AL322" s="5">
        <v>62.14</v>
      </c>
      <c r="AM322" s="5">
        <v>518.41</v>
      </c>
      <c r="AN322" s="5">
        <v>137.5069</v>
      </c>
      <c r="AO322" s="5">
        <v>34.49</v>
      </c>
      <c r="AP322" s="5">
        <v>70.31</v>
      </c>
      <c r="AQ322" s="5">
        <v>47.83</v>
      </c>
      <c r="AR322" s="5">
        <v>470.58</v>
      </c>
      <c r="AS322" s="5">
        <v>25.05</v>
      </c>
      <c r="AT322" s="5">
        <v>47.46</v>
      </c>
      <c r="AU322" s="5">
        <v>96.39</v>
      </c>
      <c r="AV322" s="5">
        <v>112.17</v>
      </c>
      <c r="AW322" s="5">
        <v>0.30399999999999999</v>
      </c>
      <c r="AX322" s="5">
        <v>4.38</v>
      </c>
      <c r="AY322" s="5">
        <v>10000000000</v>
      </c>
      <c r="AZ322" s="5">
        <v>196.07</v>
      </c>
      <c r="BA322" s="5">
        <v>64.180000000000007</v>
      </c>
      <c r="BB322" s="5">
        <v>7.71</v>
      </c>
      <c r="BC322" s="5">
        <v>0.64</v>
      </c>
      <c r="BD322" s="5">
        <v>9.9499999999999993</v>
      </c>
      <c r="BE322" s="5">
        <v>3.13</v>
      </c>
      <c r="BF322" s="5">
        <v>344.75</v>
      </c>
      <c r="BG322" s="5">
        <v>8.3000000000000007</v>
      </c>
      <c r="BH322" s="5">
        <v>10000000000</v>
      </c>
      <c r="BI322" s="5">
        <v>247.5</v>
      </c>
      <c r="BJ322" s="5">
        <v>27.8</v>
      </c>
      <c r="BK322" s="5">
        <v>85.6</v>
      </c>
      <c r="BL322" s="5">
        <v>42.58</v>
      </c>
      <c r="BM322" s="5">
        <v>1.51</v>
      </c>
      <c r="BN322" s="5">
        <v>29.56</v>
      </c>
      <c r="BO322" s="5">
        <v>36.06</v>
      </c>
      <c r="BP322" s="5">
        <v>487.55</v>
      </c>
      <c r="BQ322" s="5">
        <v>49.39</v>
      </c>
      <c r="BR322" s="5">
        <v>163.1037</v>
      </c>
      <c r="BS322" s="5">
        <v>57.56832</v>
      </c>
      <c r="BT322" s="5">
        <v>46.727620000000002</v>
      </c>
      <c r="BU322" s="5">
        <v>46.683520000000001</v>
      </c>
      <c r="BV322" s="5">
        <v>9.1815999999999995E-2</v>
      </c>
      <c r="BW322" s="5">
        <v>9.7669000000000006E-2</v>
      </c>
      <c r="BX322" s="5">
        <v>48.868020000000001</v>
      </c>
      <c r="BY322" s="5">
        <v>18.995360000000002</v>
      </c>
      <c r="BZ322" s="5">
        <v>0</v>
      </c>
      <c r="CA322" s="5">
        <v>0.93107700000000004</v>
      </c>
      <c r="CB322" s="5">
        <v>547.57669999999996</v>
      </c>
      <c r="CC322" s="5">
        <v>563.0566</v>
      </c>
      <c r="CD322" s="5">
        <v>55.865989999999996</v>
      </c>
      <c r="CE322" s="5">
        <v>437.51</v>
      </c>
      <c r="CF322" s="5">
        <v>72.849999999999994</v>
      </c>
      <c r="CG322" s="5">
        <v>87.68</v>
      </c>
      <c r="CH322" s="5">
        <v>419.76</v>
      </c>
      <c r="CI322" s="5">
        <v>435.84</v>
      </c>
      <c r="CJ322" s="5">
        <v>447.74</v>
      </c>
      <c r="CK322" s="5">
        <v>495.41</v>
      </c>
      <c r="CL322" s="5">
        <v>478.54</v>
      </c>
      <c r="CM322" s="5">
        <v>477.68</v>
      </c>
      <c r="CN322" s="5">
        <v>435.88</v>
      </c>
      <c r="CO322" s="5">
        <v>27.01</v>
      </c>
      <c r="CP322" s="5">
        <v>344</v>
      </c>
      <c r="CQ322" s="5">
        <v>346.05</v>
      </c>
      <c r="CR322" s="5">
        <v>6.2</v>
      </c>
      <c r="CS322" s="5">
        <v>6.2</v>
      </c>
      <c r="CT322" s="5">
        <v>25.58</v>
      </c>
      <c r="CU322" s="5">
        <v>32.1</v>
      </c>
      <c r="CV322" s="5">
        <v>101.43</v>
      </c>
      <c r="CW322" s="5">
        <v>0.86910977555536739</v>
      </c>
      <c r="CX322" s="5">
        <v>2.7203135974882997</v>
      </c>
    </row>
    <row r="323" spans="1:102" x14ac:dyDescent="0.25">
      <c r="A323" s="5">
        <v>40</v>
      </c>
      <c r="B323" s="23">
        <v>1.2453703703703703E-2</v>
      </c>
      <c r="C323" s="5">
        <v>11</v>
      </c>
      <c r="D323" s="5">
        <v>37</v>
      </c>
      <c r="E323" s="5">
        <v>401</v>
      </c>
      <c r="F323" s="5">
        <v>401</v>
      </c>
      <c r="G323" s="5">
        <v>401.1</v>
      </c>
      <c r="H323" s="5">
        <v>100</v>
      </c>
      <c r="I323" s="5">
        <v>100</v>
      </c>
      <c r="J323" s="5">
        <v>1890</v>
      </c>
      <c r="K323" s="5">
        <v>51</v>
      </c>
      <c r="L323" s="5">
        <v>51</v>
      </c>
      <c r="M323" s="5">
        <v>0.25</v>
      </c>
      <c r="N323" s="5">
        <v>0.25000800000000001</v>
      </c>
      <c r="O323" s="5">
        <v>1</v>
      </c>
      <c r="P323" s="5">
        <v>1.069402</v>
      </c>
      <c r="Q323" s="5">
        <v>-4.57</v>
      </c>
      <c r="R323" s="5">
        <v>-4.5703129999999996</v>
      </c>
      <c r="S323" s="5">
        <v>151.25</v>
      </c>
      <c r="T323" s="5">
        <v>151.25</v>
      </c>
      <c r="U323" s="5">
        <v>3.5</v>
      </c>
      <c r="V323" s="5">
        <v>3.5</v>
      </c>
      <c r="W323" s="5">
        <v>300</v>
      </c>
      <c r="X323" s="5">
        <v>300</v>
      </c>
      <c r="Y323" s="5">
        <v>3.5</v>
      </c>
      <c r="Z323" s="5">
        <v>3.5</v>
      </c>
      <c r="AA323" s="5">
        <v>300</v>
      </c>
      <c r="AB323" s="5">
        <v>300</v>
      </c>
      <c r="AC323" s="5">
        <v>0</v>
      </c>
      <c r="AD323" s="5">
        <v>131.77420000000001</v>
      </c>
      <c r="AE323" s="5">
        <v>0</v>
      </c>
      <c r="AF323" s="5">
        <v>122.4883</v>
      </c>
      <c r="AG323" s="5">
        <v>37</v>
      </c>
      <c r="AH323" s="5">
        <v>0.17</v>
      </c>
      <c r="AI323" s="5">
        <v>77.760000000000005</v>
      </c>
      <c r="AJ323" s="5">
        <v>105.71</v>
      </c>
      <c r="AK323" s="5">
        <v>154.74</v>
      </c>
      <c r="AL323" s="5">
        <v>154.22</v>
      </c>
      <c r="AM323" s="5">
        <v>462.42</v>
      </c>
      <c r="AN323" s="5">
        <v>206.32429999999999</v>
      </c>
      <c r="AO323" s="5">
        <v>105.03</v>
      </c>
      <c r="AP323" s="5">
        <v>121.74</v>
      </c>
      <c r="AQ323" s="5">
        <v>120.96</v>
      </c>
      <c r="AR323" s="5">
        <v>563.86</v>
      </c>
      <c r="AS323" s="5">
        <v>49.72</v>
      </c>
      <c r="AT323" s="5">
        <v>72.64</v>
      </c>
      <c r="AU323" s="5">
        <v>125.51</v>
      </c>
      <c r="AV323" s="5">
        <v>114.96</v>
      </c>
      <c r="AW323" s="5">
        <v>0.28999999999999998</v>
      </c>
      <c r="AX323" s="5">
        <v>4.17</v>
      </c>
      <c r="AY323" s="5">
        <v>10000000000</v>
      </c>
      <c r="AZ323" s="5">
        <v>188.37</v>
      </c>
      <c r="BA323" s="5">
        <v>66.63</v>
      </c>
      <c r="BB323" s="5">
        <v>7.34</v>
      </c>
      <c r="BC323" s="5">
        <v>1.71</v>
      </c>
      <c r="BD323" s="5">
        <v>10.51</v>
      </c>
      <c r="BE323" s="5">
        <v>1.7</v>
      </c>
      <c r="BF323" s="5">
        <v>179.3</v>
      </c>
      <c r="BG323" s="5">
        <v>23.31</v>
      </c>
      <c r="BH323" s="5">
        <v>10000000000</v>
      </c>
      <c r="BI323" s="5">
        <v>245.4</v>
      </c>
      <c r="BJ323" s="5">
        <v>29</v>
      </c>
      <c r="BK323" s="5">
        <v>84.4</v>
      </c>
      <c r="BL323" s="5">
        <v>171.53</v>
      </c>
      <c r="BM323" s="5">
        <v>2.19</v>
      </c>
      <c r="BN323" s="5">
        <v>30.56</v>
      </c>
      <c r="BO323" s="5">
        <v>35.770000000000003</v>
      </c>
      <c r="BP323" s="5">
        <v>583.84</v>
      </c>
      <c r="BQ323" s="5">
        <v>71.751140000000007</v>
      </c>
      <c r="BR323" s="5">
        <v>246.73660000000001</v>
      </c>
      <c r="BS323" s="5">
        <v>54.487160000000003</v>
      </c>
      <c r="BT323" s="5">
        <v>58.618929999999999</v>
      </c>
      <c r="BU323" s="5">
        <v>57.503570000000003</v>
      </c>
      <c r="BV323" s="5">
        <v>9.8914000000000002E-2</v>
      </c>
      <c r="BW323" s="5">
        <v>9.1229000000000005E-2</v>
      </c>
      <c r="BX323" s="5">
        <v>55.961039999999997</v>
      </c>
      <c r="BY323" s="5">
        <v>18.995360000000002</v>
      </c>
      <c r="BZ323" s="5">
        <v>0</v>
      </c>
      <c r="CA323" s="5">
        <v>0.92966000000000004</v>
      </c>
      <c r="CB323" s="5">
        <v>767.1884</v>
      </c>
      <c r="CC323" s="5">
        <v>784.66380000000004</v>
      </c>
      <c r="CD323" s="5">
        <v>62.95917</v>
      </c>
      <c r="CE323" s="5">
        <v>462.35</v>
      </c>
      <c r="CF323" s="5">
        <v>100.98</v>
      </c>
      <c r="CG323" s="5">
        <v>118.53</v>
      </c>
      <c r="CH323" s="5">
        <v>405.39</v>
      </c>
      <c r="CI323" s="5">
        <v>411.51</v>
      </c>
      <c r="CJ323" s="5">
        <v>426.17</v>
      </c>
      <c r="CK323" s="5">
        <v>464.86</v>
      </c>
      <c r="CL323" s="5">
        <v>445.27</v>
      </c>
      <c r="CM323" s="5">
        <v>454.16</v>
      </c>
      <c r="CN323" s="5">
        <v>337.08</v>
      </c>
      <c r="CO323" s="5">
        <v>27.33</v>
      </c>
      <c r="CP323" s="5">
        <v>398.7</v>
      </c>
      <c r="CQ323" s="5">
        <v>401.04</v>
      </c>
      <c r="CR323" s="5">
        <v>7.1</v>
      </c>
      <c r="CS323" s="5">
        <v>7.2</v>
      </c>
      <c r="CT323" s="5">
        <v>25.1</v>
      </c>
      <c r="CU323" s="5">
        <v>27.43</v>
      </c>
      <c r="CV323" s="5">
        <v>101.38</v>
      </c>
      <c r="CW323" s="5">
        <v>0.86029700855452995</v>
      </c>
      <c r="CX323" s="5">
        <v>1.4625049145427009</v>
      </c>
    </row>
    <row r="324" spans="1:102" x14ac:dyDescent="0.25">
      <c r="A324" s="5">
        <v>3</v>
      </c>
      <c r="B324" s="23">
        <v>41397.652825659723</v>
      </c>
      <c r="C324" s="5">
        <v>11</v>
      </c>
      <c r="D324" s="5">
        <v>40</v>
      </c>
      <c r="E324" s="5">
        <v>425</v>
      </c>
      <c r="F324" s="5">
        <v>425</v>
      </c>
      <c r="G324" s="5">
        <v>425</v>
      </c>
      <c r="H324" s="5">
        <v>100</v>
      </c>
      <c r="I324" s="5">
        <v>100</v>
      </c>
      <c r="J324" s="5">
        <v>1890</v>
      </c>
      <c r="K324" s="5">
        <v>36</v>
      </c>
      <c r="L324" s="5">
        <v>36</v>
      </c>
      <c r="M324" s="5">
        <v>0.13</v>
      </c>
      <c r="N324" s="5">
        <v>0.13006200000000001</v>
      </c>
      <c r="O324" s="5">
        <v>1</v>
      </c>
      <c r="P324" s="5">
        <v>1.0689550000000001</v>
      </c>
      <c r="Q324" s="5">
        <v>-4.6500000000000004</v>
      </c>
      <c r="R324" s="5">
        <v>-4.6472170000000004</v>
      </c>
      <c r="S324" s="5">
        <v>156.55000000000001</v>
      </c>
      <c r="T324" s="5">
        <v>156.54689999999999</v>
      </c>
      <c r="U324" s="5">
        <v>3.5</v>
      </c>
      <c r="V324" s="5">
        <v>3.5</v>
      </c>
      <c r="W324" s="5">
        <v>300</v>
      </c>
      <c r="X324" s="5">
        <v>300</v>
      </c>
      <c r="Y324" s="5">
        <v>3.5</v>
      </c>
      <c r="Z324" s="5">
        <v>3.5</v>
      </c>
      <c r="AA324" s="5">
        <v>300</v>
      </c>
      <c r="AB324" s="5">
        <v>300</v>
      </c>
      <c r="AC324" s="5">
        <v>0</v>
      </c>
      <c r="AD324" s="5">
        <v>126.8355</v>
      </c>
      <c r="AE324" s="5">
        <v>0</v>
      </c>
      <c r="AF324" s="5">
        <v>122.48650000000001</v>
      </c>
      <c r="AG324" s="5">
        <v>37</v>
      </c>
      <c r="AH324" s="5">
        <v>0.17</v>
      </c>
      <c r="AI324" s="5">
        <v>73.930000000000007</v>
      </c>
      <c r="AJ324" s="5">
        <v>104.83</v>
      </c>
      <c r="AK324" s="5">
        <v>132.11000000000001</v>
      </c>
      <c r="AL324" s="5">
        <v>134.05000000000001</v>
      </c>
      <c r="AM324" s="5">
        <v>480.73</v>
      </c>
      <c r="AN324" s="5">
        <v>193.12200000000001</v>
      </c>
      <c r="AO324" s="5">
        <v>92.17</v>
      </c>
      <c r="AP324" s="5">
        <v>114.42</v>
      </c>
      <c r="AQ324" s="5">
        <v>108.31</v>
      </c>
      <c r="AR324" s="5">
        <v>620.11</v>
      </c>
      <c r="AS324" s="5">
        <v>39.94</v>
      </c>
      <c r="AT324" s="5">
        <v>61.68</v>
      </c>
      <c r="AU324" s="5">
        <v>101.59</v>
      </c>
      <c r="AV324" s="5">
        <v>120.47</v>
      </c>
      <c r="AW324" s="5">
        <v>0.123</v>
      </c>
      <c r="AX324" s="5">
        <v>1.68</v>
      </c>
      <c r="AY324" s="5">
        <v>10000000000</v>
      </c>
      <c r="AZ324" s="5">
        <v>145.86000000000001</v>
      </c>
      <c r="BA324" s="5">
        <v>51.47</v>
      </c>
      <c r="BB324" s="5">
        <v>6.96</v>
      </c>
      <c r="BC324" s="5">
        <v>0.85</v>
      </c>
      <c r="BD324" s="5">
        <v>11.04</v>
      </c>
      <c r="BE324" s="5">
        <v>3.17</v>
      </c>
      <c r="BF324" s="5">
        <v>320.89999999999998</v>
      </c>
      <c r="BG324" s="5">
        <v>12.18</v>
      </c>
      <c r="BH324" s="5">
        <v>10000000000</v>
      </c>
      <c r="BI324" s="5">
        <v>240.1</v>
      </c>
      <c r="BJ324" s="5">
        <v>30.7</v>
      </c>
      <c r="BK324" s="5">
        <v>86.1</v>
      </c>
      <c r="BL324" s="5">
        <v>86.03</v>
      </c>
      <c r="BM324" s="5">
        <v>2.06</v>
      </c>
      <c r="BN324" s="5">
        <v>29.75</v>
      </c>
      <c r="BO324" s="5">
        <v>35.4</v>
      </c>
      <c r="BP324" s="5">
        <v>640.44000000000005</v>
      </c>
      <c r="BQ324" s="5">
        <v>62.438490000000002</v>
      </c>
      <c r="BR324" s="5">
        <v>233.1721</v>
      </c>
      <c r="BS324" s="5">
        <v>53.717280000000002</v>
      </c>
      <c r="BT324" s="5">
        <v>54.309530000000002</v>
      </c>
      <c r="BU324" s="5">
        <v>53.510620000000003</v>
      </c>
      <c r="BV324" s="5">
        <v>0.101463</v>
      </c>
      <c r="BW324" s="5">
        <v>9.6728999999999996E-2</v>
      </c>
      <c r="BX324" s="5">
        <v>57.845210000000002</v>
      </c>
      <c r="BY324" s="5">
        <v>18.995360000000002</v>
      </c>
      <c r="BZ324" s="5">
        <v>0</v>
      </c>
      <c r="CA324" s="5">
        <v>0.929261</v>
      </c>
      <c r="CB324" s="5">
        <v>737.7133</v>
      </c>
      <c r="CC324" s="5">
        <v>755.69600000000003</v>
      </c>
      <c r="CD324" s="5">
        <v>64.844480000000004</v>
      </c>
      <c r="CE324" s="5">
        <v>447.86</v>
      </c>
      <c r="CF324" s="5">
        <v>82.4</v>
      </c>
      <c r="CG324" s="5">
        <v>94.56</v>
      </c>
      <c r="CH324" s="5">
        <v>414.22</v>
      </c>
      <c r="CI324" s="5">
        <v>419.51</v>
      </c>
      <c r="CJ324" s="5">
        <v>434.61</v>
      </c>
      <c r="CK324" s="5">
        <v>461.28</v>
      </c>
      <c r="CL324" s="5">
        <v>449.05</v>
      </c>
      <c r="CM324" s="5">
        <v>456.15</v>
      </c>
      <c r="CN324" s="5">
        <v>364.32</v>
      </c>
      <c r="CO324" s="5">
        <v>26.9</v>
      </c>
      <c r="CP324" s="5">
        <v>423</v>
      </c>
      <c r="CQ324" s="5">
        <v>425.05</v>
      </c>
      <c r="CR324" s="5">
        <v>7.6</v>
      </c>
      <c r="CS324" s="5">
        <v>7.6</v>
      </c>
      <c r="CT324" s="5">
        <v>24.73</v>
      </c>
      <c r="CU324" s="5">
        <v>39.869999999999997</v>
      </c>
      <c r="CV324" s="5">
        <v>100.8</v>
      </c>
      <c r="CW324" s="5">
        <v>0.89488350553774165</v>
      </c>
      <c r="CX324" s="5">
        <v>2.8367807125546411</v>
      </c>
    </row>
    <row r="325" spans="1:102" x14ac:dyDescent="0.25">
      <c r="A325" s="5">
        <v>32</v>
      </c>
      <c r="B325" s="23">
        <v>5.9143518518518518E-4</v>
      </c>
      <c r="C325" s="5">
        <v>11</v>
      </c>
      <c r="D325" s="5">
        <v>31</v>
      </c>
      <c r="E325" s="5">
        <v>370</v>
      </c>
      <c r="F325" s="5">
        <v>370</v>
      </c>
      <c r="G325" s="5">
        <v>370.1</v>
      </c>
      <c r="H325" s="5">
        <v>100</v>
      </c>
      <c r="I325" s="5">
        <v>100</v>
      </c>
      <c r="J325" s="5">
        <v>1890</v>
      </c>
      <c r="K325" s="5">
        <v>58</v>
      </c>
      <c r="L325" s="5">
        <v>58</v>
      </c>
      <c r="M325" s="5">
        <v>0.17</v>
      </c>
      <c r="N325" s="5">
        <v>0.17008000000000001</v>
      </c>
      <c r="O325" s="5">
        <v>1</v>
      </c>
      <c r="P325" s="5">
        <v>1.069477</v>
      </c>
      <c r="Q325" s="5">
        <v>-4.59</v>
      </c>
      <c r="R325" s="5">
        <v>-4.5922850000000004</v>
      </c>
      <c r="S325" s="5">
        <v>146.21</v>
      </c>
      <c r="T325" s="5">
        <v>146.20310000000001</v>
      </c>
      <c r="U325" s="5">
        <v>3.5</v>
      </c>
      <c r="V325" s="5">
        <v>3.5</v>
      </c>
      <c r="W325" s="5">
        <v>300</v>
      </c>
      <c r="X325" s="5">
        <v>300</v>
      </c>
      <c r="Y325" s="5">
        <v>3.5</v>
      </c>
      <c r="Z325" s="5">
        <v>3.5</v>
      </c>
      <c r="AA325" s="5">
        <v>300</v>
      </c>
      <c r="AB325" s="5">
        <v>300</v>
      </c>
      <c r="AC325" s="5">
        <v>0</v>
      </c>
      <c r="AD325" s="5">
        <v>145.0762</v>
      </c>
      <c r="AE325" s="5">
        <v>0</v>
      </c>
      <c r="AF325" s="5">
        <v>122.4896</v>
      </c>
      <c r="AG325" s="5">
        <v>37</v>
      </c>
      <c r="AH325" s="5">
        <v>0.17</v>
      </c>
      <c r="AI325" s="5">
        <v>83.95</v>
      </c>
      <c r="AJ325" s="5">
        <v>113.1</v>
      </c>
      <c r="AK325" s="5">
        <v>209.46</v>
      </c>
      <c r="AL325" s="5">
        <v>209.46</v>
      </c>
      <c r="AM325" s="5">
        <v>428.68</v>
      </c>
      <c r="AN325" s="5">
        <v>224.48859999999999</v>
      </c>
      <c r="AO325" s="5">
        <v>123.19</v>
      </c>
      <c r="AP325" s="5">
        <v>134.83000000000001</v>
      </c>
      <c r="AQ325" s="5">
        <v>140.82</v>
      </c>
      <c r="AR325" s="5">
        <v>629.11</v>
      </c>
      <c r="AS325" s="5">
        <v>86.27</v>
      </c>
      <c r="AT325" s="5">
        <v>69.78</v>
      </c>
      <c r="AU325" s="5">
        <v>123.13</v>
      </c>
      <c r="AV325" s="5">
        <v>113.09</v>
      </c>
      <c r="AW325" s="5">
        <v>0.161</v>
      </c>
      <c r="AX325" s="5">
        <v>2.23</v>
      </c>
      <c r="AY325" s="5">
        <v>10000000000</v>
      </c>
      <c r="AZ325" s="5">
        <v>158.22999999999999</v>
      </c>
      <c r="BA325" s="5">
        <v>67.760000000000005</v>
      </c>
      <c r="BB325" s="5">
        <v>6.4</v>
      </c>
      <c r="BC325" s="5">
        <v>1.39</v>
      </c>
      <c r="BD325" s="5">
        <v>11.8</v>
      </c>
      <c r="BE325" s="5">
        <v>2.2799999999999998</v>
      </c>
      <c r="BF325" s="5">
        <v>195.18</v>
      </c>
      <c r="BG325" s="5">
        <v>21.75</v>
      </c>
      <c r="BH325" s="5">
        <v>10000000000</v>
      </c>
      <c r="BI325" s="5">
        <v>258.10000000000002</v>
      </c>
      <c r="BJ325" s="5">
        <v>33.299999999999997</v>
      </c>
      <c r="BK325" s="5">
        <v>84.8</v>
      </c>
      <c r="BL325" s="5">
        <v>174.89</v>
      </c>
      <c r="BM325" s="5">
        <v>2.38</v>
      </c>
      <c r="BN325" s="5">
        <v>30.26</v>
      </c>
      <c r="BO325" s="5">
        <v>34.92</v>
      </c>
      <c r="BP325" s="5">
        <v>648.16</v>
      </c>
      <c r="BQ325" s="5">
        <v>69.210620000000006</v>
      </c>
      <c r="BR325" s="5">
        <v>304.28300000000002</v>
      </c>
      <c r="BS325" s="5">
        <v>55.272799999999997</v>
      </c>
      <c r="BT325" s="5">
        <v>67.09648</v>
      </c>
      <c r="BU325" s="5">
        <v>65.258099999999999</v>
      </c>
      <c r="BV325" s="5">
        <v>9.6315999999999999E-2</v>
      </c>
      <c r="BW325" s="5">
        <v>8.2613000000000006E-2</v>
      </c>
      <c r="BX325" s="5">
        <v>54.044580000000003</v>
      </c>
      <c r="BY325" s="5">
        <v>18.995360000000002</v>
      </c>
      <c r="BZ325" s="5">
        <v>0</v>
      </c>
      <c r="CA325" s="5">
        <v>0.930064</v>
      </c>
      <c r="CB325" s="5">
        <v>841.29769999999996</v>
      </c>
      <c r="CC325" s="5">
        <v>858.22019999999998</v>
      </c>
      <c r="CD325" s="5">
        <v>61.042450000000002</v>
      </c>
      <c r="CE325" s="5">
        <v>437.13</v>
      </c>
      <c r="CF325" s="5">
        <v>98.87</v>
      </c>
      <c r="CG325" s="5">
        <v>116.13</v>
      </c>
      <c r="CH325" s="5">
        <v>397.92</v>
      </c>
      <c r="CI325" s="5">
        <v>398.58</v>
      </c>
      <c r="CJ325" s="5">
        <v>409.78</v>
      </c>
      <c r="CK325" s="5">
        <v>424.11</v>
      </c>
      <c r="CL325" s="5">
        <v>425.36</v>
      </c>
      <c r="CM325" s="5">
        <v>431.02</v>
      </c>
      <c r="CN325" s="5">
        <v>297.27999999999997</v>
      </c>
      <c r="CO325" s="5">
        <v>28.61</v>
      </c>
      <c r="CP325" s="5">
        <v>367.9</v>
      </c>
      <c r="CQ325" s="5">
        <v>370.04</v>
      </c>
      <c r="CR325" s="5">
        <v>6.6</v>
      </c>
      <c r="CS325" s="5">
        <v>6.6</v>
      </c>
      <c r="CT325" s="5">
        <v>25.27</v>
      </c>
      <c r="CU325" s="5">
        <v>31.02</v>
      </c>
      <c r="CV325" s="5">
        <v>101.42</v>
      </c>
      <c r="CW325" s="5">
        <v>0.87516488642437384</v>
      </c>
      <c r="CX325" s="5">
        <v>1.9953759410475722</v>
      </c>
    </row>
    <row r="326" spans="1:102" x14ac:dyDescent="0.25">
      <c r="A326" s="5">
        <v>33</v>
      </c>
      <c r="B326" s="23">
        <v>6.0289351851851849E-3</v>
      </c>
      <c r="C326" s="5">
        <v>11</v>
      </c>
      <c r="D326" s="5">
        <v>32</v>
      </c>
      <c r="E326" s="5">
        <v>378</v>
      </c>
      <c r="F326" s="5">
        <v>378</v>
      </c>
      <c r="G326" s="5">
        <v>378</v>
      </c>
      <c r="H326" s="5">
        <v>100</v>
      </c>
      <c r="I326" s="5">
        <v>100</v>
      </c>
      <c r="J326" s="5">
        <v>1890</v>
      </c>
      <c r="K326" s="5">
        <v>53</v>
      </c>
      <c r="L326" s="5">
        <v>53</v>
      </c>
      <c r="M326" s="5">
        <v>0.21</v>
      </c>
      <c r="N326" s="5">
        <v>0.21007300000000001</v>
      </c>
      <c r="O326" s="5">
        <v>1</v>
      </c>
      <c r="P326" s="5">
        <v>1.069453</v>
      </c>
      <c r="Q326" s="5">
        <v>-4.58</v>
      </c>
      <c r="R326" s="5">
        <v>-4.5812989999999996</v>
      </c>
      <c r="S326" s="5">
        <v>147.5</v>
      </c>
      <c r="T326" s="5">
        <v>147.5</v>
      </c>
      <c r="U326" s="5">
        <v>3.5</v>
      </c>
      <c r="V326" s="5">
        <v>3.5</v>
      </c>
      <c r="W326" s="5">
        <v>300</v>
      </c>
      <c r="X326" s="5">
        <v>300</v>
      </c>
      <c r="Y326" s="5">
        <v>3.5</v>
      </c>
      <c r="Z326" s="5">
        <v>3.5</v>
      </c>
      <c r="AA326" s="5">
        <v>300</v>
      </c>
      <c r="AB326" s="5">
        <v>300</v>
      </c>
      <c r="AC326" s="5">
        <v>0</v>
      </c>
      <c r="AD326" s="5">
        <v>132.7552</v>
      </c>
      <c r="AE326" s="5">
        <v>0</v>
      </c>
      <c r="AF326" s="5">
        <v>122.4877</v>
      </c>
      <c r="AG326" s="5">
        <v>37</v>
      </c>
      <c r="AH326" s="5">
        <v>0.17</v>
      </c>
      <c r="AI326" s="5">
        <v>77.91</v>
      </c>
      <c r="AJ326" s="5">
        <v>106.42</v>
      </c>
      <c r="AK326" s="5">
        <v>164.19</v>
      </c>
      <c r="AL326" s="5">
        <v>164</v>
      </c>
      <c r="AM326" s="5">
        <v>446.04</v>
      </c>
      <c r="AN326" s="5">
        <v>206.92699999999999</v>
      </c>
      <c r="AO326" s="5">
        <v>105.65</v>
      </c>
      <c r="AP326" s="5">
        <v>122.85</v>
      </c>
      <c r="AQ326" s="5">
        <v>122.01</v>
      </c>
      <c r="AR326" s="5">
        <v>579.26</v>
      </c>
      <c r="AS326" s="5">
        <v>58.54</v>
      </c>
      <c r="AT326" s="5">
        <v>70.91</v>
      </c>
      <c r="AU326" s="5">
        <v>122.16</v>
      </c>
      <c r="AV326" s="5">
        <v>114.39</v>
      </c>
      <c r="AW326" s="5">
        <v>0.214</v>
      </c>
      <c r="AX326" s="5">
        <v>2.99</v>
      </c>
      <c r="AY326" s="5">
        <v>10000000000</v>
      </c>
      <c r="AZ326" s="5">
        <v>173.98</v>
      </c>
      <c r="BA326" s="5">
        <v>69.94</v>
      </c>
      <c r="BB326" s="5">
        <v>6.87</v>
      </c>
      <c r="BC326" s="5">
        <v>1.53</v>
      </c>
      <c r="BD326" s="5">
        <v>11.13</v>
      </c>
      <c r="BE326" s="5">
        <v>1.97</v>
      </c>
      <c r="BF326" s="5">
        <v>189.72</v>
      </c>
      <c r="BG326" s="5">
        <v>22.2</v>
      </c>
      <c r="BH326" s="5">
        <v>10000000000</v>
      </c>
      <c r="BI326" s="5">
        <v>249.6</v>
      </c>
      <c r="BJ326" s="5">
        <v>31</v>
      </c>
      <c r="BK326" s="5">
        <v>85.1</v>
      </c>
      <c r="BL326" s="5">
        <v>165.2</v>
      </c>
      <c r="BM326" s="5">
        <v>2.2000000000000002</v>
      </c>
      <c r="BN326" s="5">
        <v>30.39</v>
      </c>
      <c r="BO326" s="5">
        <v>35.340000000000003</v>
      </c>
      <c r="BP326" s="5">
        <v>597.49</v>
      </c>
      <c r="BQ326" s="5">
        <v>70.225049999999996</v>
      </c>
      <c r="BR326" s="5">
        <v>258.50599999999997</v>
      </c>
      <c r="BS326" s="5">
        <v>55.519680000000001</v>
      </c>
      <c r="BT326" s="5">
        <v>61.975090000000002</v>
      </c>
      <c r="BU326" s="5">
        <v>60.641539999999999</v>
      </c>
      <c r="BV326" s="5">
        <v>9.5503000000000005E-2</v>
      </c>
      <c r="BW326" s="5">
        <v>8.6174000000000001E-2</v>
      </c>
      <c r="BX326" s="5">
        <v>53.443860000000001</v>
      </c>
      <c r="BY326" s="5">
        <v>18.995360000000002</v>
      </c>
      <c r="BZ326" s="5">
        <v>0</v>
      </c>
      <c r="CA326" s="5">
        <v>0.93019099999999999</v>
      </c>
      <c r="CB326" s="5">
        <v>773.28480000000002</v>
      </c>
      <c r="CC326" s="5">
        <v>790.03689999999995</v>
      </c>
      <c r="CD326" s="5">
        <v>60.438589999999998</v>
      </c>
      <c r="CE326" s="5">
        <v>449.62</v>
      </c>
      <c r="CF326" s="5">
        <v>98.85</v>
      </c>
      <c r="CG326" s="5">
        <v>114.9</v>
      </c>
      <c r="CH326" s="5">
        <v>395.04</v>
      </c>
      <c r="CI326" s="5">
        <v>401.56</v>
      </c>
      <c r="CJ326" s="5">
        <v>416.51</v>
      </c>
      <c r="CK326" s="5">
        <v>440.32</v>
      </c>
      <c r="CL326" s="5">
        <v>435.03</v>
      </c>
      <c r="CM326" s="5">
        <v>442.76</v>
      </c>
      <c r="CN326" s="5">
        <v>319.66000000000003</v>
      </c>
      <c r="CO326" s="5">
        <v>28.61</v>
      </c>
      <c r="CP326" s="5">
        <v>375.9</v>
      </c>
      <c r="CQ326" s="5">
        <v>378.04</v>
      </c>
      <c r="CR326" s="5">
        <v>6.7</v>
      </c>
      <c r="CS326" s="5">
        <v>6.8</v>
      </c>
      <c r="CT326" s="5">
        <v>25.46</v>
      </c>
      <c r="CU326" s="5">
        <v>29.37</v>
      </c>
      <c r="CV326" s="5">
        <v>101.41</v>
      </c>
      <c r="CW326" s="5">
        <v>0.86846406480352878</v>
      </c>
      <c r="CX326" s="5">
        <v>1.7108742076629517</v>
      </c>
    </row>
    <row r="327" spans="1:102" x14ac:dyDescent="0.25">
      <c r="A327" s="5">
        <v>11</v>
      </c>
      <c r="B327" s="23">
        <v>1.2106481481481482E-3</v>
      </c>
      <c r="C327" s="5">
        <v>11</v>
      </c>
      <c r="D327" s="5">
        <v>11</v>
      </c>
      <c r="E327" s="5">
        <v>261</v>
      </c>
      <c r="F327" s="5">
        <v>261</v>
      </c>
      <c r="G327" s="5">
        <v>261.10000000000002</v>
      </c>
      <c r="H327" s="5">
        <v>100</v>
      </c>
      <c r="I327" s="5">
        <v>100</v>
      </c>
      <c r="J327" s="5">
        <v>1890</v>
      </c>
      <c r="K327" s="5">
        <v>59</v>
      </c>
      <c r="L327" s="5">
        <v>59</v>
      </c>
      <c r="M327" s="5">
        <v>0.12</v>
      </c>
      <c r="N327" s="5">
        <v>0.120042</v>
      </c>
      <c r="O327" s="5">
        <v>1</v>
      </c>
      <c r="P327" s="5">
        <v>1.0694889999999999</v>
      </c>
      <c r="Q327" s="5">
        <v>-3.75</v>
      </c>
      <c r="R327" s="5">
        <v>-3.7463380000000002</v>
      </c>
      <c r="S327" s="5">
        <v>129.34</v>
      </c>
      <c r="T327" s="5">
        <v>129.34379999999999</v>
      </c>
      <c r="U327" s="5">
        <v>3.5</v>
      </c>
      <c r="V327" s="5">
        <v>3.5</v>
      </c>
      <c r="W327" s="5">
        <v>300</v>
      </c>
      <c r="X327" s="5">
        <v>300</v>
      </c>
      <c r="Y327" s="5">
        <v>3.5</v>
      </c>
      <c r="Z327" s="5">
        <v>3.5</v>
      </c>
      <c r="AA327" s="5">
        <v>300</v>
      </c>
      <c r="AB327" s="5">
        <v>300</v>
      </c>
      <c r="AC327" s="5">
        <v>0</v>
      </c>
      <c r="AD327" s="5">
        <v>130.2465</v>
      </c>
      <c r="AE327" s="5">
        <v>0</v>
      </c>
      <c r="AF327" s="5">
        <v>122.48520000000001</v>
      </c>
      <c r="AG327" s="5">
        <v>37</v>
      </c>
      <c r="AH327" s="5">
        <v>0.17</v>
      </c>
      <c r="AI327" s="5">
        <v>75.19</v>
      </c>
      <c r="AJ327" s="5">
        <v>105.98</v>
      </c>
      <c r="AK327" s="5">
        <v>186.62</v>
      </c>
      <c r="AL327" s="5">
        <v>187.55</v>
      </c>
      <c r="AM327" s="5">
        <v>379.67</v>
      </c>
      <c r="AN327" s="5">
        <v>200.19239999999999</v>
      </c>
      <c r="AO327" s="5">
        <v>98.15</v>
      </c>
      <c r="AP327" s="5">
        <v>123.2</v>
      </c>
      <c r="AQ327" s="5">
        <v>114.9</v>
      </c>
      <c r="AR327" s="5">
        <v>600.15</v>
      </c>
      <c r="AS327" s="5">
        <v>88.48</v>
      </c>
      <c r="AT327" s="5">
        <v>64.92</v>
      </c>
      <c r="AU327" s="5">
        <v>106.66</v>
      </c>
      <c r="AV327" s="5">
        <v>118.05</v>
      </c>
      <c r="AW327" s="5">
        <v>0.16900000000000001</v>
      </c>
      <c r="AX327" s="5">
        <v>2.33</v>
      </c>
      <c r="AY327" s="5">
        <v>10000000000</v>
      </c>
      <c r="AZ327" s="5">
        <v>127.13</v>
      </c>
      <c r="BA327" s="5">
        <v>74.05</v>
      </c>
      <c r="BB327" s="5">
        <v>5.37</v>
      </c>
      <c r="BC327" s="5">
        <v>0.94</v>
      </c>
      <c r="BD327" s="5">
        <v>13.4</v>
      </c>
      <c r="BE327" s="5">
        <v>3.49</v>
      </c>
      <c r="BF327" s="5">
        <v>215.55</v>
      </c>
      <c r="BG327" s="5">
        <v>17.57</v>
      </c>
      <c r="BH327" s="5">
        <v>10000000000</v>
      </c>
      <c r="BI327" s="5">
        <v>281.60000000000002</v>
      </c>
      <c r="BJ327" s="5">
        <v>41.3</v>
      </c>
      <c r="BK327" s="5">
        <v>86.5</v>
      </c>
      <c r="BL327" s="5">
        <v>127.93</v>
      </c>
      <c r="BM327" s="5">
        <v>2.12</v>
      </c>
      <c r="BN327" s="5">
        <v>29.82</v>
      </c>
      <c r="BO327" s="5">
        <v>33.799999999999997</v>
      </c>
      <c r="BP327" s="5">
        <v>614.85</v>
      </c>
      <c r="BQ327" s="5">
        <v>65.373540000000006</v>
      </c>
      <c r="BR327" s="5">
        <v>285.3614</v>
      </c>
      <c r="BS327" s="5">
        <v>69.345789999999994</v>
      </c>
      <c r="BT327" s="5">
        <v>83.314310000000006</v>
      </c>
      <c r="BU327" s="5">
        <v>81.173000000000002</v>
      </c>
      <c r="BV327" s="5">
        <v>7.6327000000000006E-2</v>
      </c>
      <c r="BW327" s="5">
        <v>6.5398999999999999E-2</v>
      </c>
      <c r="BX327" s="5">
        <v>38.581409999999998</v>
      </c>
      <c r="BY327" s="5">
        <v>18.995360000000002</v>
      </c>
      <c r="BZ327" s="5">
        <v>0</v>
      </c>
      <c r="CA327" s="5">
        <v>0.93305499999999997</v>
      </c>
      <c r="CB327" s="5">
        <v>761.19290000000001</v>
      </c>
      <c r="CC327" s="5">
        <v>773.80520000000001</v>
      </c>
      <c r="CD327" s="5">
        <v>45.579790000000003</v>
      </c>
      <c r="CE327" s="5">
        <v>375.92</v>
      </c>
      <c r="CF327" s="5">
        <v>86.15</v>
      </c>
      <c r="CG327" s="5">
        <v>99.37</v>
      </c>
      <c r="CH327" s="5">
        <v>358.33</v>
      </c>
      <c r="CI327" s="5">
        <v>347.66</v>
      </c>
      <c r="CJ327" s="5">
        <v>359.85</v>
      </c>
      <c r="CK327" s="5">
        <v>383.27</v>
      </c>
      <c r="CL327" s="5">
        <v>366.88</v>
      </c>
      <c r="CM327" s="5">
        <v>383.99</v>
      </c>
      <c r="CN327" s="5">
        <v>264.33</v>
      </c>
      <c r="CO327" s="5">
        <v>26.64</v>
      </c>
      <c r="CP327" s="5">
        <v>260.10000000000002</v>
      </c>
      <c r="CQ327" s="5">
        <v>261.05</v>
      </c>
      <c r="CR327" s="5">
        <v>4.7</v>
      </c>
      <c r="CS327" s="5">
        <v>4.7</v>
      </c>
      <c r="CT327" s="5">
        <v>22.84</v>
      </c>
      <c r="CU327" s="5">
        <v>24.19</v>
      </c>
      <c r="CV327" s="5">
        <v>101.56</v>
      </c>
      <c r="CW327" s="5">
        <v>0.8538335047439003</v>
      </c>
      <c r="CX327" s="5">
        <v>2.9798789315562124</v>
      </c>
    </row>
  </sheetData>
  <sortState ref="A2:CX31">
    <sortCondition ref="AW2:AW3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96"/>
  <sheetViews>
    <sheetView tabSelected="1" topLeftCell="A13" workbookViewId="0">
      <selection activeCell="C107" sqref="C107"/>
    </sheetView>
  </sheetViews>
  <sheetFormatPr defaultRowHeight="15" x14ac:dyDescent="0.25"/>
  <cols>
    <col min="1" max="16384" width="9.140625" style="5"/>
  </cols>
  <sheetData>
    <row r="1" spans="1:102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108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109</v>
      </c>
      <c r="CU1" s="6" t="s">
        <v>110</v>
      </c>
      <c r="CV1" s="6" t="s">
        <v>111</v>
      </c>
      <c r="CW1" s="6" t="s">
        <v>113</v>
      </c>
      <c r="CX1" s="6" t="s">
        <v>112</v>
      </c>
    </row>
    <row r="2" spans="1:102" x14ac:dyDescent="0.25">
      <c r="A2" s="5">
        <v>3</v>
      </c>
      <c r="B2" s="23">
        <v>3.3899305555555558E-2</v>
      </c>
      <c r="C2" s="5">
        <v>1</v>
      </c>
      <c r="D2" s="5">
        <v>14</v>
      </c>
      <c r="E2" s="5">
        <v>123</v>
      </c>
      <c r="F2" s="5">
        <v>123</v>
      </c>
      <c r="G2" s="5">
        <v>123</v>
      </c>
      <c r="H2" s="5">
        <v>82.6</v>
      </c>
      <c r="I2" s="5">
        <v>82.6</v>
      </c>
      <c r="J2" s="5">
        <v>1701</v>
      </c>
      <c r="K2" s="5">
        <v>50</v>
      </c>
      <c r="L2" s="5">
        <v>50</v>
      </c>
      <c r="M2" s="5">
        <v>0.18</v>
      </c>
      <c r="N2" s="5">
        <v>0.17991399999999999</v>
      </c>
      <c r="O2" s="5">
        <v>1</v>
      </c>
      <c r="P2" s="5">
        <v>1.0692470000000001</v>
      </c>
      <c r="Q2" s="5">
        <v>1.61</v>
      </c>
      <c r="R2" s="5">
        <v>1.6149899999999999</v>
      </c>
      <c r="S2" s="5">
        <v>103.24</v>
      </c>
      <c r="T2" s="5">
        <v>103.23439999999999</v>
      </c>
      <c r="U2" s="5">
        <v>3.5</v>
      </c>
      <c r="V2" s="5">
        <v>3.5</v>
      </c>
      <c r="W2" s="5">
        <v>300</v>
      </c>
      <c r="X2" s="5">
        <v>300</v>
      </c>
      <c r="Y2" s="5">
        <v>3.5</v>
      </c>
      <c r="Z2" s="5">
        <v>3.5</v>
      </c>
      <c r="AA2" s="5">
        <v>300</v>
      </c>
      <c r="AB2" s="5">
        <v>300</v>
      </c>
      <c r="AC2" s="5">
        <v>0</v>
      </c>
      <c r="AD2" s="5">
        <v>88.163330000000002</v>
      </c>
      <c r="AE2" s="5">
        <v>0</v>
      </c>
      <c r="AF2" s="5">
        <v>88.163330000000002</v>
      </c>
      <c r="AG2" s="5">
        <v>63.27</v>
      </c>
      <c r="AH2" s="5">
        <v>0.24</v>
      </c>
      <c r="AI2" s="5">
        <v>48.74</v>
      </c>
      <c r="AJ2" s="5">
        <v>62.97</v>
      </c>
      <c r="AK2" s="5">
        <v>56.95</v>
      </c>
      <c r="AL2" s="5">
        <v>57</v>
      </c>
      <c r="AM2" s="5">
        <v>269.64999999999998</v>
      </c>
      <c r="AN2" s="5">
        <v>125.9021</v>
      </c>
      <c r="AO2" s="5">
        <v>24.61</v>
      </c>
      <c r="AP2" s="5">
        <v>59.14</v>
      </c>
      <c r="AQ2" s="5">
        <v>32.619999999999997</v>
      </c>
      <c r="AR2" s="5">
        <v>340.85</v>
      </c>
      <c r="AS2" s="5">
        <v>32.33</v>
      </c>
      <c r="AT2" s="5">
        <v>47.26</v>
      </c>
      <c r="AU2" s="5">
        <v>97.01</v>
      </c>
      <c r="AV2" s="5">
        <v>117.62</v>
      </c>
      <c r="AW2" s="5">
        <v>0.26</v>
      </c>
      <c r="AX2" s="5">
        <v>3.69</v>
      </c>
      <c r="AY2" s="5">
        <v>2.5615000000000001</v>
      </c>
      <c r="AZ2" s="5">
        <v>127.53</v>
      </c>
      <c r="BA2" s="5">
        <v>73.47</v>
      </c>
      <c r="BB2" s="5">
        <v>4.3499999999999996</v>
      </c>
      <c r="BC2" s="5">
        <v>0.89</v>
      </c>
      <c r="BD2" s="5">
        <v>14.57</v>
      </c>
      <c r="BE2" s="5">
        <v>4.7699999999999996</v>
      </c>
      <c r="BF2" s="5">
        <v>215.2</v>
      </c>
      <c r="BG2" s="5">
        <v>20.47</v>
      </c>
      <c r="BH2" s="5">
        <v>0.18</v>
      </c>
      <c r="BI2" s="5">
        <v>309.10000000000002</v>
      </c>
      <c r="BJ2" s="5">
        <v>50.3</v>
      </c>
      <c r="BK2" s="5">
        <v>85.5</v>
      </c>
      <c r="BL2" s="5">
        <v>87.72</v>
      </c>
      <c r="BM2" s="5">
        <v>1.4</v>
      </c>
      <c r="BN2" s="5">
        <v>29.78</v>
      </c>
      <c r="BO2" s="5">
        <v>32.950000000000003</v>
      </c>
      <c r="BP2" s="5">
        <v>347.65</v>
      </c>
      <c r="BQ2" s="5">
        <v>48.960940000000001</v>
      </c>
      <c r="BR2" s="5">
        <v>156.10400000000001</v>
      </c>
      <c r="BS2" s="5">
        <v>129.3475</v>
      </c>
      <c r="BT2" s="5">
        <v>119.68</v>
      </c>
      <c r="BU2" s="5">
        <v>118.331</v>
      </c>
      <c r="BV2" s="5">
        <v>3.9175000000000001E-2</v>
      </c>
      <c r="BW2" s="5">
        <v>4.0673000000000001E-2</v>
      </c>
      <c r="BX2" s="5">
        <v>14.807449999999999</v>
      </c>
      <c r="BY2" s="5">
        <v>18.995360000000002</v>
      </c>
      <c r="BZ2" s="5">
        <v>0</v>
      </c>
      <c r="CA2" s="5">
        <v>0.93493700000000002</v>
      </c>
      <c r="CB2" s="5">
        <v>453.73309999999998</v>
      </c>
      <c r="CC2" s="5">
        <v>459.11939999999998</v>
      </c>
      <c r="CD2" s="5">
        <v>21.807759999999998</v>
      </c>
      <c r="CE2" s="5">
        <v>260.29000000000002</v>
      </c>
      <c r="CF2" s="5">
        <v>74.040000000000006</v>
      </c>
      <c r="CG2" s="5">
        <v>87.86</v>
      </c>
      <c r="CH2" s="5">
        <v>254.65</v>
      </c>
      <c r="CI2" s="5">
        <v>253.03</v>
      </c>
      <c r="CJ2" s="5">
        <v>258.64</v>
      </c>
      <c r="CK2" s="5">
        <v>273.13</v>
      </c>
      <c r="CL2" s="5">
        <v>266.04000000000002</v>
      </c>
      <c r="CM2" s="5">
        <v>267.37</v>
      </c>
      <c r="CN2" s="5">
        <v>217.83</v>
      </c>
      <c r="CO2" s="5">
        <v>22.03</v>
      </c>
      <c r="CP2" s="5">
        <v>122.7</v>
      </c>
      <c r="CQ2" s="5">
        <v>123.05</v>
      </c>
      <c r="CR2" s="5">
        <v>2.2000000000000002</v>
      </c>
      <c r="CS2" s="5">
        <v>2.2000000000000002</v>
      </c>
      <c r="CT2" s="5">
        <v>20.68</v>
      </c>
      <c r="CU2" s="5">
        <v>22.6</v>
      </c>
      <c r="CV2" s="5">
        <v>100.67</v>
      </c>
      <c r="CW2" s="5">
        <v>0.85179289199999997</v>
      </c>
      <c r="CX2" s="5">
        <v>4.0630520949999998</v>
      </c>
    </row>
    <row r="3" spans="1:102" x14ac:dyDescent="0.25">
      <c r="A3" s="5">
        <v>18</v>
      </c>
      <c r="B3" s="23">
        <v>3.3329861111111109E-2</v>
      </c>
      <c r="C3" s="5">
        <v>1</v>
      </c>
      <c r="D3" s="5">
        <v>28</v>
      </c>
      <c r="E3" s="5">
        <v>190</v>
      </c>
      <c r="F3" s="5">
        <v>190</v>
      </c>
      <c r="G3" s="5">
        <v>190.1</v>
      </c>
      <c r="H3" s="5">
        <v>82.6</v>
      </c>
      <c r="I3" s="5">
        <v>82.6</v>
      </c>
      <c r="J3" s="5">
        <v>1701</v>
      </c>
      <c r="K3" s="5">
        <v>47</v>
      </c>
      <c r="L3" s="5">
        <v>47</v>
      </c>
      <c r="M3" s="5">
        <v>0.11</v>
      </c>
      <c r="N3" s="5">
        <v>0.10995099999999999</v>
      </c>
      <c r="O3" s="5">
        <v>1</v>
      </c>
      <c r="P3" s="5">
        <v>1.0690839999999999</v>
      </c>
      <c r="Q3" s="5">
        <v>-0.09</v>
      </c>
      <c r="R3" s="5">
        <v>-8.7890999999999997E-2</v>
      </c>
      <c r="S3" s="5">
        <v>107.39</v>
      </c>
      <c r="T3" s="5">
        <v>107.39060000000001</v>
      </c>
      <c r="U3" s="5">
        <v>3.5</v>
      </c>
      <c r="V3" s="5">
        <v>3.5</v>
      </c>
      <c r="W3" s="5">
        <v>300</v>
      </c>
      <c r="X3" s="5">
        <v>300</v>
      </c>
      <c r="Y3" s="5">
        <v>3.5</v>
      </c>
      <c r="Z3" s="5">
        <v>3.5</v>
      </c>
      <c r="AA3" s="5">
        <v>300</v>
      </c>
      <c r="AB3" s="5">
        <v>300</v>
      </c>
      <c r="AC3" s="5">
        <v>0</v>
      </c>
      <c r="AD3" s="5">
        <v>96.259739999999994</v>
      </c>
      <c r="AE3" s="5">
        <v>0</v>
      </c>
      <c r="AF3" s="5">
        <v>96.259739999999994</v>
      </c>
      <c r="AG3" s="5">
        <v>51.09</v>
      </c>
      <c r="AH3" s="5">
        <v>0.22</v>
      </c>
      <c r="AI3" s="5">
        <v>53.61</v>
      </c>
      <c r="AJ3" s="5">
        <v>75.040000000000006</v>
      </c>
      <c r="AK3" s="5">
        <v>75.42</v>
      </c>
      <c r="AL3" s="5">
        <v>76.33</v>
      </c>
      <c r="AM3" s="5">
        <v>319.42</v>
      </c>
      <c r="AN3" s="5">
        <v>139.5068</v>
      </c>
      <c r="AO3" s="5">
        <v>38.270000000000003</v>
      </c>
      <c r="AP3" s="5">
        <v>74.44</v>
      </c>
      <c r="AQ3" s="5">
        <v>48.24</v>
      </c>
      <c r="AR3" s="5">
        <v>413.62</v>
      </c>
      <c r="AS3" s="5">
        <v>37.159999999999997</v>
      </c>
      <c r="AT3" s="5">
        <v>50.47</v>
      </c>
      <c r="AU3" s="5">
        <v>95.59</v>
      </c>
      <c r="AV3" s="5">
        <v>113.24</v>
      </c>
      <c r="AW3" s="5">
        <v>0.314</v>
      </c>
      <c r="AX3" s="5">
        <v>4.55</v>
      </c>
      <c r="AY3" s="5">
        <v>2.9779</v>
      </c>
      <c r="AZ3" s="5">
        <v>99.73</v>
      </c>
      <c r="BA3" s="5">
        <v>62.16</v>
      </c>
      <c r="BB3" s="5">
        <v>4.82</v>
      </c>
      <c r="BC3" s="5">
        <v>0.62</v>
      </c>
      <c r="BD3" s="5">
        <v>13.94</v>
      </c>
      <c r="BE3" s="5">
        <v>5.12</v>
      </c>
      <c r="BF3" s="5">
        <v>297.18</v>
      </c>
      <c r="BG3" s="5">
        <v>12.83</v>
      </c>
      <c r="BH3" s="5">
        <v>0.21</v>
      </c>
      <c r="BI3" s="5">
        <v>269</v>
      </c>
      <c r="BJ3" s="5">
        <v>45.4</v>
      </c>
      <c r="BK3" s="5">
        <v>87</v>
      </c>
      <c r="BL3" s="5">
        <v>60.92</v>
      </c>
      <c r="BM3" s="5">
        <v>1.52</v>
      </c>
      <c r="BN3" s="5">
        <v>29.53</v>
      </c>
      <c r="BO3" s="5">
        <v>33.36</v>
      </c>
      <c r="BP3" s="5">
        <v>422.88</v>
      </c>
      <c r="BQ3" s="5">
        <v>52.241199999999999</v>
      </c>
      <c r="BR3" s="5">
        <v>176.27680000000001</v>
      </c>
      <c r="BS3" s="5">
        <v>95.130099999999999</v>
      </c>
      <c r="BT3" s="5">
        <v>93.485650000000007</v>
      </c>
      <c r="BU3" s="5">
        <v>92.130750000000006</v>
      </c>
      <c r="BV3" s="5">
        <v>3.8830999999999997E-2</v>
      </c>
      <c r="BW3" s="5">
        <v>3.8269999999999998E-2</v>
      </c>
      <c r="BX3" s="5">
        <v>23.782920000000001</v>
      </c>
      <c r="BY3" s="5">
        <v>18.995360000000002</v>
      </c>
      <c r="BZ3" s="5">
        <v>0</v>
      </c>
      <c r="CA3" s="5">
        <v>0.93728800000000001</v>
      </c>
      <c r="CB3" s="5">
        <v>498.95670000000001</v>
      </c>
      <c r="CC3" s="5">
        <v>506.5908</v>
      </c>
      <c r="CD3" s="5">
        <v>30.781880000000001</v>
      </c>
      <c r="CE3" s="5">
        <v>305.31</v>
      </c>
      <c r="CF3" s="5">
        <v>74.19</v>
      </c>
      <c r="CG3" s="5">
        <v>86.32</v>
      </c>
      <c r="CH3" s="5">
        <v>307.27999999999997</v>
      </c>
      <c r="CI3" s="5">
        <v>299.69</v>
      </c>
      <c r="CJ3" s="5">
        <v>304.58999999999997</v>
      </c>
      <c r="CK3" s="5">
        <v>316.61</v>
      </c>
      <c r="CL3" s="5">
        <v>309.87</v>
      </c>
      <c r="CM3" s="5">
        <v>316.3</v>
      </c>
      <c r="CN3" s="5">
        <v>254</v>
      </c>
      <c r="CO3" s="5">
        <v>24.38</v>
      </c>
      <c r="CP3" s="5">
        <v>189.7</v>
      </c>
      <c r="CQ3" s="5">
        <v>190.05</v>
      </c>
      <c r="CR3" s="5">
        <v>3.4</v>
      </c>
      <c r="CS3" s="5">
        <v>3.4</v>
      </c>
      <c r="CT3" s="5">
        <v>22.55</v>
      </c>
      <c r="CU3" s="5">
        <v>16.55</v>
      </c>
      <c r="CV3" s="5">
        <v>100.55</v>
      </c>
      <c r="CW3" s="5">
        <v>0.84086187800000001</v>
      </c>
      <c r="CX3" s="5">
        <v>4.305212815</v>
      </c>
    </row>
    <row r="4" spans="1:102" x14ac:dyDescent="0.25">
      <c r="A4" s="5">
        <v>21</v>
      </c>
      <c r="B4" s="23">
        <v>7.9375000000000001E-3</v>
      </c>
      <c r="C4" s="5">
        <v>1</v>
      </c>
      <c r="D4" s="5">
        <v>31</v>
      </c>
      <c r="E4" s="5">
        <v>209</v>
      </c>
      <c r="F4" s="5">
        <v>209</v>
      </c>
      <c r="G4" s="5">
        <v>209</v>
      </c>
      <c r="H4" s="5">
        <v>82.6</v>
      </c>
      <c r="I4" s="5">
        <v>82.6</v>
      </c>
      <c r="J4" s="5">
        <v>1701</v>
      </c>
      <c r="K4" s="5">
        <v>60</v>
      </c>
      <c r="L4" s="5">
        <v>60</v>
      </c>
      <c r="M4" s="5">
        <v>0.15</v>
      </c>
      <c r="N4" s="5">
        <v>0.15006800000000001</v>
      </c>
      <c r="O4" s="5">
        <v>1</v>
      </c>
      <c r="P4" s="5">
        <v>1.0690519999999999</v>
      </c>
      <c r="Q4" s="5">
        <v>-0.6</v>
      </c>
      <c r="R4" s="5">
        <v>-0.60424800000000001</v>
      </c>
      <c r="S4" s="5">
        <v>109.07</v>
      </c>
      <c r="T4" s="5">
        <v>109.0625</v>
      </c>
      <c r="U4" s="5">
        <v>3.5</v>
      </c>
      <c r="V4" s="5">
        <v>3.5</v>
      </c>
      <c r="W4" s="5">
        <v>300</v>
      </c>
      <c r="X4" s="5">
        <v>300</v>
      </c>
      <c r="Y4" s="5">
        <v>3.5</v>
      </c>
      <c r="Z4" s="5">
        <v>3.5</v>
      </c>
      <c r="AA4" s="5">
        <v>300</v>
      </c>
      <c r="AB4" s="5">
        <v>300</v>
      </c>
      <c r="AC4" s="5">
        <v>0</v>
      </c>
      <c r="AD4" s="5">
        <v>106.52979999999999</v>
      </c>
      <c r="AE4" s="5">
        <v>0</v>
      </c>
      <c r="AF4" s="5">
        <v>106.52979999999999</v>
      </c>
      <c r="AG4" s="5">
        <v>47.64</v>
      </c>
      <c r="AH4" s="5">
        <v>0.22</v>
      </c>
      <c r="AI4" s="5">
        <v>60.22</v>
      </c>
      <c r="AJ4" s="5">
        <v>83.23</v>
      </c>
      <c r="AK4" s="5">
        <v>112.57</v>
      </c>
      <c r="AL4" s="5">
        <v>112.77</v>
      </c>
      <c r="AM4" s="5">
        <v>339.88</v>
      </c>
      <c r="AN4" s="5">
        <v>157.5044</v>
      </c>
      <c r="AO4" s="5">
        <v>56.38</v>
      </c>
      <c r="AP4" s="5">
        <v>88.94</v>
      </c>
      <c r="AQ4" s="5">
        <v>66.27</v>
      </c>
      <c r="AR4" s="5">
        <v>416.35</v>
      </c>
      <c r="AS4" s="5">
        <v>56.2</v>
      </c>
      <c r="AT4" s="5">
        <v>56.72</v>
      </c>
      <c r="AU4" s="5">
        <v>102.14</v>
      </c>
      <c r="AV4" s="5">
        <v>110.22</v>
      </c>
      <c r="AW4" s="5">
        <v>0.45900000000000002</v>
      </c>
      <c r="AX4" s="5">
        <v>6.95</v>
      </c>
      <c r="AY4" s="5">
        <v>4.7523</v>
      </c>
      <c r="AZ4" s="5">
        <v>111.51</v>
      </c>
      <c r="BA4" s="5">
        <v>58.86</v>
      </c>
      <c r="BB4" s="5">
        <v>5.33</v>
      </c>
      <c r="BC4" s="5">
        <v>1.05</v>
      </c>
      <c r="BD4" s="5">
        <v>13.2</v>
      </c>
      <c r="BE4" s="5">
        <v>3.68</v>
      </c>
      <c r="BF4" s="5">
        <v>236.41</v>
      </c>
      <c r="BG4" s="5">
        <v>19.7</v>
      </c>
      <c r="BH4" s="5">
        <v>0.32</v>
      </c>
      <c r="BI4" s="5">
        <v>273.39999999999998</v>
      </c>
      <c r="BJ4" s="5">
        <v>40.9</v>
      </c>
      <c r="BK4" s="5">
        <v>84.6</v>
      </c>
      <c r="BL4" s="5">
        <v>102.16</v>
      </c>
      <c r="BM4" s="5">
        <v>1.71</v>
      </c>
      <c r="BN4" s="5">
        <v>29.93</v>
      </c>
      <c r="BO4" s="5">
        <v>33.840000000000003</v>
      </c>
      <c r="BP4" s="5">
        <v>426.56</v>
      </c>
      <c r="BQ4" s="5">
        <v>57.616660000000003</v>
      </c>
      <c r="BR4" s="5">
        <v>210.87799999999999</v>
      </c>
      <c r="BS4" s="5">
        <v>87.63064</v>
      </c>
      <c r="BT4" s="5">
        <v>89.39949</v>
      </c>
      <c r="BU4" s="5">
        <v>87.989810000000006</v>
      </c>
      <c r="BV4" s="5">
        <v>3.9879999999999999E-2</v>
      </c>
      <c r="BW4" s="5">
        <v>3.8225000000000002E-2</v>
      </c>
      <c r="BX4" s="5">
        <v>28.780259999999998</v>
      </c>
      <c r="BY4" s="5">
        <v>18.995360000000002</v>
      </c>
      <c r="BZ4" s="5">
        <v>0</v>
      </c>
      <c r="CA4" s="5">
        <v>0.93859599999999999</v>
      </c>
      <c r="CB4" s="5">
        <v>554.94830000000002</v>
      </c>
      <c r="CC4" s="5">
        <v>563.8329</v>
      </c>
      <c r="CD4" s="5">
        <v>35.779429999999998</v>
      </c>
      <c r="CE4" s="5">
        <v>319.43</v>
      </c>
      <c r="CF4" s="5">
        <v>79.790000000000006</v>
      </c>
      <c r="CG4" s="5">
        <v>94</v>
      </c>
      <c r="CH4" s="5">
        <v>328.36</v>
      </c>
      <c r="CI4" s="5">
        <v>318.25</v>
      </c>
      <c r="CJ4" s="5">
        <v>321.95</v>
      </c>
      <c r="CK4" s="5">
        <v>339.8</v>
      </c>
      <c r="CL4" s="5">
        <v>324.74</v>
      </c>
      <c r="CM4" s="5">
        <v>322.18</v>
      </c>
      <c r="CN4" s="5">
        <v>256.76</v>
      </c>
      <c r="CO4" s="5">
        <v>25.07</v>
      </c>
      <c r="CP4" s="5">
        <v>208.7</v>
      </c>
      <c r="CQ4" s="5">
        <v>209.05</v>
      </c>
      <c r="CR4" s="5">
        <v>3.7</v>
      </c>
      <c r="CS4" s="5">
        <v>3.7</v>
      </c>
      <c r="CT4" s="5">
        <v>23.16</v>
      </c>
      <c r="CU4" s="5">
        <v>15.73</v>
      </c>
      <c r="CV4" s="5">
        <v>100.51</v>
      </c>
      <c r="CW4" s="5">
        <v>0.83660742499999996</v>
      </c>
      <c r="CX4" s="5">
        <v>3.078715324</v>
      </c>
    </row>
    <row r="5" spans="1:102" x14ac:dyDescent="0.25">
      <c r="A5" s="5">
        <v>15</v>
      </c>
      <c r="B5" s="23">
        <v>1.7042824074074075E-2</v>
      </c>
      <c r="C5" s="5">
        <v>1</v>
      </c>
      <c r="D5" s="5">
        <v>25</v>
      </c>
      <c r="E5" s="5">
        <v>177</v>
      </c>
      <c r="F5" s="5">
        <v>177</v>
      </c>
      <c r="G5" s="5">
        <v>177</v>
      </c>
      <c r="H5" s="5">
        <v>82.6</v>
      </c>
      <c r="I5" s="5">
        <v>82.6</v>
      </c>
      <c r="J5" s="5">
        <v>1701</v>
      </c>
      <c r="K5" s="5">
        <v>38</v>
      </c>
      <c r="L5" s="5">
        <v>38</v>
      </c>
      <c r="M5" s="5">
        <v>0.26</v>
      </c>
      <c r="N5" s="5">
        <v>0.26003599999999999</v>
      </c>
      <c r="O5" s="5">
        <v>1</v>
      </c>
      <c r="P5" s="5">
        <v>1.0691219999999999</v>
      </c>
      <c r="Q5" s="5">
        <v>0.24</v>
      </c>
      <c r="R5" s="5">
        <v>0.241699</v>
      </c>
      <c r="S5" s="5">
        <v>106.58</v>
      </c>
      <c r="T5" s="5">
        <v>106.57810000000001</v>
      </c>
      <c r="U5" s="5">
        <v>3.5</v>
      </c>
      <c r="V5" s="5">
        <v>3.5</v>
      </c>
      <c r="W5" s="5">
        <v>300</v>
      </c>
      <c r="X5" s="5">
        <v>300</v>
      </c>
      <c r="Y5" s="5">
        <v>3.5</v>
      </c>
      <c r="Z5" s="5">
        <v>3.5</v>
      </c>
      <c r="AA5" s="5">
        <v>300</v>
      </c>
      <c r="AB5" s="5">
        <v>300</v>
      </c>
      <c r="AC5" s="5">
        <v>0</v>
      </c>
      <c r="AD5" s="5">
        <v>86.285309999999996</v>
      </c>
      <c r="AE5" s="5">
        <v>0</v>
      </c>
      <c r="AF5" s="5">
        <v>86.285309999999996</v>
      </c>
      <c r="AG5" s="5">
        <v>53.45</v>
      </c>
      <c r="AH5" s="5">
        <v>0.22</v>
      </c>
      <c r="AI5" s="5">
        <v>47.48</v>
      </c>
      <c r="AJ5" s="5">
        <v>60.94</v>
      </c>
      <c r="AK5" s="5">
        <v>46.59</v>
      </c>
      <c r="AL5" s="5">
        <v>46.43</v>
      </c>
      <c r="AM5" s="5">
        <v>317.45</v>
      </c>
      <c r="AN5" s="5">
        <v>123.7128</v>
      </c>
      <c r="AO5" s="5">
        <v>22.37</v>
      </c>
      <c r="AP5" s="5">
        <v>58.66</v>
      </c>
      <c r="AQ5" s="5">
        <v>30.21</v>
      </c>
      <c r="AR5" s="5">
        <v>327.33</v>
      </c>
      <c r="AS5" s="5">
        <v>24.22</v>
      </c>
      <c r="AT5" s="5">
        <v>49.35</v>
      </c>
      <c r="AU5" s="5">
        <v>100.37</v>
      </c>
      <c r="AV5" s="5">
        <v>115.15</v>
      </c>
      <c r="AW5" s="5">
        <v>0.57799999999999996</v>
      </c>
      <c r="AX5" s="5">
        <v>9.0500000000000007</v>
      </c>
      <c r="AY5" s="5">
        <v>5.3453999999999997</v>
      </c>
      <c r="AZ5" s="5">
        <v>162.11000000000001</v>
      </c>
      <c r="BA5" s="5">
        <v>82.31</v>
      </c>
      <c r="BB5" s="5">
        <v>5.57</v>
      </c>
      <c r="BC5" s="5">
        <v>1.25</v>
      </c>
      <c r="BD5" s="5">
        <v>12.86</v>
      </c>
      <c r="BE5" s="5">
        <v>2.94</v>
      </c>
      <c r="BF5" s="5">
        <v>204.48</v>
      </c>
      <c r="BG5" s="5">
        <v>22.51</v>
      </c>
      <c r="BH5" s="5">
        <v>0.35</v>
      </c>
      <c r="BI5" s="5">
        <v>266.7</v>
      </c>
      <c r="BJ5" s="5">
        <v>38.9</v>
      </c>
      <c r="BK5" s="5">
        <v>85.4</v>
      </c>
      <c r="BL5" s="5">
        <v>95.07</v>
      </c>
      <c r="BM5" s="5">
        <v>1.38</v>
      </c>
      <c r="BN5" s="5">
        <v>30.12</v>
      </c>
      <c r="BO5" s="5">
        <v>34.08</v>
      </c>
      <c r="BP5" s="5">
        <v>335.72</v>
      </c>
      <c r="BQ5" s="5">
        <v>50.64443</v>
      </c>
      <c r="BR5" s="5">
        <v>143.92320000000001</v>
      </c>
      <c r="BS5" s="5">
        <v>101.3813</v>
      </c>
      <c r="BT5" s="5">
        <v>89.497680000000003</v>
      </c>
      <c r="BU5" s="5">
        <v>88.661479999999997</v>
      </c>
      <c r="BV5" s="5">
        <v>3.9037000000000002E-2</v>
      </c>
      <c r="BW5" s="5">
        <v>4.1581E-2</v>
      </c>
      <c r="BX5" s="5">
        <v>21.482240000000001</v>
      </c>
      <c r="BY5" s="5">
        <v>18.995360000000002</v>
      </c>
      <c r="BZ5" s="5">
        <v>0</v>
      </c>
      <c r="CA5" s="5">
        <v>0.93668499999999999</v>
      </c>
      <c r="CB5" s="5">
        <v>444.35500000000002</v>
      </c>
      <c r="CC5" s="5">
        <v>451.416</v>
      </c>
      <c r="CD5" s="5">
        <v>28.481459999999998</v>
      </c>
      <c r="CE5" s="5">
        <v>313.05</v>
      </c>
      <c r="CF5" s="5">
        <v>76.989999999999995</v>
      </c>
      <c r="CG5" s="5">
        <v>91.17</v>
      </c>
      <c r="CH5" s="5">
        <v>300.05</v>
      </c>
      <c r="CI5" s="5">
        <v>296.27999999999997</v>
      </c>
      <c r="CJ5" s="5">
        <v>301.23</v>
      </c>
      <c r="CK5" s="5">
        <v>313.92</v>
      </c>
      <c r="CL5" s="5">
        <v>309.39999999999998</v>
      </c>
      <c r="CM5" s="5">
        <v>313.22000000000003</v>
      </c>
      <c r="CN5" s="5">
        <v>263.07</v>
      </c>
      <c r="CO5" s="5">
        <v>23.9</v>
      </c>
      <c r="CP5" s="5">
        <v>176.7</v>
      </c>
      <c r="CQ5" s="5">
        <v>177.05</v>
      </c>
      <c r="CR5" s="5">
        <v>3.2</v>
      </c>
      <c r="CS5" s="5">
        <v>3.2</v>
      </c>
      <c r="CT5" s="5">
        <v>22.23</v>
      </c>
      <c r="CU5" s="5">
        <v>17.91</v>
      </c>
      <c r="CV5" s="5">
        <v>100.58</v>
      </c>
      <c r="CW5" s="5">
        <v>0.83626343199999997</v>
      </c>
      <c r="CX5" s="5">
        <v>2.45861449</v>
      </c>
    </row>
    <row r="6" spans="1:102" x14ac:dyDescent="0.25">
      <c r="A6" s="5">
        <v>22</v>
      </c>
      <c r="B6" s="23">
        <v>1.3371527777777776E-2</v>
      </c>
      <c r="C6" s="5">
        <v>1</v>
      </c>
      <c r="D6" s="5">
        <v>32</v>
      </c>
      <c r="E6" s="5">
        <v>212</v>
      </c>
      <c r="F6" s="5">
        <v>212</v>
      </c>
      <c r="G6" s="5">
        <v>212</v>
      </c>
      <c r="H6" s="5">
        <v>82.6</v>
      </c>
      <c r="I6" s="5">
        <v>82.6</v>
      </c>
      <c r="J6" s="5">
        <v>1701</v>
      </c>
      <c r="K6" s="5">
        <v>19</v>
      </c>
      <c r="L6" s="5">
        <v>19</v>
      </c>
      <c r="M6" s="5">
        <v>0.22</v>
      </c>
      <c r="N6" s="5">
        <v>0.21997700000000001</v>
      </c>
      <c r="O6" s="5">
        <v>1</v>
      </c>
      <c r="P6" s="5">
        <v>1.0691379999999999</v>
      </c>
      <c r="Q6" s="5">
        <v>-0.69</v>
      </c>
      <c r="R6" s="5">
        <v>-0.69213899999999995</v>
      </c>
      <c r="S6" s="5">
        <v>109.43</v>
      </c>
      <c r="T6" s="5">
        <v>109.4375</v>
      </c>
      <c r="U6" s="5">
        <v>3.5</v>
      </c>
      <c r="V6" s="5">
        <v>3.5</v>
      </c>
      <c r="W6" s="5">
        <v>300</v>
      </c>
      <c r="X6" s="5">
        <v>300</v>
      </c>
      <c r="Y6" s="5">
        <v>3.5</v>
      </c>
      <c r="Z6" s="5">
        <v>3.5</v>
      </c>
      <c r="AA6" s="5">
        <v>300</v>
      </c>
      <c r="AB6" s="5">
        <v>300</v>
      </c>
      <c r="AC6" s="5">
        <v>0</v>
      </c>
      <c r="AD6" s="5">
        <v>81.823539999999994</v>
      </c>
      <c r="AE6" s="5">
        <v>0</v>
      </c>
      <c r="AF6" s="5">
        <v>81.823539999999994</v>
      </c>
      <c r="AG6" s="5">
        <v>47.09</v>
      </c>
      <c r="AH6" s="5">
        <v>0.22</v>
      </c>
      <c r="AI6" s="5">
        <v>45.31</v>
      </c>
      <c r="AJ6" s="5">
        <v>57.07</v>
      </c>
      <c r="AK6" s="5">
        <v>34.53</v>
      </c>
      <c r="AL6" s="5">
        <v>35.049999999999997</v>
      </c>
      <c r="AM6" s="5">
        <v>367.91</v>
      </c>
      <c r="AN6" s="5">
        <v>117.0729</v>
      </c>
      <c r="AO6" s="5">
        <v>15.77</v>
      </c>
      <c r="AP6" s="5">
        <v>55.34</v>
      </c>
      <c r="AQ6" s="5">
        <v>23.91</v>
      </c>
      <c r="AR6" s="5">
        <v>331.56</v>
      </c>
      <c r="AS6" s="5">
        <v>18.760000000000002</v>
      </c>
      <c r="AT6" s="5">
        <v>48.78</v>
      </c>
      <c r="AU6" s="5">
        <v>97.49</v>
      </c>
      <c r="AV6" s="5">
        <v>116.96</v>
      </c>
      <c r="AW6" s="5">
        <v>0.63300000000000001</v>
      </c>
      <c r="AX6" s="5">
        <v>10.1</v>
      </c>
      <c r="AY6" s="5">
        <v>6.7633000000000001</v>
      </c>
      <c r="AZ6" s="5">
        <v>185.11</v>
      </c>
      <c r="BA6" s="5">
        <v>76.92</v>
      </c>
      <c r="BB6" s="5">
        <v>6.25</v>
      </c>
      <c r="BC6" s="5">
        <v>1.04</v>
      </c>
      <c r="BD6" s="5">
        <v>11.9</v>
      </c>
      <c r="BE6" s="5">
        <v>3.14</v>
      </c>
      <c r="BF6" s="5">
        <v>261.98</v>
      </c>
      <c r="BG6" s="5">
        <v>16.670000000000002</v>
      </c>
      <c r="BH6" s="5">
        <v>0.44</v>
      </c>
      <c r="BI6" s="5">
        <v>254.4</v>
      </c>
      <c r="BJ6" s="5">
        <v>34.5</v>
      </c>
      <c r="BK6" s="5">
        <v>85.5</v>
      </c>
      <c r="BL6" s="5">
        <v>66.349999999999994</v>
      </c>
      <c r="BM6" s="5">
        <v>1.3</v>
      </c>
      <c r="BN6" s="5">
        <v>29.93</v>
      </c>
      <c r="BO6" s="5">
        <v>34.72</v>
      </c>
      <c r="BP6" s="5">
        <v>341.21</v>
      </c>
      <c r="BQ6" s="5">
        <v>50.638440000000003</v>
      </c>
      <c r="BR6" s="5">
        <v>133.2509</v>
      </c>
      <c r="BS6" s="5">
        <v>90.433700000000002</v>
      </c>
      <c r="BT6" s="5">
        <v>71.013599999999997</v>
      </c>
      <c r="BU6" s="5">
        <v>70.638980000000004</v>
      </c>
      <c r="BV6" s="5">
        <v>3.8107000000000002E-2</v>
      </c>
      <c r="BW6" s="5">
        <v>4.3563999999999999E-2</v>
      </c>
      <c r="BX6" s="5">
        <v>26.914380000000001</v>
      </c>
      <c r="BY6" s="5">
        <v>18.995360000000002</v>
      </c>
      <c r="BZ6" s="5">
        <v>0</v>
      </c>
      <c r="CA6" s="5">
        <v>0.938106</v>
      </c>
      <c r="CB6" s="5">
        <v>421.15600000000001</v>
      </c>
      <c r="CC6" s="5">
        <v>429.57560000000001</v>
      </c>
      <c r="CD6" s="5">
        <v>33.912759999999999</v>
      </c>
      <c r="CE6" s="5">
        <v>348.08</v>
      </c>
      <c r="CF6" s="5">
        <v>75.58</v>
      </c>
      <c r="CG6" s="5">
        <v>88.09</v>
      </c>
      <c r="CH6" s="5">
        <v>339.24</v>
      </c>
      <c r="CI6" s="5">
        <v>328.56</v>
      </c>
      <c r="CJ6" s="5">
        <v>337.43</v>
      </c>
      <c r="CK6" s="5">
        <v>362.31</v>
      </c>
      <c r="CL6" s="5">
        <v>346.69</v>
      </c>
      <c r="CM6" s="5">
        <v>344.41</v>
      </c>
      <c r="CN6" s="5">
        <v>314.66000000000003</v>
      </c>
      <c r="CO6" s="5">
        <v>25.15</v>
      </c>
      <c r="CP6" s="5">
        <v>211.7</v>
      </c>
      <c r="CQ6" s="5">
        <v>212.04</v>
      </c>
      <c r="CR6" s="5">
        <v>3.8</v>
      </c>
      <c r="CS6" s="5">
        <v>3.8</v>
      </c>
      <c r="CT6" s="5">
        <v>23.36</v>
      </c>
      <c r="CU6" s="5">
        <v>14.41</v>
      </c>
      <c r="CV6" s="5">
        <v>100.51</v>
      </c>
      <c r="CW6" s="5">
        <v>0.826489472</v>
      </c>
      <c r="CX6" s="5">
        <v>2.5951769420000002</v>
      </c>
    </row>
    <row r="7" spans="1:102" x14ac:dyDescent="0.25">
      <c r="A7" s="5">
        <v>4</v>
      </c>
      <c r="B7" s="23">
        <v>3.9320601851851857E-2</v>
      </c>
      <c r="C7" s="5">
        <v>1</v>
      </c>
      <c r="D7" s="5">
        <v>15</v>
      </c>
      <c r="E7" s="5">
        <v>134</v>
      </c>
      <c r="F7" s="5">
        <v>134</v>
      </c>
      <c r="G7" s="5">
        <v>134</v>
      </c>
      <c r="H7" s="5">
        <v>82.6</v>
      </c>
      <c r="I7" s="5">
        <v>82.6</v>
      </c>
      <c r="J7" s="5">
        <v>1701</v>
      </c>
      <c r="K7" s="5">
        <v>75</v>
      </c>
      <c r="L7" s="5">
        <v>75</v>
      </c>
      <c r="M7" s="5">
        <v>0.12</v>
      </c>
      <c r="N7" s="5">
        <v>0.12001000000000001</v>
      </c>
      <c r="O7" s="5">
        <v>1</v>
      </c>
      <c r="P7" s="5">
        <v>1.0691889999999999</v>
      </c>
      <c r="Q7" s="5">
        <v>1.33</v>
      </c>
      <c r="R7" s="5">
        <v>1.3293459999999999</v>
      </c>
      <c r="S7" s="5">
        <v>103.91</v>
      </c>
      <c r="T7" s="5">
        <v>103.9063</v>
      </c>
      <c r="U7" s="5">
        <v>3.5</v>
      </c>
      <c r="V7" s="5">
        <v>3.5</v>
      </c>
      <c r="W7" s="5">
        <v>300</v>
      </c>
      <c r="X7" s="5">
        <v>300</v>
      </c>
      <c r="Y7" s="5">
        <v>3.5</v>
      </c>
      <c r="Z7" s="5">
        <v>3.5</v>
      </c>
      <c r="AA7" s="5">
        <v>300</v>
      </c>
      <c r="AB7" s="5">
        <v>300</v>
      </c>
      <c r="AC7" s="5">
        <v>0</v>
      </c>
      <c r="AD7" s="5">
        <v>113.4725</v>
      </c>
      <c r="AE7" s="5">
        <v>0</v>
      </c>
      <c r="AF7" s="5">
        <v>113.4725</v>
      </c>
      <c r="AG7" s="5">
        <v>61.27</v>
      </c>
      <c r="AH7" s="5">
        <v>0.24</v>
      </c>
      <c r="AI7" s="5">
        <v>63.96</v>
      </c>
      <c r="AJ7" s="5">
        <v>87.24</v>
      </c>
      <c r="AK7" s="5">
        <v>191.84</v>
      </c>
      <c r="AL7" s="5">
        <v>191.96</v>
      </c>
      <c r="AM7" s="5">
        <v>326.42</v>
      </c>
      <c r="AN7" s="5">
        <v>169.0506</v>
      </c>
      <c r="AO7" s="5">
        <v>68.099999999999994</v>
      </c>
      <c r="AP7" s="5">
        <v>95.55</v>
      </c>
      <c r="AQ7" s="5">
        <v>77.599999999999994</v>
      </c>
      <c r="AR7" s="5">
        <v>412.79</v>
      </c>
      <c r="AS7" s="5">
        <v>123.74</v>
      </c>
      <c r="AT7" s="5">
        <v>59.05</v>
      </c>
      <c r="AU7" s="5">
        <v>103.99</v>
      </c>
      <c r="AV7" s="5">
        <v>112.47</v>
      </c>
      <c r="AW7" s="5">
        <v>0.40300000000000002</v>
      </c>
      <c r="AX7" s="5">
        <v>5.99</v>
      </c>
      <c r="AY7" s="5">
        <v>4.3963999999999999</v>
      </c>
      <c r="AZ7" s="5">
        <v>86.7</v>
      </c>
      <c r="BA7" s="5">
        <v>54.03</v>
      </c>
      <c r="BB7" s="5">
        <v>4.71</v>
      </c>
      <c r="BC7" s="5">
        <v>1.1000000000000001</v>
      </c>
      <c r="BD7" s="5">
        <v>14.08</v>
      </c>
      <c r="BE7" s="5">
        <v>5.27</v>
      </c>
      <c r="BF7" s="5">
        <v>215.51</v>
      </c>
      <c r="BG7" s="5">
        <v>23.34</v>
      </c>
      <c r="BH7" s="5">
        <v>0.3</v>
      </c>
      <c r="BI7" s="5">
        <v>371.3</v>
      </c>
      <c r="BJ7" s="5">
        <v>46.6</v>
      </c>
      <c r="BK7" s="5">
        <v>82.2</v>
      </c>
      <c r="BL7" s="5">
        <v>125.74</v>
      </c>
      <c r="BM7" s="5">
        <v>1.83</v>
      </c>
      <c r="BN7" s="5">
        <v>29.97</v>
      </c>
      <c r="BO7" s="5">
        <v>33.26</v>
      </c>
      <c r="BP7" s="5">
        <v>421.8</v>
      </c>
      <c r="BQ7" s="5">
        <v>59.363379999999999</v>
      </c>
      <c r="BR7" s="5">
        <v>290.9468</v>
      </c>
      <c r="BS7" s="5">
        <v>97.681349999999995</v>
      </c>
      <c r="BT7" s="5">
        <v>116.1236</v>
      </c>
      <c r="BU7" s="5">
        <v>113.5972</v>
      </c>
      <c r="BV7" s="5">
        <v>3.9023000000000002E-2</v>
      </c>
      <c r="BW7" s="5">
        <v>3.3364999999999999E-2</v>
      </c>
      <c r="BX7" s="5">
        <v>22.58661</v>
      </c>
      <c r="BY7" s="5">
        <v>18.995360000000002</v>
      </c>
      <c r="BZ7" s="5">
        <v>0</v>
      </c>
      <c r="CA7" s="5">
        <v>0.936975</v>
      </c>
      <c r="CB7" s="5">
        <v>591.4796</v>
      </c>
      <c r="CC7" s="5">
        <v>598.83150000000001</v>
      </c>
      <c r="CD7" s="5">
        <v>29.588280000000001</v>
      </c>
      <c r="CE7" s="5">
        <v>314.39</v>
      </c>
      <c r="CF7" s="5">
        <v>81.5</v>
      </c>
      <c r="CG7" s="5">
        <v>96.56</v>
      </c>
      <c r="CH7" s="5">
        <v>311.29000000000002</v>
      </c>
      <c r="CI7" s="5">
        <v>308</v>
      </c>
      <c r="CJ7" s="5">
        <v>315.63</v>
      </c>
      <c r="CK7" s="5">
        <v>325.25</v>
      </c>
      <c r="CL7" s="5">
        <v>319.08</v>
      </c>
      <c r="CM7" s="5">
        <v>319.7</v>
      </c>
      <c r="CN7" s="5">
        <v>230.68</v>
      </c>
      <c r="CO7" s="5">
        <v>23.46</v>
      </c>
      <c r="CP7" s="5">
        <v>133.69999999999999</v>
      </c>
      <c r="CQ7" s="5">
        <v>134.05000000000001</v>
      </c>
      <c r="CR7" s="5">
        <v>2.4</v>
      </c>
      <c r="CS7" s="5">
        <v>2.4</v>
      </c>
      <c r="CT7" s="5">
        <v>21.32</v>
      </c>
      <c r="CU7" s="5">
        <v>21.86</v>
      </c>
      <c r="CV7" s="5">
        <v>100.65</v>
      </c>
      <c r="CW7" s="5">
        <v>0.84910847099999998</v>
      </c>
      <c r="CX7" s="5">
        <v>4.4748016420000001</v>
      </c>
    </row>
    <row r="8" spans="1:102" x14ac:dyDescent="0.25">
      <c r="A8" s="5">
        <v>14</v>
      </c>
      <c r="B8" s="23">
        <v>1.1613425925925925E-2</v>
      </c>
      <c r="C8" s="5">
        <v>1</v>
      </c>
      <c r="D8" s="5">
        <v>24</v>
      </c>
      <c r="E8" s="5">
        <v>174</v>
      </c>
      <c r="F8" s="5">
        <v>174</v>
      </c>
      <c r="G8" s="5">
        <v>174</v>
      </c>
      <c r="H8" s="5">
        <v>82.6</v>
      </c>
      <c r="I8" s="5">
        <v>82.6</v>
      </c>
      <c r="J8" s="5">
        <v>1701</v>
      </c>
      <c r="K8" s="5">
        <v>27</v>
      </c>
      <c r="L8" s="5">
        <v>27</v>
      </c>
      <c r="M8" s="5">
        <v>0.19</v>
      </c>
      <c r="N8" s="5">
        <v>0.18998899999999999</v>
      </c>
      <c r="O8" s="5">
        <v>1</v>
      </c>
      <c r="P8" s="5">
        <v>1.069161</v>
      </c>
      <c r="Q8" s="5">
        <v>0.32</v>
      </c>
      <c r="R8" s="5">
        <v>0.318604</v>
      </c>
      <c r="S8" s="5">
        <v>106.39</v>
      </c>
      <c r="T8" s="5">
        <v>106.39060000000001</v>
      </c>
      <c r="U8" s="5">
        <v>3.5</v>
      </c>
      <c r="V8" s="5">
        <v>3.5</v>
      </c>
      <c r="W8" s="5">
        <v>300</v>
      </c>
      <c r="X8" s="5">
        <v>300</v>
      </c>
      <c r="Y8" s="5">
        <v>3.5</v>
      </c>
      <c r="Z8" s="5">
        <v>3.5</v>
      </c>
      <c r="AA8" s="5">
        <v>300</v>
      </c>
      <c r="AB8" s="5">
        <v>300</v>
      </c>
      <c r="AC8" s="5">
        <v>0</v>
      </c>
      <c r="AD8" s="5">
        <v>83.369010000000003</v>
      </c>
      <c r="AE8" s="5">
        <v>0</v>
      </c>
      <c r="AF8" s="5">
        <v>83.369010000000003</v>
      </c>
      <c r="AG8" s="5">
        <v>54</v>
      </c>
      <c r="AH8" s="5">
        <v>0.23</v>
      </c>
      <c r="AI8" s="5">
        <v>45.47</v>
      </c>
      <c r="AJ8" s="5">
        <v>57.58</v>
      </c>
      <c r="AK8" s="5">
        <v>37.94</v>
      </c>
      <c r="AL8" s="5">
        <v>38.24</v>
      </c>
      <c r="AM8" s="5">
        <v>318.63</v>
      </c>
      <c r="AN8" s="5">
        <v>117.9272</v>
      </c>
      <c r="AO8" s="5">
        <v>16.53</v>
      </c>
      <c r="AP8" s="5">
        <v>53.63</v>
      </c>
      <c r="AQ8" s="5">
        <v>24.54</v>
      </c>
      <c r="AR8" s="5">
        <v>334.97</v>
      </c>
      <c r="AS8" s="5">
        <v>21.41</v>
      </c>
      <c r="AT8" s="5">
        <v>44.84</v>
      </c>
      <c r="AU8" s="5">
        <v>96.51</v>
      </c>
      <c r="AV8" s="5">
        <v>112.26</v>
      </c>
      <c r="AW8" s="5">
        <v>0.434</v>
      </c>
      <c r="AX8" s="5">
        <v>6.51</v>
      </c>
      <c r="AY8" s="5">
        <v>4.3803999999999998</v>
      </c>
      <c r="AZ8" s="5">
        <v>154.94999999999999</v>
      </c>
      <c r="BA8" s="5">
        <v>83.72</v>
      </c>
      <c r="BB8" s="5">
        <v>5.35</v>
      </c>
      <c r="BC8" s="5">
        <v>0.91</v>
      </c>
      <c r="BD8" s="5">
        <v>13.18</v>
      </c>
      <c r="BE8" s="5">
        <v>3.76</v>
      </c>
      <c r="BF8" s="5">
        <v>250.15</v>
      </c>
      <c r="BG8" s="5">
        <v>16.96</v>
      </c>
      <c r="BH8" s="5">
        <v>0.3</v>
      </c>
      <c r="BI8" s="5">
        <v>266.7</v>
      </c>
      <c r="BJ8" s="5">
        <v>40.5</v>
      </c>
      <c r="BK8" s="5">
        <v>85.3</v>
      </c>
      <c r="BL8" s="5">
        <v>68.39</v>
      </c>
      <c r="BM8" s="5">
        <v>1.32</v>
      </c>
      <c r="BN8" s="5">
        <v>29.8</v>
      </c>
      <c r="BO8" s="5">
        <v>33.89</v>
      </c>
      <c r="BP8" s="5">
        <v>343.1</v>
      </c>
      <c r="BQ8" s="5">
        <v>46.931510000000003</v>
      </c>
      <c r="BR8" s="5">
        <v>137.23390000000001</v>
      </c>
      <c r="BS8" s="5">
        <v>103.0095</v>
      </c>
      <c r="BT8" s="5">
        <v>87.679500000000004</v>
      </c>
      <c r="BU8" s="5">
        <v>86.985240000000005</v>
      </c>
      <c r="BV8" s="5">
        <v>3.9049E-2</v>
      </c>
      <c r="BW8" s="5">
        <v>4.2674999999999998E-2</v>
      </c>
      <c r="BX8" s="5">
        <v>20.99568</v>
      </c>
      <c r="BY8" s="5">
        <v>18.995360000000002</v>
      </c>
      <c r="BZ8" s="5">
        <v>0</v>
      </c>
      <c r="CA8" s="5">
        <v>0.936558</v>
      </c>
      <c r="CB8" s="5">
        <v>428.42689999999999</v>
      </c>
      <c r="CC8" s="5">
        <v>435.36770000000001</v>
      </c>
      <c r="CD8" s="5">
        <v>27.99531</v>
      </c>
      <c r="CE8" s="5">
        <v>309.81</v>
      </c>
      <c r="CF8" s="5">
        <v>73.239999999999995</v>
      </c>
      <c r="CG8" s="5">
        <v>86.48</v>
      </c>
      <c r="CH8" s="5">
        <v>293.62</v>
      </c>
      <c r="CI8" s="5">
        <v>294.68</v>
      </c>
      <c r="CJ8" s="5">
        <v>303.69</v>
      </c>
      <c r="CK8" s="5">
        <v>320.22000000000003</v>
      </c>
      <c r="CL8" s="5">
        <v>308.13</v>
      </c>
      <c r="CM8" s="5">
        <v>312.70999999999998</v>
      </c>
      <c r="CN8" s="5">
        <v>268.76</v>
      </c>
      <c r="CO8" s="5">
        <v>23.37</v>
      </c>
      <c r="CP8" s="5">
        <v>173.6</v>
      </c>
      <c r="CQ8" s="5">
        <v>174.05</v>
      </c>
      <c r="CR8" s="5">
        <v>3.1</v>
      </c>
      <c r="CS8" s="5">
        <v>3.1</v>
      </c>
      <c r="CT8" s="5">
        <v>21.9</v>
      </c>
      <c r="CU8" s="5">
        <v>18.350000000000001</v>
      </c>
      <c r="CV8" s="5">
        <v>100.6</v>
      </c>
      <c r="CW8" s="5">
        <v>0.83804948499999998</v>
      </c>
      <c r="CX8" s="5">
        <v>3.1510660640000001</v>
      </c>
    </row>
    <row r="9" spans="1:102" x14ac:dyDescent="0.25">
      <c r="A9" s="5">
        <v>10</v>
      </c>
      <c r="B9" s="23">
        <v>3.0203703703703705E-2</v>
      </c>
      <c r="C9" s="5">
        <v>1</v>
      </c>
      <c r="D9" s="5">
        <v>21</v>
      </c>
      <c r="E9" s="5">
        <v>162</v>
      </c>
      <c r="F9" s="5">
        <v>162</v>
      </c>
      <c r="G9" s="5">
        <v>162</v>
      </c>
      <c r="H9" s="5">
        <v>82.6</v>
      </c>
      <c r="I9" s="5">
        <v>82.6</v>
      </c>
      <c r="J9" s="5">
        <v>1701</v>
      </c>
      <c r="K9" s="5">
        <v>54</v>
      </c>
      <c r="L9" s="5">
        <v>54</v>
      </c>
      <c r="M9" s="5">
        <v>0.28999999999999998</v>
      </c>
      <c r="N9" s="5">
        <v>0.289995</v>
      </c>
      <c r="O9" s="5">
        <v>1</v>
      </c>
      <c r="P9" s="5">
        <v>1.0691349999999999</v>
      </c>
      <c r="Q9" s="5">
        <v>0.62</v>
      </c>
      <c r="R9" s="5">
        <v>0.61523399999999995</v>
      </c>
      <c r="S9" s="5">
        <v>105.63</v>
      </c>
      <c r="T9" s="5">
        <v>105.625</v>
      </c>
      <c r="U9" s="5">
        <v>3.5</v>
      </c>
      <c r="V9" s="5">
        <v>3.5</v>
      </c>
      <c r="W9" s="5">
        <v>300</v>
      </c>
      <c r="X9" s="5">
        <v>300</v>
      </c>
      <c r="Y9" s="5">
        <v>3.5</v>
      </c>
      <c r="Z9" s="5">
        <v>3.5</v>
      </c>
      <c r="AA9" s="5">
        <v>300</v>
      </c>
      <c r="AB9" s="5">
        <v>300</v>
      </c>
      <c r="AC9" s="5">
        <v>0</v>
      </c>
      <c r="AD9" s="5">
        <v>87.453800000000001</v>
      </c>
      <c r="AE9" s="5">
        <v>0</v>
      </c>
      <c r="AF9" s="5">
        <v>87.453800000000001</v>
      </c>
      <c r="AG9" s="5">
        <v>56.18</v>
      </c>
      <c r="AH9" s="5">
        <v>0.23</v>
      </c>
      <c r="AI9" s="5">
        <v>48.91</v>
      </c>
      <c r="AJ9" s="5">
        <v>62.72</v>
      </c>
      <c r="AK9" s="5">
        <v>57.55</v>
      </c>
      <c r="AL9" s="5">
        <v>56.77</v>
      </c>
      <c r="AM9" s="5">
        <v>310.55</v>
      </c>
      <c r="AN9" s="5">
        <v>128.20160000000001</v>
      </c>
      <c r="AO9" s="5">
        <v>27.14</v>
      </c>
      <c r="AP9" s="5">
        <v>62.3</v>
      </c>
      <c r="AQ9" s="5">
        <v>34.450000000000003</v>
      </c>
      <c r="AR9" s="5">
        <v>308.39999999999998</v>
      </c>
      <c r="AS9" s="5">
        <v>30.4</v>
      </c>
      <c r="AT9" s="5">
        <v>57.38</v>
      </c>
      <c r="AU9" s="5">
        <v>102.94</v>
      </c>
      <c r="AV9" s="5">
        <v>112.35</v>
      </c>
      <c r="AW9" s="5">
        <v>0.71299999999999997</v>
      </c>
      <c r="AX9" s="5">
        <v>11.65</v>
      </c>
      <c r="AY9" s="5">
        <v>7.9508999999999999</v>
      </c>
      <c r="AZ9" s="5">
        <v>166.88</v>
      </c>
      <c r="BA9" s="5">
        <v>88.46</v>
      </c>
      <c r="BB9" s="5">
        <v>5.7</v>
      </c>
      <c r="BC9" s="5">
        <v>1.59</v>
      </c>
      <c r="BD9" s="5">
        <v>12.74</v>
      </c>
      <c r="BE9" s="5">
        <v>2.4900000000000002</v>
      </c>
      <c r="BF9" s="5">
        <v>168.47</v>
      </c>
      <c r="BG9" s="5">
        <v>27.83</v>
      </c>
      <c r="BH9" s="5">
        <v>0.51</v>
      </c>
      <c r="BI9" s="5">
        <v>279.2</v>
      </c>
      <c r="BJ9" s="5">
        <v>38.299999999999997</v>
      </c>
      <c r="BK9" s="5">
        <v>84.4</v>
      </c>
      <c r="BL9" s="5">
        <v>118.88</v>
      </c>
      <c r="BM9" s="5">
        <v>1.41</v>
      </c>
      <c r="BN9" s="5">
        <v>30.42</v>
      </c>
      <c r="BO9" s="5">
        <v>34.17</v>
      </c>
      <c r="BP9" s="5">
        <v>316.3</v>
      </c>
      <c r="BQ9" s="5">
        <v>57.666089999999997</v>
      </c>
      <c r="BR9" s="5">
        <v>153.12729999999999</v>
      </c>
      <c r="BS9" s="5">
        <v>105.7467</v>
      </c>
      <c r="BT9" s="5">
        <v>95.199399999999997</v>
      </c>
      <c r="BU9" s="5">
        <v>94.228830000000002</v>
      </c>
      <c r="BV9" s="5">
        <v>3.9058000000000002E-2</v>
      </c>
      <c r="BW9" s="5">
        <v>4.1109E-2</v>
      </c>
      <c r="BX9" s="5">
        <v>20.17849</v>
      </c>
      <c r="BY9" s="5">
        <v>18.995360000000002</v>
      </c>
      <c r="BZ9" s="5">
        <v>0</v>
      </c>
      <c r="CA9" s="5">
        <v>0.93634399999999995</v>
      </c>
      <c r="CB9" s="5">
        <v>450.54230000000001</v>
      </c>
      <c r="CC9" s="5">
        <v>457.2731</v>
      </c>
      <c r="CD9" s="5">
        <v>27.178180000000001</v>
      </c>
      <c r="CE9" s="5">
        <v>305.73</v>
      </c>
      <c r="CF9" s="5">
        <v>82.66</v>
      </c>
      <c r="CG9" s="5">
        <v>95.94</v>
      </c>
      <c r="CH9" s="5">
        <v>295.64</v>
      </c>
      <c r="CI9" s="5">
        <v>292.27</v>
      </c>
      <c r="CJ9" s="5">
        <v>297.52999999999997</v>
      </c>
      <c r="CK9" s="5">
        <v>313</v>
      </c>
      <c r="CL9" s="5">
        <v>302.33</v>
      </c>
      <c r="CM9" s="5">
        <v>305.02999999999997</v>
      </c>
      <c r="CN9" s="5">
        <v>252.82</v>
      </c>
      <c r="CO9" s="5">
        <v>22.03</v>
      </c>
      <c r="CP9" s="5">
        <v>161.69999999999999</v>
      </c>
      <c r="CQ9" s="5">
        <v>162.05000000000001</v>
      </c>
      <c r="CR9" s="5">
        <v>2.9</v>
      </c>
      <c r="CS9" s="5">
        <v>2.9</v>
      </c>
      <c r="CT9" s="5">
        <v>20.22</v>
      </c>
      <c r="CU9" s="5">
        <v>20.23</v>
      </c>
      <c r="CV9" s="5">
        <v>100.61</v>
      </c>
      <c r="CW9" s="5">
        <v>0.834541596</v>
      </c>
      <c r="CX9" s="5">
        <v>2.0780085740000001</v>
      </c>
    </row>
    <row r="10" spans="1:102" x14ac:dyDescent="0.25">
      <c r="A10" s="5">
        <v>23</v>
      </c>
      <c r="B10" s="23">
        <v>1.8810185185185183E-2</v>
      </c>
      <c r="C10" s="5">
        <v>1</v>
      </c>
      <c r="D10" s="5">
        <v>33</v>
      </c>
      <c r="E10" s="5">
        <v>216</v>
      </c>
      <c r="F10" s="5">
        <v>216</v>
      </c>
      <c r="G10" s="5">
        <v>216.1</v>
      </c>
      <c r="H10" s="5">
        <v>82.6</v>
      </c>
      <c r="I10" s="5">
        <v>82.6</v>
      </c>
      <c r="J10" s="5">
        <v>1701</v>
      </c>
      <c r="K10" s="5">
        <v>46</v>
      </c>
      <c r="L10" s="5">
        <v>46</v>
      </c>
      <c r="M10" s="5">
        <v>0.28000000000000003</v>
      </c>
      <c r="N10" s="5">
        <v>0.28006399999999998</v>
      </c>
      <c r="O10" s="5">
        <v>1</v>
      </c>
      <c r="P10" s="5">
        <v>1.069124</v>
      </c>
      <c r="Q10" s="5">
        <v>-0.8</v>
      </c>
      <c r="R10" s="5">
        <v>-0.80200199999999999</v>
      </c>
      <c r="S10" s="5">
        <v>109.9</v>
      </c>
      <c r="T10" s="5">
        <v>109.9063</v>
      </c>
      <c r="U10" s="5">
        <v>3.5</v>
      </c>
      <c r="V10" s="5">
        <v>3.5</v>
      </c>
      <c r="W10" s="5">
        <v>300</v>
      </c>
      <c r="X10" s="5">
        <v>300</v>
      </c>
      <c r="Y10" s="5">
        <v>3.5</v>
      </c>
      <c r="Z10" s="5">
        <v>3.5</v>
      </c>
      <c r="AA10" s="5">
        <v>300</v>
      </c>
      <c r="AB10" s="5">
        <v>300</v>
      </c>
      <c r="AC10" s="5">
        <v>0</v>
      </c>
      <c r="AD10" s="5">
        <v>90.722189999999998</v>
      </c>
      <c r="AE10" s="5">
        <v>0</v>
      </c>
      <c r="AF10" s="5">
        <v>90.722189999999998</v>
      </c>
      <c r="AG10" s="5">
        <v>46.36</v>
      </c>
      <c r="AH10" s="5">
        <v>0.21</v>
      </c>
      <c r="AI10" s="5">
        <v>50.34</v>
      </c>
      <c r="AJ10" s="5">
        <v>66.900000000000006</v>
      </c>
      <c r="AK10" s="5">
        <v>56.89</v>
      </c>
      <c r="AL10" s="5">
        <v>56.67</v>
      </c>
      <c r="AM10" s="5">
        <v>354.94</v>
      </c>
      <c r="AN10" s="5">
        <v>131.90170000000001</v>
      </c>
      <c r="AO10" s="5">
        <v>30.66</v>
      </c>
      <c r="AP10" s="5">
        <v>67.22</v>
      </c>
      <c r="AQ10" s="5">
        <v>38.880000000000003</v>
      </c>
      <c r="AR10" s="5">
        <v>341.24</v>
      </c>
      <c r="AS10" s="5">
        <v>26.23</v>
      </c>
      <c r="AT10" s="5">
        <v>53.31</v>
      </c>
      <c r="AU10" s="5">
        <v>103.44</v>
      </c>
      <c r="AV10" s="5">
        <v>111.22</v>
      </c>
      <c r="AW10" s="5">
        <v>0.78</v>
      </c>
      <c r="AX10" s="5">
        <v>13</v>
      </c>
      <c r="AY10" s="5">
        <v>8.3604000000000003</v>
      </c>
      <c r="AZ10" s="5">
        <v>186.51</v>
      </c>
      <c r="BA10" s="5">
        <v>81.069999999999993</v>
      </c>
      <c r="BB10" s="5">
        <v>6.28</v>
      </c>
      <c r="BC10" s="5">
        <v>1.48</v>
      </c>
      <c r="BD10" s="5">
        <v>11.88</v>
      </c>
      <c r="BE10" s="5">
        <v>2.36</v>
      </c>
      <c r="BF10" s="5">
        <v>195.38</v>
      </c>
      <c r="BG10" s="5">
        <v>23.52</v>
      </c>
      <c r="BH10" s="5">
        <v>0.53</v>
      </c>
      <c r="BI10" s="5">
        <v>256.5</v>
      </c>
      <c r="BJ10" s="5">
        <v>34.6</v>
      </c>
      <c r="BK10" s="5">
        <v>85.1</v>
      </c>
      <c r="BL10" s="5">
        <v>104.94</v>
      </c>
      <c r="BM10" s="5">
        <v>1.47</v>
      </c>
      <c r="BN10" s="5">
        <v>30.32</v>
      </c>
      <c r="BO10" s="5">
        <v>34.71</v>
      </c>
      <c r="BP10" s="5">
        <v>351.15</v>
      </c>
      <c r="BQ10" s="5">
        <v>54.279110000000003</v>
      </c>
      <c r="BR10" s="5">
        <v>153.08340000000001</v>
      </c>
      <c r="BS10" s="5">
        <v>89.333399999999997</v>
      </c>
      <c r="BT10" s="5">
        <v>77.820790000000002</v>
      </c>
      <c r="BU10" s="5">
        <v>77.05968</v>
      </c>
      <c r="BV10" s="5">
        <v>3.8003000000000002E-2</v>
      </c>
      <c r="BW10" s="5">
        <v>4.0592999999999997E-2</v>
      </c>
      <c r="BX10" s="5">
        <v>27.64406</v>
      </c>
      <c r="BY10" s="5">
        <v>18.995360000000002</v>
      </c>
      <c r="BZ10" s="5">
        <v>0</v>
      </c>
      <c r="CA10" s="5">
        <v>0.93829899999999999</v>
      </c>
      <c r="CB10" s="5">
        <v>469.31849999999997</v>
      </c>
      <c r="CC10" s="5">
        <v>477.9237</v>
      </c>
      <c r="CD10" s="5">
        <v>34.642189999999999</v>
      </c>
      <c r="CE10" s="5">
        <v>344.4</v>
      </c>
      <c r="CF10" s="5">
        <v>80.66</v>
      </c>
      <c r="CG10" s="5">
        <v>95.22</v>
      </c>
      <c r="CH10" s="5">
        <v>335.57</v>
      </c>
      <c r="CI10" s="5">
        <v>324.75</v>
      </c>
      <c r="CJ10" s="5">
        <v>330.21</v>
      </c>
      <c r="CK10" s="5">
        <v>348.3</v>
      </c>
      <c r="CL10" s="5">
        <v>339.76</v>
      </c>
      <c r="CM10" s="5">
        <v>339.23</v>
      </c>
      <c r="CN10" s="5">
        <v>288.92</v>
      </c>
      <c r="CO10" s="5">
        <v>25</v>
      </c>
      <c r="CP10" s="5">
        <v>215.7</v>
      </c>
      <c r="CQ10" s="5">
        <v>216.05</v>
      </c>
      <c r="CR10" s="5">
        <v>3.9</v>
      </c>
      <c r="CS10" s="5">
        <v>3.9</v>
      </c>
      <c r="CT10" s="5">
        <v>22.69</v>
      </c>
      <c r="CU10" s="5">
        <v>12.92</v>
      </c>
      <c r="CV10" s="5">
        <v>100.5</v>
      </c>
      <c r="CW10" s="5">
        <v>0.82199694499999998</v>
      </c>
      <c r="CX10" s="5">
        <v>1.9399127899999999</v>
      </c>
    </row>
    <row r="11" spans="1:102" x14ac:dyDescent="0.25">
      <c r="A11" s="5">
        <v>11</v>
      </c>
      <c r="B11" s="23">
        <v>3.5643518518518519E-2</v>
      </c>
      <c r="C11" s="5">
        <v>1</v>
      </c>
      <c r="D11" s="5">
        <v>22</v>
      </c>
      <c r="E11" s="5">
        <v>171</v>
      </c>
      <c r="F11" s="5">
        <v>171</v>
      </c>
      <c r="G11" s="5">
        <v>171.1</v>
      </c>
      <c r="H11" s="5">
        <v>82.6</v>
      </c>
      <c r="I11" s="5">
        <v>82.6</v>
      </c>
      <c r="J11" s="5">
        <v>1701</v>
      </c>
      <c r="K11" s="5">
        <v>68</v>
      </c>
      <c r="L11" s="5">
        <v>68</v>
      </c>
      <c r="M11" s="5">
        <v>0.22</v>
      </c>
      <c r="N11" s="5">
        <v>0.219915</v>
      </c>
      <c r="O11" s="5">
        <v>1</v>
      </c>
      <c r="P11" s="5">
        <v>1.0691520000000001</v>
      </c>
      <c r="Q11" s="5">
        <v>0.39</v>
      </c>
      <c r="R11" s="5">
        <v>0.38452199999999997</v>
      </c>
      <c r="S11" s="5">
        <v>106.2</v>
      </c>
      <c r="T11" s="5">
        <v>106.20310000000001</v>
      </c>
      <c r="U11" s="5">
        <v>3.5</v>
      </c>
      <c r="V11" s="5">
        <v>3.5</v>
      </c>
      <c r="W11" s="5">
        <v>300</v>
      </c>
      <c r="X11" s="5">
        <v>300</v>
      </c>
      <c r="Y11" s="5">
        <v>3.5</v>
      </c>
      <c r="Z11" s="5">
        <v>3.5</v>
      </c>
      <c r="AA11" s="5">
        <v>300</v>
      </c>
      <c r="AB11" s="5">
        <v>300</v>
      </c>
      <c r="AC11" s="5">
        <v>0</v>
      </c>
      <c r="AD11" s="5">
        <v>99.56635</v>
      </c>
      <c r="AE11" s="5">
        <v>0</v>
      </c>
      <c r="AF11" s="5">
        <v>99.56635</v>
      </c>
      <c r="AG11" s="5">
        <v>54.55</v>
      </c>
      <c r="AH11" s="5">
        <v>0.23</v>
      </c>
      <c r="AI11" s="5">
        <v>56.26</v>
      </c>
      <c r="AJ11" s="5">
        <v>75.2</v>
      </c>
      <c r="AK11" s="5">
        <v>110.66</v>
      </c>
      <c r="AL11" s="5">
        <v>109.32</v>
      </c>
      <c r="AM11" s="5">
        <v>330.19</v>
      </c>
      <c r="AN11" s="5">
        <v>148.6651</v>
      </c>
      <c r="AO11" s="5">
        <v>47.84</v>
      </c>
      <c r="AP11" s="5">
        <v>80.099999999999994</v>
      </c>
      <c r="AQ11" s="5">
        <v>55.61</v>
      </c>
      <c r="AR11" s="5">
        <v>333.77</v>
      </c>
      <c r="AS11" s="5">
        <v>62.81</v>
      </c>
      <c r="AT11" s="5">
        <v>62.38</v>
      </c>
      <c r="AU11" s="5">
        <v>109.28</v>
      </c>
      <c r="AV11" s="5">
        <v>119.7</v>
      </c>
      <c r="AW11" s="5">
        <v>0.88400000000000001</v>
      </c>
      <c r="AX11" s="5">
        <v>15.22</v>
      </c>
      <c r="AY11" s="5">
        <v>10.731</v>
      </c>
      <c r="AZ11" s="5">
        <v>149.25</v>
      </c>
      <c r="BA11" s="5">
        <v>75.72</v>
      </c>
      <c r="BB11" s="5">
        <v>5.87</v>
      </c>
      <c r="BC11" s="5">
        <v>1.84</v>
      </c>
      <c r="BD11" s="5">
        <v>12.48</v>
      </c>
      <c r="BE11" s="5">
        <v>2.2000000000000002</v>
      </c>
      <c r="BF11" s="5">
        <v>146.05000000000001</v>
      </c>
      <c r="BG11" s="5">
        <v>31.33</v>
      </c>
      <c r="BH11" s="5">
        <v>0.66</v>
      </c>
      <c r="BI11" s="5">
        <v>294.3</v>
      </c>
      <c r="BJ11" s="5">
        <v>37.200000000000003</v>
      </c>
      <c r="BK11" s="5">
        <v>83.3</v>
      </c>
      <c r="BL11" s="5">
        <v>152.26</v>
      </c>
      <c r="BM11" s="5">
        <v>1.63</v>
      </c>
      <c r="BN11" s="5">
        <v>30.64</v>
      </c>
      <c r="BO11" s="5">
        <v>34.31</v>
      </c>
      <c r="BP11" s="5">
        <v>342.74</v>
      </c>
      <c r="BQ11" s="5">
        <v>61.496510000000001</v>
      </c>
      <c r="BR11" s="5">
        <v>204.93520000000001</v>
      </c>
      <c r="BS11" s="5">
        <v>95.993499999999997</v>
      </c>
      <c r="BT11" s="5">
        <v>98.821969999999993</v>
      </c>
      <c r="BU11" s="5">
        <v>97.21875</v>
      </c>
      <c r="BV11" s="5">
        <v>3.8961999999999997E-2</v>
      </c>
      <c r="BW11" s="5">
        <v>3.7137000000000003E-2</v>
      </c>
      <c r="BX11" s="5">
        <v>23.216460000000001</v>
      </c>
      <c r="BY11" s="5">
        <v>18.995360000000002</v>
      </c>
      <c r="BZ11" s="5">
        <v>0</v>
      </c>
      <c r="CA11" s="5">
        <v>0.93713999999999997</v>
      </c>
      <c r="CB11" s="5">
        <v>516.92380000000003</v>
      </c>
      <c r="CC11" s="5">
        <v>524.41629999999998</v>
      </c>
      <c r="CD11" s="5">
        <v>30.21594</v>
      </c>
      <c r="CE11" s="5">
        <v>318.51</v>
      </c>
      <c r="CF11" s="5">
        <v>87.78</v>
      </c>
      <c r="CG11" s="5">
        <v>102.64</v>
      </c>
      <c r="CH11" s="5">
        <v>318.87</v>
      </c>
      <c r="CI11" s="5">
        <v>304.06</v>
      </c>
      <c r="CJ11" s="5">
        <v>311.86</v>
      </c>
      <c r="CK11" s="5">
        <v>326.17</v>
      </c>
      <c r="CL11" s="5">
        <v>317.74</v>
      </c>
      <c r="CM11" s="5">
        <v>322.12</v>
      </c>
      <c r="CN11" s="5">
        <v>251.45</v>
      </c>
      <c r="CO11" s="5">
        <v>22.88</v>
      </c>
      <c r="CP11" s="5">
        <v>170.7</v>
      </c>
      <c r="CQ11" s="5">
        <v>171.05</v>
      </c>
      <c r="CR11" s="5">
        <v>3.1</v>
      </c>
      <c r="CS11" s="5">
        <v>3.1</v>
      </c>
      <c r="CT11" s="5">
        <v>20.65</v>
      </c>
      <c r="CU11" s="5">
        <v>17.739999999999998</v>
      </c>
      <c r="CV11" s="5">
        <v>100.6</v>
      </c>
      <c r="CW11" s="5">
        <v>0.82935114200000004</v>
      </c>
      <c r="CX11" s="5">
        <v>1.824572512</v>
      </c>
    </row>
    <row r="12" spans="1:102" x14ac:dyDescent="0.25">
      <c r="A12" s="5">
        <v>15</v>
      </c>
      <c r="B12" s="23">
        <v>1.4792824074074075E-2</v>
      </c>
      <c r="C12" s="5">
        <v>2</v>
      </c>
      <c r="D12" s="5">
        <v>14</v>
      </c>
      <c r="E12" s="5">
        <v>358</v>
      </c>
      <c r="F12" s="5">
        <v>358</v>
      </c>
      <c r="G12" s="5">
        <v>358</v>
      </c>
      <c r="H12" s="5">
        <v>82.6</v>
      </c>
      <c r="I12" s="5">
        <v>82.6</v>
      </c>
      <c r="J12" s="5">
        <v>1701</v>
      </c>
      <c r="K12" s="5">
        <v>70</v>
      </c>
      <c r="L12" s="5">
        <v>70</v>
      </c>
      <c r="M12" s="5">
        <v>0.18</v>
      </c>
      <c r="N12" s="5">
        <v>0.18004100000000001</v>
      </c>
      <c r="O12" s="5">
        <v>1</v>
      </c>
      <c r="P12" s="5">
        <v>1.0695049999999999</v>
      </c>
      <c r="Q12" s="5">
        <v>-3.59</v>
      </c>
      <c r="R12" s="5">
        <v>-3.5925289999999999</v>
      </c>
      <c r="S12" s="5">
        <v>131.88</v>
      </c>
      <c r="T12" s="5">
        <v>131.875</v>
      </c>
      <c r="U12" s="5">
        <v>3.5</v>
      </c>
      <c r="V12" s="5">
        <v>3.5</v>
      </c>
      <c r="W12" s="5">
        <v>300</v>
      </c>
      <c r="X12" s="5">
        <v>300</v>
      </c>
      <c r="Y12" s="5">
        <v>3.96</v>
      </c>
      <c r="Z12" s="5">
        <v>3.96875</v>
      </c>
      <c r="AA12" s="5">
        <v>300</v>
      </c>
      <c r="AB12" s="5">
        <v>300</v>
      </c>
      <c r="AC12" s="5">
        <v>0</v>
      </c>
      <c r="AD12" s="5">
        <v>133.4308</v>
      </c>
      <c r="AE12" s="5">
        <v>0</v>
      </c>
      <c r="AF12" s="5">
        <v>133.4308</v>
      </c>
      <c r="AG12" s="5">
        <v>40</v>
      </c>
      <c r="AH12" s="5">
        <v>0.17</v>
      </c>
      <c r="AI12" s="5">
        <v>76.28</v>
      </c>
      <c r="AJ12" s="5">
        <v>103.36</v>
      </c>
      <c r="AK12" s="5">
        <v>211.29</v>
      </c>
      <c r="AL12" s="5">
        <v>209.44</v>
      </c>
      <c r="AM12" s="5">
        <v>445.42</v>
      </c>
      <c r="AN12" s="5">
        <v>208.2054</v>
      </c>
      <c r="AO12" s="5">
        <v>108.19</v>
      </c>
      <c r="AP12" s="5">
        <v>129.81</v>
      </c>
      <c r="AQ12" s="5">
        <v>119.55</v>
      </c>
      <c r="AR12" s="5">
        <v>470.45</v>
      </c>
      <c r="AS12" s="5">
        <v>103.1</v>
      </c>
      <c r="AT12" s="5">
        <v>76.22</v>
      </c>
      <c r="AU12" s="5">
        <v>123.79</v>
      </c>
      <c r="AV12" s="5">
        <v>116.86</v>
      </c>
      <c r="AW12" s="5">
        <v>0.57799999999999996</v>
      </c>
      <c r="AX12" s="5">
        <v>9.06</v>
      </c>
      <c r="AY12" s="5">
        <v>7.3114999999999997</v>
      </c>
      <c r="AZ12" s="5">
        <v>156.6</v>
      </c>
      <c r="BA12" s="5">
        <v>51.12</v>
      </c>
      <c r="BB12" s="5">
        <v>7.65</v>
      </c>
      <c r="BC12" s="5">
        <v>2.2200000000000002</v>
      </c>
      <c r="BD12" s="5">
        <v>10.07</v>
      </c>
      <c r="BE12" s="5">
        <v>1.34</v>
      </c>
      <c r="BF12" s="5">
        <v>136.86000000000001</v>
      </c>
      <c r="BG12" s="5">
        <v>29</v>
      </c>
      <c r="BH12" s="5">
        <v>0.47</v>
      </c>
      <c r="BI12" s="5">
        <v>260.5</v>
      </c>
      <c r="BJ12" s="5">
        <v>28.3</v>
      </c>
      <c r="BK12" s="5">
        <v>83.1</v>
      </c>
      <c r="BL12" s="5">
        <v>192.18</v>
      </c>
      <c r="BM12" s="5">
        <v>2.23</v>
      </c>
      <c r="BN12" s="5">
        <v>30.99</v>
      </c>
      <c r="BO12" s="5">
        <v>35.93</v>
      </c>
      <c r="BP12" s="5">
        <v>487.04</v>
      </c>
      <c r="BQ12" s="5">
        <v>74.451930000000004</v>
      </c>
      <c r="BR12" s="5">
        <v>304.51139999999998</v>
      </c>
      <c r="BS12" s="5">
        <v>54.708219999999997</v>
      </c>
      <c r="BT12" s="5">
        <v>62.981909999999999</v>
      </c>
      <c r="BU12" s="5">
        <v>61.521979999999999</v>
      </c>
      <c r="BV12" s="5">
        <v>9.0619000000000005E-2</v>
      </c>
      <c r="BW12" s="5">
        <v>8.0273999999999998E-2</v>
      </c>
      <c r="BX12" s="5">
        <v>52.372079999999997</v>
      </c>
      <c r="BY12" s="5">
        <v>18.995360000000002</v>
      </c>
      <c r="BZ12" s="5">
        <v>0</v>
      </c>
      <c r="CA12" s="5">
        <v>0.934137</v>
      </c>
      <c r="CB12" s="5">
        <v>694.76369999999997</v>
      </c>
      <c r="CC12" s="5">
        <v>709.68629999999996</v>
      </c>
      <c r="CD12" s="5">
        <v>59.844380000000001</v>
      </c>
      <c r="CE12" s="5">
        <v>442.47</v>
      </c>
      <c r="CF12" s="5">
        <v>101.17</v>
      </c>
      <c r="CG12" s="5">
        <v>117.62</v>
      </c>
      <c r="CH12" s="5">
        <v>413.74</v>
      </c>
      <c r="CI12" s="5">
        <v>412.71</v>
      </c>
      <c r="CJ12" s="5">
        <v>422.98</v>
      </c>
      <c r="CK12" s="5">
        <v>443.46</v>
      </c>
      <c r="CL12" s="5">
        <v>435.48</v>
      </c>
      <c r="CM12" s="5">
        <v>437.94</v>
      </c>
      <c r="CN12" s="5">
        <v>320.23</v>
      </c>
      <c r="CO12" s="5">
        <v>25.69</v>
      </c>
      <c r="CP12" s="5">
        <v>357.4</v>
      </c>
      <c r="CQ12" s="5">
        <v>358.05</v>
      </c>
      <c r="CR12" s="5">
        <v>6.4</v>
      </c>
      <c r="CS12" s="5">
        <v>6.4</v>
      </c>
      <c r="CT12" s="5">
        <v>21.24</v>
      </c>
      <c r="CU12" s="5">
        <v>20.25</v>
      </c>
      <c r="CV12" s="5">
        <v>100.68</v>
      </c>
      <c r="CW12" s="5">
        <v>0.82207518199999996</v>
      </c>
      <c r="CX12" s="5">
        <v>1.1015807440000001</v>
      </c>
    </row>
    <row r="13" spans="1:102" x14ac:dyDescent="0.25">
      <c r="A13" s="5">
        <v>43</v>
      </c>
      <c r="B13" s="23">
        <v>1.957638888888889E-2</v>
      </c>
      <c r="C13" s="5">
        <v>2</v>
      </c>
      <c r="D13" s="5">
        <v>41</v>
      </c>
      <c r="E13" s="5">
        <v>483</v>
      </c>
      <c r="F13" s="5">
        <v>483</v>
      </c>
      <c r="G13" s="5">
        <v>483</v>
      </c>
      <c r="H13" s="5">
        <v>82.6</v>
      </c>
      <c r="I13" s="5">
        <v>82.6</v>
      </c>
      <c r="J13" s="5">
        <v>1701</v>
      </c>
      <c r="K13" s="5">
        <v>62</v>
      </c>
      <c r="L13" s="5">
        <v>62</v>
      </c>
      <c r="M13" s="5">
        <v>0.2</v>
      </c>
      <c r="N13" s="5">
        <v>0.19992799999999999</v>
      </c>
      <c r="O13" s="5">
        <v>1</v>
      </c>
      <c r="P13" s="5">
        <v>1.0694459999999999</v>
      </c>
      <c r="Q13" s="5">
        <v>-4.53</v>
      </c>
      <c r="R13" s="5">
        <v>-4.5263669999999996</v>
      </c>
      <c r="S13" s="5">
        <v>157.94</v>
      </c>
      <c r="T13" s="5">
        <v>157.9375</v>
      </c>
      <c r="U13" s="5">
        <v>3.5</v>
      </c>
      <c r="V13" s="5">
        <v>3.5</v>
      </c>
      <c r="W13" s="5">
        <v>300</v>
      </c>
      <c r="X13" s="5">
        <v>300</v>
      </c>
      <c r="Y13" s="5">
        <v>3.5</v>
      </c>
      <c r="Z13" s="5">
        <v>3.5</v>
      </c>
      <c r="AA13" s="5">
        <v>300</v>
      </c>
      <c r="AB13" s="5">
        <v>300</v>
      </c>
      <c r="AC13" s="5">
        <v>0</v>
      </c>
      <c r="AD13" s="5">
        <v>150.46129999999999</v>
      </c>
      <c r="AE13" s="5">
        <v>0</v>
      </c>
      <c r="AF13" s="5">
        <v>150.4555</v>
      </c>
      <c r="AG13" s="5">
        <v>40</v>
      </c>
      <c r="AH13" s="5">
        <v>0.17</v>
      </c>
      <c r="AI13" s="5">
        <v>83.68</v>
      </c>
      <c r="AJ13" s="5">
        <v>111.05</v>
      </c>
      <c r="AK13" s="5">
        <v>201.74</v>
      </c>
      <c r="AL13" s="5">
        <v>200.29</v>
      </c>
      <c r="AM13" s="5">
        <v>482.39</v>
      </c>
      <c r="AN13" s="5">
        <v>227.29390000000001</v>
      </c>
      <c r="AO13" s="5">
        <v>127.15</v>
      </c>
      <c r="AP13" s="5">
        <v>140.51</v>
      </c>
      <c r="AQ13" s="5">
        <v>140.19999999999999</v>
      </c>
      <c r="AR13" s="5">
        <v>537.91</v>
      </c>
      <c r="AS13" s="5">
        <v>74.59</v>
      </c>
      <c r="AT13" s="5">
        <v>74.11</v>
      </c>
      <c r="AU13" s="5">
        <v>126.58</v>
      </c>
      <c r="AV13" s="5">
        <v>123.04</v>
      </c>
      <c r="AW13" s="5">
        <v>0.35699999999999998</v>
      </c>
      <c r="AX13" s="5">
        <v>5.23</v>
      </c>
      <c r="AY13" s="5">
        <v>4.4577</v>
      </c>
      <c r="AZ13" s="5">
        <v>163.59</v>
      </c>
      <c r="BA13" s="5">
        <v>23.18</v>
      </c>
      <c r="BB13" s="5">
        <v>8.19</v>
      </c>
      <c r="BC13" s="5">
        <v>2.14</v>
      </c>
      <c r="BD13" s="5">
        <v>9.27</v>
      </c>
      <c r="BE13" s="5">
        <v>1.31</v>
      </c>
      <c r="BF13" s="5">
        <v>159.72</v>
      </c>
      <c r="BG13" s="5">
        <v>26.13</v>
      </c>
      <c r="BH13" s="5">
        <v>0.3</v>
      </c>
      <c r="BI13" s="5">
        <v>240.5</v>
      </c>
      <c r="BJ13" s="5">
        <v>26</v>
      </c>
      <c r="BK13" s="5">
        <v>83.2</v>
      </c>
      <c r="BL13" s="5">
        <v>190.21</v>
      </c>
      <c r="BM13" s="5">
        <v>2.44</v>
      </c>
      <c r="BN13" s="5">
        <v>30.95</v>
      </c>
      <c r="BO13" s="5">
        <v>36.53</v>
      </c>
      <c r="BP13" s="5">
        <v>558.36</v>
      </c>
      <c r="BQ13" s="5">
        <v>72.676410000000004</v>
      </c>
      <c r="BR13" s="5">
        <v>294.73469999999998</v>
      </c>
      <c r="BS13" s="5">
        <v>47.045360000000002</v>
      </c>
      <c r="BT13" s="5">
        <v>53.690040000000003</v>
      </c>
      <c r="BU13" s="5">
        <v>52.46555</v>
      </c>
      <c r="BV13" s="5">
        <v>0.10187400000000001</v>
      </c>
      <c r="BW13" s="5">
        <v>9.0956999999999996E-2</v>
      </c>
      <c r="BX13" s="5">
        <v>69.199330000000003</v>
      </c>
      <c r="BY13" s="5">
        <v>18.995360000000002</v>
      </c>
      <c r="BZ13" s="5">
        <v>0</v>
      </c>
      <c r="CA13" s="5">
        <v>0.93800099999999997</v>
      </c>
      <c r="CB13" s="5">
        <v>765.50919999999996</v>
      </c>
      <c r="CC13" s="5">
        <v>784.52729999999997</v>
      </c>
      <c r="CD13" s="5">
        <v>76.201560000000001</v>
      </c>
      <c r="CE13" s="5">
        <v>494.85</v>
      </c>
      <c r="CF13" s="5">
        <v>103.09</v>
      </c>
      <c r="CG13" s="5">
        <v>120.38</v>
      </c>
      <c r="CH13" s="5">
        <v>424.71</v>
      </c>
      <c r="CI13" s="5">
        <v>442.97</v>
      </c>
      <c r="CJ13" s="5">
        <v>449.78</v>
      </c>
      <c r="CK13" s="5">
        <v>480.14</v>
      </c>
      <c r="CL13" s="5">
        <v>477.24</v>
      </c>
      <c r="CM13" s="5">
        <v>480.93</v>
      </c>
      <c r="CN13" s="5">
        <v>342.17</v>
      </c>
      <c r="CO13" s="5">
        <v>27.03</v>
      </c>
      <c r="CP13" s="5">
        <v>481.3</v>
      </c>
      <c r="CQ13" s="5">
        <v>483.05</v>
      </c>
      <c r="CR13" s="5">
        <v>8.6</v>
      </c>
      <c r="CS13" s="5">
        <v>8.6999999999999993</v>
      </c>
      <c r="CT13" s="5">
        <v>23.9</v>
      </c>
      <c r="CU13" s="5">
        <v>23.47</v>
      </c>
      <c r="CV13" s="5">
        <v>100.79</v>
      </c>
      <c r="CW13" s="5">
        <v>0.84137202700000002</v>
      </c>
      <c r="CX13" s="5">
        <v>1.1021973549999999</v>
      </c>
    </row>
    <row r="14" spans="1:102" x14ac:dyDescent="0.25">
      <c r="A14" s="5">
        <v>38</v>
      </c>
      <c r="B14" s="23">
        <v>3.4081018518518517E-2</v>
      </c>
      <c r="C14" s="5">
        <v>2</v>
      </c>
      <c r="D14" s="5">
        <v>36</v>
      </c>
      <c r="E14" s="5">
        <v>458</v>
      </c>
      <c r="F14" s="5">
        <v>458</v>
      </c>
      <c r="G14" s="5">
        <v>458</v>
      </c>
      <c r="H14" s="5">
        <v>82.6</v>
      </c>
      <c r="I14" s="5">
        <v>82.6</v>
      </c>
      <c r="J14" s="5">
        <v>1701</v>
      </c>
      <c r="K14" s="5">
        <v>24</v>
      </c>
      <c r="L14" s="5">
        <v>24</v>
      </c>
      <c r="M14" s="5">
        <v>0.11</v>
      </c>
      <c r="N14" s="5">
        <v>0.110015</v>
      </c>
      <c r="O14" s="5">
        <v>1</v>
      </c>
      <c r="P14" s="5">
        <v>1.069496</v>
      </c>
      <c r="Q14" s="5">
        <v>-4.33</v>
      </c>
      <c r="R14" s="5">
        <v>-4.3286129999999998</v>
      </c>
      <c r="S14" s="5">
        <v>152.77000000000001</v>
      </c>
      <c r="T14" s="5">
        <v>152.76560000000001</v>
      </c>
      <c r="U14" s="5">
        <v>3.5</v>
      </c>
      <c r="V14" s="5">
        <v>3.5</v>
      </c>
      <c r="W14" s="5">
        <v>300</v>
      </c>
      <c r="X14" s="5">
        <v>300</v>
      </c>
      <c r="Y14" s="5">
        <v>3.5</v>
      </c>
      <c r="Z14" s="5">
        <v>3.5</v>
      </c>
      <c r="AA14" s="5">
        <v>300</v>
      </c>
      <c r="AB14" s="5">
        <v>300</v>
      </c>
      <c r="AC14" s="5">
        <v>0</v>
      </c>
      <c r="AD14" s="5">
        <v>110.10980000000001</v>
      </c>
      <c r="AE14" s="5">
        <v>0</v>
      </c>
      <c r="AF14" s="5">
        <v>110.10980000000001</v>
      </c>
      <c r="AG14" s="5">
        <v>40</v>
      </c>
      <c r="AH14" s="5">
        <v>0.17</v>
      </c>
      <c r="AI14" s="5">
        <v>62.81</v>
      </c>
      <c r="AJ14" s="5">
        <v>90.06</v>
      </c>
      <c r="AK14" s="5">
        <v>82.03</v>
      </c>
      <c r="AL14" s="5">
        <v>84.04</v>
      </c>
      <c r="AM14" s="5">
        <v>525.13</v>
      </c>
      <c r="AN14" s="5">
        <v>163.31610000000001</v>
      </c>
      <c r="AO14" s="5">
        <v>62.08</v>
      </c>
      <c r="AP14" s="5">
        <v>97.01</v>
      </c>
      <c r="AQ14" s="5">
        <v>74.680000000000007</v>
      </c>
      <c r="AR14" s="5">
        <v>506.2</v>
      </c>
      <c r="AS14" s="5">
        <v>19.95</v>
      </c>
      <c r="AT14" s="5">
        <v>57</v>
      </c>
      <c r="AU14" s="5">
        <v>97.38</v>
      </c>
      <c r="AV14" s="5">
        <v>115.03</v>
      </c>
      <c r="AW14" s="5">
        <v>0.13500000000000001</v>
      </c>
      <c r="AX14" s="5">
        <v>1.85</v>
      </c>
      <c r="AY14" s="5">
        <v>1.1163000000000001</v>
      </c>
      <c r="AZ14" s="5">
        <v>90.25</v>
      </c>
      <c r="BA14" s="5">
        <v>34.21</v>
      </c>
      <c r="BB14" s="5">
        <v>7.93</v>
      </c>
      <c r="BC14" s="5">
        <v>0.62</v>
      </c>
      <c r="BD14" s="5">
        <v>9.61</v>
      </c>
      <c r="BE14" s="5">
        <v>4.1100000000000003</v>
      </c>
      <c r="BF14" s="5">
        <v>503.49</v>
      </c>
      <c r="BG14" s="5">
        <v>7.79</v>
      </c>
      <c r="BH14" s="5">
        <v>0.08</v>
      </c>
      <c r="BI14" s="5">
        <v>229.9</v>
      </c>
      <c r="BJ14" s="5">
        <v>27</v>
      </c>
      <c r="BK14" s="5">
        <v>87.5</v>
      </c>
      <c r="BL14" s="5">
        <v>42.75</v>
      </c>
      <c r="BM14" s="5">
        <v>1.75</v>
      </c>
      <c r="BN14" s="5">
        <v>29.54</v>
      </c>
      <c r="BO14" s="5">
        <v>36.26</v>
      </c>
      <c r="BP14" s="5">
        <v>524.91999999999996</v>
      </c>
      <c r="BQ14" s="5">
        <v>58.292499999999997</v>
      </c>
      <c r="BR14" s="5">
        <v>184.63149999999999</v>
      </c>
      <c r="BS14" s="5">
        <v>49.76005</v>
      </c>
      <c r="BT14" s="5">
        <v>43.630479999999999</v>
      </c>
      <c r="BU14" s="5">
        <v>43.363250000000001</v>
      </c>
      <c r="BV14" s="5">
        <v>0.101442</v>
      </c>
      <c r="BW14" s="5">
        <v>0.10281700000000001</v>
      </c>
      <c r="BX14" s="5">
        <v>62.031619999999997</v>
      </c>
      <c r="BY14" s="5">
        <v>18.995360000000002</v>
      </c>
      <c r="BZ14" s="5">
        <v>0</v>
      </c>
      <c r="CA14" s="5">
        <v>0.93626299999999996</v>
      </c>
      <c r="CB14" s="5">
        <v>572.83019999999999</v>
      </c>
      <c r="CC14" s="5">
        <v>590.0575</v>
      </c>
      <c r="CD14" s="5">
        <v>69.033069999999995</v>
      </c>
      <c r="CE14" s="5">
        <v>428.57</v>
      </c>
      <c r="CF14" s="5">
        <v>76.650000000000006</v>
      </c>
      <c r="CG14" s="5">
        <v>90.62</v>
      </c>
      <c r="CH14" s="5">
        <v>428.47</v>
      </c>
      <c r="CI14" s="5">
        <v>449.74</v>
      </c>
      <c r="CJ14" s="5">
        <v>464.61</v>
      </c>
      <c r="CK14" s="5">
        <v>496.37</v>
      </c>
      <c r="CL14" s="5">
        <v>480.25</v>
      </c>
      <c r="CM14" s="5">
        <v>478.05</v>
      </c>
      <c r="CN14" s="5">
        <v>425.24</v>
      </c>
      <c r="CO14" s="5">
        <v>26.25</v>
      </c>
      <c r="CP14" s="5">
        <v>457.2</v>
      </c>
      <c r="CQ14" s="5">
        <v>458.05</v>
      </c>
      <c r="CR14" s="5">
        <v>8.1999999999999993</v>
      </c>
      <c r="CS14" s="5">
        <v>8.1999999999999993</v>
      </c>
      <c r="CT14" s="5">
        <v>22.76</v>
      </c>
      <c r="CU14" s="5">
        <v>18.920000000000002</v>
      </c>
      <c r="CV14" s="5">
        <v>100.77</v>
      </c>
      <c r="CW14" s="5">
        <v>0.82744512800000003</v>
      </c>
      <c r="CX14" s="5">
        <v>3.400799476</v>
      </c>
    </row>
    <row r="15" spans="1:102" x14ac:dyDescent="0.25">
      <c r="A15" s="5">
        <v>31</v>
      </c>
      <c r="B15" s="23">
        <v>3.1346064814814813E-2</v>
      </c>
      <c r="C15" s="5">
        <v>2</v>
      </c>
      <c r="D15" s="5">
        <v>30</v>
      </c>
      <c r="E15" s="5">
        <v>433</v>
      </c>
      <c r="F15" s="5">
        <v>433</v>
      </c>
      <c r="G15" s="5">
        <v>433</v>
      </c>
      <c r="H15" s="5">
        <v>82.6</v>
      </c>
      <c r="I15" s="5">
        <v>82.6</v>
      </c>
      <c r="J15" s="5">
        <v>1701</v>
      </c>
      <c r="K15" s="5">
        <v>7</v>
      </c>
      <c r="L15" s="5">
        <v>7</v>
      </c>
      <c r="M15" s="5">
        <v>0.22</v>
      </c>
      <c r="N15" s="5">
        <v>0.22009400000000001</v>
      </c>
      <c r="O15" s="5">
        <v>1</v>
      </c>
      <c r="P15" s="5">
        <v>1.0693839999999999</v>
      </c>
      <c r="Q15" s="5">
        <v>-4.12</v>
      </c>
      <c r="R15" s="5">
        <v>-4.1198730000000001</v>
      </c>
      <c r="S15" s="5">
        <v>147.56</v>
      </c>
      <c r="T15" s="5">
        <v>147.5625</v>
      </c>
      <c r="U15" s="5">
        <v>3.5</v>
      </c>
      <c r="V15" s="5">
        <v>3.5</v>
      </c>
      <c r="W15" s="5">
        <v>300</v>
      </c>
      <c r="X15" s="5">
        <v>300</v>
      </c>
      <c r="Y15" s="5">
        <v>3.5</v>
      </c>
      <c r="Z15" s="5">
        <v>3.5</v>
      </c>
      <c r="AA15" s="5">
        <v>300</v>
      </c>
      <c r="AB15" s="5">
        <v>300</v>
      </c>
      <c r="AC15" s="5">
        <v>0</v>
      </c>
      <c r="AD15" s="5">
        <v>94.986879999999999</v>
      </c>
      <c r="AE15" s="5">
        <v>0</v>
      </c>
      <c r="AF15" s="5">
        <v>94.986879999999999</v>
      </c>
      <c r="AG15" s="5">
        <v>40</v>
      </c>
      <c r="AH15" s="5">
        <v>0.17</v>
      </c>
      <c r="AI15" s="5">
        <v>53.5</v>
      </c>
      <c r="AJ15" s="5">
        <v>74.28</v>
      </c>
      <c r="AK15" s="5">
        <v>50.91</v>
      </c>
      <c r="AL15" s="5">
        <v>52.26</v>
      </c>
      <c r="AM15" s="5">
        <v>579.66999999999996</v>
      </c>
      <c r="AN15" s="5">
        <v>137.96270000000001</v>
      </c>
      <c r="AO15" s="5">
        <v>36.76</v>
      </c>
      <c r="AP15" s="5">
        <v>75.5</v>
      </c>
      <c r="AQ15" s="5">
        <v>46.77</v>
      </c>
      <c r="AR15" s="5">
        <v>410.64</v>
      </c>
      <c r="AS15" s="5">
        <v>14.14</v>
      </c>
      <c r="AT15" s="5">
        <v>51.37</v>
      </c>
      <c r="AU15" s="5">
        <v>98.14</v>
      </c>
      <c r="AV15" s="5">
        <v>113.76</v>
      </c>
      <c r="AW15" s="5">
        <v>0.59899999999999998</v>
      </c>
      <c r="AX15" s="5">
        <v>9.4600000000000009</v>
      </c>
      <c r="AY15" s="5">
        <v>6.0465999999999998</v>
      </c>
      <c r="AZ15" s="5">
        <v>198.35</v>
      </c>
      <c r="BA15" s="5">
        <v>31.57</v>
      </c>
      <c r="BB15" s="5">
        <v>9.66</v>
      </c>
      <c r="BC15" s="5">
        <v>1.1599999999999999</v>
      </c>
      <c r="BD15" s="5">
        <v>7.22</v>
      </c>
      <c r="BE15" s="5">
        <v>2.2599999999999998</v>
      </c>
      <c r="BF15" s="5">
        <v>332.76</v>
      </c>
      <c r="BG15" s="5">
        <v>11.98</v>
      </c>
      <c r="BH15" s="5">
        <v>0.4</v>
      </c>
      <c r="BI15" s="5">
        <v>237.3</v>
      </c>
      <c r="BJ15" s="5">
        <v>22.4</v>
      </c>
      <c r="BK15" s="5">
        <v>85.2</v>
      </c>
      <c r="BL15" s="5">
        <v>55.85</v>
      </c>
      <c r="BM15" s="5">
        <v>1.53</v>
      </c>
      <c r="BN15" s="5">
        <v>30.01</v>
      </c>
      <c r="BO15" s="5">
        <v>37.68</v>
      </c>
      <c r="BP15" s="5">
        <v>428.69</v>
      </c>
      <c r="BQ15" s="5">
        <v>53.16104</v>
      </c>
      <c r="BR15" s="5">
        <v>151.083</v>
      </c>
      <c r="BS15" s="5">
        <v>50.391599999999997</v>
      </c>
      <c r="BT15" s="5">
        <v>37.859920000000002</v>
      </c>
      <c r="BU15" s="5">
        <v>37.906640000000003</v>
      </c>
      <c r="BV15" s="5">
        <v>0.100039</v>
      </c>
      <c r="BW15" s="5">
        <v>0.10699</v>
      </c>
      <c r="BX15" s="5">
        <v>60.859529999999999</v>
      </c>
      <c r="BY15" s="5">
        <v>18.995360000000002</v>
      </c>
      <c r="BZ15" s="5">
        <v>0</v>
      </c>
      <c r="CA15" s="5">
        <v>0.93597900000000001</v>
      </c>
      <c r="CB15" s="5">
        <v>491.35019999999997</v>
      </c>
      <c r="CC15" s="5">
        <v>508.28379999999999</v>
      </c>
      <c r="CD15" s="5">
        <v>67.861459999999994</v>
      </c>
      <c r="CE15" s="5">
        <v>503.85</v>
      </c>
      <c r="CF15" s="5">
        <v>78.06</v>
      </c>
      <c r="CG15" s="5">
        <v>91.22</v>
      </c>
      <c r="CH15" s="5">
        <v>469.72</v>
      </c>
      <c r="CI15" s="5">
        <v>490.17</v>
      </c>
      <c r="CJ15" s="5">
        <v>500.36</v>
      </c>
      <c r="CK15" s="5">
        <v>551.4</v>
      </c>
      <c r="CL15" s="5">
        <v>519.4</v>
      </c>
      <c r="CM15" s="5">
        <v>524.9</v>
      </c>
      <c r="CN15" s="5">
        <v>492.78</v>
      </c>
      <c r="CO15" s="5">
        <v>26.94</v>
      </c>
      <c r="CP15" s="5">
        <v>432.2</v>
      </c>
      <c r="CQ15" s="5">
        <v>433.04</v>
      </c>
      <c r="CR15" s="5">
        <v>7.7</v>
      </c>
      <c r="CS15" s="5">
        <v>7.8</v>
      </c>
      <c r="CT15" s="5">
        <v>22.42</v>
      </c>
      <c r="CU15" s="5">
        <v>19.28</v>
      </c>
      <c r="CV15" s="5">
        <v>100.73</v>
      </c>
      <c r="CW15" s="5">
        <v>0.81455847100000001</v>
      </c>
      <c r="CX15" s="5">
        <v>1.840902144</v>
      </c>
    </row>
    <row r="16" spans="1:102" x14ac:dyDescent="0.25">
      <c r="A16" s="5">
        <v>39</v>
      </c>
      <c r="B16" s="23">
        <v>3.9502314814814816E-2</v>
      </c>
      <c r="C16" s="5">
        <v>2</v>
      </c>
      <c r="D16" s="5">
        <v>37</v>
      </c>
      <c r="E16" s="5">
        <v>461</v>
      </c>
      <c r="F16" s="5">
        <v>461</v>
      </c>
      <c r="G16" s="5">
        <v>461</v>
      </c>
      <c r="H16" s="5">
        <v>82.6</v>
      </c>
      <c r="I16" s="5">
        <v>82.6</v>
      </c>
      <c r="J16" s="5">
        <v>1701</v>
      </c>
      <c r="K16" s="5">
        <v>57</v>
      </c>
      <c r="L16" s="5">
        <v>57</v>
      </c>
      <c r="M16" s="5">
        <v>0.21</v>
      </c>
      <c r="N16" s="5">
        <v>0.21010599999999999</v>
      </c>
      <c r="O16" s="5">
        <v>1</v>
      </c>
      <c r="P16" s="5">
        <v>1.0694840000000001</v>
      </c>
      <c r="Q16" s="5">
        <v>-4.3499999999999996</v>
      </c>
      <c r="R16" s="5">
        <v>-4.3505859999999998</v>
      </c>
      <c r="S16" s="5">
        <v>153.38999999999999</v>
      </c>
      <c r="T16" s="5">
        <v>153.39060000000001</v>
      </c>
      <c r="U16" s="5">
        <v>3.5</v>
      </c>
      <c r="V16" s="5">
        <v>3.5</v>
      </c>
      <c r="W16" s="5">
        <v>300</v>
      </c>
      <c r="X16" s="5">
        <v>300</v>
      </c>
      <c r="Y16" s="5">
        <v>3.5</v>
      </c>
      <c r="Z16" s="5">
        <v>3.5</v>
      </c>
      <c r="AA16" s="5">
        <v>300</v>
      </c>
      <c r="AB16" s="5">
        <v>300</v>
      </c>
      <c r="AC16" s="5">
        <v>0</v>
      </c>
      <c r="AD16" s="5">
        <v>138.27379999999999</v>
      </c>
      <c r="AE16" s="5">
        <v>0</v>
      </c>
      <c r="AF16" s="5">
        <v>138.27379999999999</v>
      </c>
      <c r="AG16" s="5">
        <v>40</v>
      </c>
      <c r="AH16" s="5">
        <v>0.17</v>
      </c>
      <c r="AI16" s="5">
        <v>78.53</v>
      </c>
      <c r="AJ16" s="5">
        <v>105.54</v>
      </c>
      <c r="AK16" s="5">
        <v>166.72</v>
      </c>
      <c r="AL16" s="5">
        <v>165.83</v>
      </c>
      <c r="AM16" s="5">
        <v>468.83</v>
      </c>
      <c r="AN16" s="5">
        <v>212.19630000000001</v>
      </c>
      <c r="AO16" s="5">
        <v>111.91</v>
      </c>
      <c r="AP16" s="5">
        <v>125.59</v>
      </c>
      <c r="AQ16" s="5">
        <v>124.84</v>
      </c>
      <c r="AR16" s="5">
        <v>520.84</v>
      </c>
      <c r="AS16" s="5">
        <v>54.81</v>
      </c>
      <c r="AT16" s="5">
        <v>71.03</v>
      </c>
      <c r="AU16" s="5">
        <v>118.87</v>
      </c>
      <c r="AV16" s="5">
        <v>116.97</v>
      </c>
      <c r="AW16" s="5">
        <v>0.24099999999999999</v>
      </c>
      <c r="AX16" s="5">
        <v>3.41</v>
      </c>
      <c r="AY16" s="5">
        <v>2.5687000000000002</v>
      </c>
      <c r="AZ16" s="5">
        <v>134.61000000000001</v>
      </c>
      <c r="BA16" s="5">
        <v>33.729999999999997</v>
      </c>
      <c r="BB16" s="5">
        <v>7.83</v>
      </c>
      <c r="BC16" s="5">
        <v>1.83</v>
      </c>
      <c r="BD16" s="5">
        <v>9.75</v>
      </c>
      <c r="BE16" s="5">
        <v>1.67</v>
      </c>
      <c r="BF16" s="5">
        <v>200</v>
      </c>
      <c r="BG16" s="5">
        <v>23.41</v>
      </c>
      <c r="BH16" s="5">
        <v>0.18</v>
      </c>
      <c r="BI16" s="5">
        <v>235.6</v>
      </c>
      <c r="BJ16" s="5">
        <v>26.9</v>
      </c>
      <c r="BK16" s="5">
        <v>83.4</v>
      </c>
      <c r="BL16" s="5">
        <v>159.31</v>
      </c>
      <c r="BM16" s="5">
        <v>2.2799999999999998</v>
      </c>
      <c r="BN16" s="5">
        <v>30.68</v>
      </c>
      <c r="BO16" s="5">
        <v>36.28</v>
      </c>
      <c r="BP16" s="5">
        <v>540.48</v>
      </c>
      <c r="BQ16" s="5">
        <v>70.251559999999998</v>
      </c>
      <c r="BR16" s="5">
        <v>261.07170000000002</v>
      </c>
      <c r="BS16" s="5">
        <v>48.846519999999998</v>
      </c>
      <c r="BT16" s="5">
        <v>53.872120000000002</v>
      </c>
      <c r="BU16" s="5">
        <v>52.751379999999997</v>
      </c>
      <c r="BV16" s="5">
        <v>0.10247000000000001</v>
      </c>
      <c r="BW16" s="5">
        <v>9.3099000000000001E-2</v>
      </c>
      <c r="BX16" s="5">
        <v>64.106769999999997</v>
      </c>
      <c r="BY16" s="5">
        <v>18.995360000000002</v>
      </c>
      <c r="BZ16" s="5">
        <v>0</v>
      </c>
      <c r="CA16" s="5">
        <v>0.93676499999999996</v>
      </c>
      <c r="CB16" s="5">
        <v>718.7577</v>
      </c>
      <c r="CC16" s="5">
        <v>736.50750000000005</v>
      </c>
      <c r="CD16" s="5">
        <v>71.109219999999993</v>
      </c>
      <c r="CE16" s="5">
        <v>473.29</v>
      </c>
      <c r="CF16" s="5">
        <v>96.87</v>
      </c>
      <c r="CG16" s="5">
        <v>112.16</v>
      </c>
      <c r="CH16" s="5">
        <v>410.57</v>
      </c>
      <c r="CI16" s="5">
        <v>424.28</v>
      </c>
      <c r="CJ16" s="5">
        <v>435.51</v>
      </c>
      <c r="CK16" s="5">
        <v>461.4</v>
      </c>
      <c r="CL16" s="5">
        <v>458.88</v>
      </c>
      <c r="CM16" s="5">
        <v>461.28</v>
      </c>
      <c r="CN16" s="5">
        <v>340.54</v>
      </c>
      <c r="CO16" s="5">
        <v>27.6</v>
      </c>
      <c r="CP16" s="5">
        <v>458.7</v>
      </c>
      <c r="CQ16" s="5">
        <v>461.05</v>
      </c>
      <c r="CR16" s="5">
        <v>8.1999999999999993</v>
      </c>
      <c r="CS16" s="5">
        <v>8.3000000000000007</v>
      </c>
      <c r="CT16" s="5">
        <v>25.12</v>
      </c>
      <c r="CU16" s="5">
        <v>26.84</v>
      </c>
      <c r="CV16" s="5">
        <v>100.76</v>
      </c>
      <c r="CW16" s="5">
        <v>0.85524234399999999</v>
      </c>
      <c r="CX16" s="5">
        <v>1.4282547139999999</v>
      </c>
    </row>
    <row r="17" spans="1:102" x14ac:dyDescent="0.25">
      <c r="A17" s="5">
        <v>6</v>
      </c>
      <c r="B17" s="23">
        <v>4.0821759259259257E-3</v>
      </c>
      <c r="C17" s="5">
        <v>2</v>
      </c>
      <c r="D17" s="5">
        <v>6</v>
      </c>
      <c r="E17" s="5">
        <v>323</v>
      </c>
      <c r="F17" s="5">
        <v>323</v>
      </c>
      <c r="G17" s="5">
        <v>323.10000000000002</v>
      </c>
      <c r="H17" s="5">
        <v>82.6</v>
      </c>
      <c r="I17" s="5">
        <v>82.6</v>
      </c>
      <c r="J17" s="5">
        <v>1701</v>
      </c>
      <c r="K17" s="5">
        <v>5</v>
      </c>
      <c r="L17" s="5">
        <v>5</v>
      </c>
      <c r="M17" s="5">
        <v>0.25</v>
      </c>
      <c r="N17" s="5">
        <v>0.24999199999999999</v>
      </c>
      <c r="O17" s="5">
        <v>1</v>
      </c>
      <c r="P17" s="5">
        <v>1.0700270000000001</v>
      </c>
      <c r="Q17" s="5">
        <v>-3.38</v>
      </c>
      <c r="R17" s="5">
        <v>-3.3837890000000002</v>
      </c>
      <c r="S17" s="5">
        <v>124.55</v>
      </c>
      <c r="T17" s="5">
        <v>124.54689999999999</v>
      </c>
      <c r="U17" s="5">
        <v>3.5</v>
      </c>
      <c r="V17" s="5">
        <v>3.5</v>
      </c>
      <c r="W17" s="5">
        <v>300</v>
      </c>
      <c r="X17" s="5">
        <v>300</v>
      </c>
      <c r="Y17" s="5">
        <v>3.98</v>
      </c>
      <c r="Z17" s="5">
        <v>3.96875</v>
      </c>
      <c r="AA17" s="5">
        <v>300</v>
      </c>
      <c r="AB17" s="5">
        <v>300</v>
      </c>
      <c r="AC17" s="5">
        <v>0</v>
      </c>
      <c r="AD17" s="5">
        <v>83.318380000000005</v>
      </c>
      <c r="AE17" s="5">
        <v>0</v>
      </c>
      <c r="AF17" s="5">
        <v>83.318380000000005</v>
      </c>
      <c r="AG17" s="5">
        <v>40</v>
      </c>
      <c r="AH17" s="5">
        <v>0.17</v>
      </c>
      <c r="AI17" s="5">
        <v>46.67</v>
      </c>
      <c r="AJ17" s="5">
        <v>60.68</v>
      </c>
      <c r="AK17" s="5">
        <v>34.89</v>
      </c>
      <c r="AL17" s="5">
        <v>34.85</v>
      </c>
      <c r="AM17" s="5">
        <v>512.78</v>
      </c>
      <c r="AN17" s="5">
        <v>120.74160000000001</v>
      </c>
      <c r="AO17" s="5">
        <v>20.13</v>
      </c>
      <c r="AP17" s="5">
        <v>58.44</v>
      </c>
      <c r="AQ17" s="5">
        <v>28.45</v>
      </c>
      <c r="AR17" s="5">
        <v>345.06</v>
      </c>
      <c r="AS17" s="5">
        <v>14.76</v>
      </c>
      <c r="AT17" s="5">
        <v>52.88</v>
      </c>
      <c r="AU17" s="5">
        <v>98.09</v>
      </c>
      <c r="AV17" s="5">
        <v>110.26</v>
      </c>
      <c r="AW17" s="5">
        <v>0.89300000000000002</v>
      </c>
      <c r="AX17" s="5">
        <v>15.42</v>
      </c>
      <c r="AY17" s="5">
        <v>7.7529000000000003</v>
      </c>
      <c r="AZ17" s="5">
        <v>226.78</v>
      </c>
      <c r="BA17" s="5">
        <v>61.86</v>
      </c>
      <c r="BB17" s="5">
        <v>8.8800000000000008</v>
      </c>
      <c r="BC17" s="5">
        <v>1.37</v>
      </c>
      <c r="BD17" s="5">
        <v>8.2899999999999991</v>
      </c>
      <c r="BE17" s="5">
        <v>1.87</v>
      </c>
      <c r="BF17" s="5">
        <v>240.94</v>
      </c>
      <c r="BG17" s="5">
        <v>15.42</v>
      </c>
      <c r="BH17" s="5">
        <v>0.5</v>
      </c>
      <c r="BI17" s="5">
        <v>245.4</v>
      </c>
      <c r="BJ17" s="5">
        <v>24.4</v>
      </c>
      <c r="BK17" s="5">
        <v>84.7</v>
      </c>
      <c r="BL17" s="5">
        <v>62.93</v>
      </c>
      <c r="BM17" s="5">
        <v>1.35</v>
      </c>
      <c r="BN17" s="5">
        <v>30.21</v>
      </c>
      <c r="BO17" s="5">
        <v>36.99</v>
      </c>
      <c r="BP17" s="5">
        <v>359.3</v>
      </c>
      <c r="BQ17" s="5">
        <v>54.713070000000002</v>
      </c>
      <c r="BR17" s="5">
        <v>133.46530000000001</v>
      </c>
      <c r="BS17" s="5">
        <v>59.737549999999999</v>
      </c>
      <c r="BT17" s="5">
        <v>45.411610000000003</v>
      </c>
      <c r="BU17" s="5">
        <v>45.261800000000001</v>
      </c>
      <c r="BV17" s="5">
        <v>9.0575000000000003E-2</v>
      </c>
      <c r="BW17" s="5">
        <v>9.4280000000000003E-2</v>
      </c>
      <c r="BX17" s="5">
        <v>42.704320000000003</v>
      </c>
      <c r="BY17" s="5">
        <v>18.995360000000002</v>
      </c>
      <c r="BZ17" s="5">
        <v>0</v>
      </c>
      <c r="CA17" s="5">
        <v>0.93683899999999998</v>
      </c>
      <c r="CB17" s="5">
        <v>428.36770000000001</v>
      </c>
      <c r="CC17" s="5">
        <v>440.86419999999998</v>
      </c>
      <c r="CD17" s="5">
        <v>50.174950000000003</v>
      </c>
      <c r="CE17" s="5">
        <v>467.56</v>
      </c>
      <c r="CF17" s="5">
        <v>78.45</v>
      </c>
      <c r="CG17" s="5">
        <v>90.23</v>
      </c>
      <c r="CH17" s="5">
        <v>424.68</v>
      </c>
      <c r="CI17" s="5">
        <v>432.42</v>
      </c>
      <c r="CJ17" s="5">
        <v>448.97</v>
      </c>
      <c r="CK17" s="5">
        <v>491.99</v>
      </c>
      <c r="CL17" s="5">
        <v>462.35</v>
      </c>
      <c r="CM17" s="5">
        <v>472.16</v>
      </c>
      <c r="CN17" s="5">
        <v>439.84</v>
      </c>
      <c r="CO17" s="5">
        <v>24.86</v>
      </c>
      <c r="CP17" s="5">
        <v>322.3</v>
      </c>
      <c r="CQ17" s="5">
        <v>323.05</v>
      </c>
      <c r="CR17" s="5">
        <v>5.8</v>
      </c>
      <c r="CS17" s="5">
        <v>5.8</v>
      </c>
      <c r="CT17" s="5">
        <v>20.29</v>
      </c>
      <c r="CU17" s="5">
        <v>22.84</v>
      </c>
      <c r="CV17" s="5">
        <v>100.66</v>
      </c>
      <c r="CW17" s="5">
        <v>0.81212071100000005</v>
      </c>
      <c r="CX17" s="5">
        <v>1.5186657299999999</v>
      </c>
    </row>
    <row r="18" spans="1:102" x14ac:dyDescent="0.25">
      <c r="A18" s="5">
        <v>40</v>
      </c>
      <c r="B18" s="23">
        <v>3.2650462962962958E-3</v>
      </c>
      <c r="C18" s="5">
        <v>2</v>
      </c>
      <c r="D18" s="5">
        <v>38</v>
      </c>
      <c r="E18" s="5">
        <v>467</v>
      </c>
      <c r="F18" s="5">
        <v>467</v>
      </c>
      <c r="G18" s="5">
        <v>467</v>
      </c>
      <c r="H18" s="5">
        <v>82.6</v>
      </c>
      <c r="I18" s="5">
        <v>82.6</v>
      </c>
      <c r="J18" s="5">
        <v>1701</v>
      </c>
      <c r="K18" s="5">
        <v>64</v>
      </c>
      <c r="L18" s="5">
        <v>64</v>
      </c>
      <c r="M18" s="5">
        <v>0.1</v>
      </c>
      <c r="N18" s="5">
        <v>9.9992999999999999E-2</v>
      </c>
      <c r="O18" s="5">
        <v>1</v>
      </c>
      <c r="P18" s="5">
        <v>1.069528</v>
      </c>
      <c r="Q18" s="5">
        <v>-4.4000000000000004</v>
      </c>
      <c r="R18" s="5">
        <v>-4.3945309999999997</v>
      </c>
      <c r="S18" s="5">
        <v>154.63</v>
      </c>
      <c r="T18" s="5">
        <v>154.625</v>
      </c>
      <c r="U18" s="5">
        <v>3.5</v>
      </c>
      <c r="V18" s="5">
        <v>3.5</v>
      </c>
      <c r="W18" s="5">
        <v>300</v>
      </c>
      <c r="X18" s="5">
        <v>300</v>
      </c>
      <c r="Y18" s="5">
        <v>3.5</v>
      </c>
      <c r="Z18" s="5">
        <v>3.5</v>
      </c>
      <c r="AA18" s="5">
        <v>300</v>
      </c>
      <c r="AB18" s="5">
        <v>300</v>
      </c>
      <c r="AC18" s="5">
        <v>0</v>
      </c>
      <c r="AD18" s="5">
        <v>178.01499999999999</v>
      </c>
      <c r="AE18" s="5">
        <v>0</v>
      </c>
      <c r="AF18" s="5">
        <v>151.53720000000001</v>
      </c>
      <c r="AG18" s="5">
        <v>40</v>
      </c>
      <c r="AH18" s="5">
        <v>0.17</v>
      </c>
      <c r="AI18" s="5">
        <v>93.26</v>
      </c>
      <c r="AJ18" s="5">
        <v>122.26</v>
      </c>
      <c r="AK18" s="5">
        <v>277.23</v>
      </c>
      <c r="AL18" s="5">
        <v>277.23</v>
      </c>
      <c r="AM18" s="5">
        <v>447.74</v>
      </c>
      <c r="AN18" s="5">
        <v>252.93450000000001</v>
      </c>
      <c r="AO18" s="5">
        <v>152.62</v>
      </c>
      <c r="AP18" s="5">
        <v>155.77000000000001</v>
      </c>
      <c r="AQ18" s="5">
        <v>168.93</v>
      </c>
      <c r="AR18" s="5">
        <v>678.73</v>
      </c>
      <c r="AS18" s="5">
        <v>124.62</v>
      </c>
      <c r="AT18" s="5">
        <v>64.84</v>
      </c>
      <c r="AU18" s="5">
        <v>107.65</v>
      </c>
      <c r="AV18" s="5">
        <v>120.27</v>
      </c>
      <c r="AW18" s="5">
        <v>7.1999999999999995E-2</v>
      </c>
      <c r="AX18" s="5">
        <v>0.97</v>
      </c>
      <c r="AY18" s="5">
        <v>0.74380000000000002</v>
      </c>
      <c r="AZ18" s="5">
        <v>75.930000000000007</v>
      </c>
      <c r="BA18" s="5">
        <v>28.52</v>
      </c>
      <c r="BB18" s="5">
        <v>6.52</v>
      </c>
      <c r="BC18" s="5">
        <v>1.05</v>
      </c>
      <c r="BD18" s="5">
        <v>11.62</v>
      </c>
      <c r="BE18" s="5">
        <v>3.6</v>
      </c>
      <c r="BF18" s="5">
        <v>325.5</v>
      </c>
      <c r="BG18" s="5">
        <v>16.14</v>
      </c>
      <c r="BH18" s="5">
        <v>0.06</v>
      </c>
      <c r="BI18" s="5">
        <v>247.7</v>
      </c>
      <c r="BJ18" s="5">
        <v>33</v>
      </c>
      <c r="BK18" s="5">
        <v>83.8</v>
      </c>
      <c r="BL18" s="5">
        <v>130.68</v>
      </c>
      <c r="BM18" s="5">
        <v>2.7</v>
      </c>
      <c r="BN18" s="5">
        <v>29.94</v>
      </c>
      <c r="BO18" s="5">
        <v>34.979999999999997</v>
      </c>
      <c r="BP18" s="5">
        <v>699.49</v>
      </c>
      <c r="BQ18" s="5">
        <v>65.212649999999996</v>
      </c>
      <c r="BR18" s="5">
        <v>376.57479999999998</v>
      </c>
      <c r="BS18" s="5">
        <v>47.27214</v>
      </c>
      <c r="BT18" s="5">
        <v>62.82208</v>
      </c>
      <c r="BU18" s="5">
        <v>60.165889999999997</v>
      </c>
      <c r="BV18" s="5">
        <v>0.101951</v>
      </c>
      <c r="BW18" s="5">
        <v>7.7203999999999995E-2</v>
      </c>
      <c r="BX18" s="5">
        <v>68.554010000000005</v>
      </c>
      <c r="BY18" s="5">
        <v>18.995360000000002</v>
      </c>
      <c r="BZ18" s="5">
        <v>0</v>
      </c>
      <c r="CA18" s="5">
        <v>0.93784299999999998</v>
      </c>
      <c r="CB18" s="5">
        <v>870.50869999999998</v>
      </c>
      <c r="CC18" s="5">
        <v>889.34690000000001</v>
      </c>
      <c r="CD18" s="5">
        <v>75.557289999999995</v>
      </c>
      <c r="CE18" s="5">
        <v>442.9</v>
      </c>
      <c r="CF18" s="5">
        <v>89.41</v>
      </c>
      <c r="CG18" s="5">
        <v>102.13</v>
      </c>
      <c r="CH18" s="5">
        <v>409.52</v>
      </c>
      <c r="CI18" s="5">
        <v>418.38</v>
      </c>
      <c r="CJ18" s="5">
        <v>428.09</v>
      </c>
      <c r="CK18" s="5">
        <v>452.77</v>
      </c>
      <c r="CL18" s="5">
        <v>439.63</v>
      </c>
      <c r="CM18" s="5">
        <v>444.33</v>
      </c>
      <c r="CN18" s="5">
        <v>299.35000000000002</v>
      </c>
      <c r="CO18" s="5">
        <v>29.13</v>
      </c>
      <c r="CP18" s="5">
        <v>465</v>
      </c>
      <c r="CQ18" s="5">
        <v>467.05</v>
      </c>
      <c r="CR18" s="5">
        <v>8.3000000000000007</v>
      </c>
      <c r="CS18" s="5">
        <v>8.4</v>
      </c>
      <c r="CT18" s="5">
        <v>25.45</v>
      </c>
      <c r="CU18" s="5">
        <v>25.88</v>
      </c>
      <c r="CV18" s="5">
        <v>100.77</v>
      </c>
      <c r="CW18" s="5">
        <v>0.864071747</v>
      </c>
      <c r="CX18" s="5">
        <v>3.1106582889999999</v>
      </c>
    </row>
    <row r="19" spans="1:102" x14ac:dyDescent="0.25">
      <c r="A19" s="5">
        <v>46</v>
      </c>
      <c r="B19" s="23">
        <v>3.5877314814814813E-2</v>
      </c>
      <c r="C19" s="5">
        <v>2</v>
      </c>
      <c r="D19" s="5">
        <v>44</v>
      </c>
      <c r="E19" s="5">
        <v>498</v>
      </c>
      <c r="F19" s="5">
        <v>498</v>
      </c>
      <c r="G19" s="5">
        <v>498.1</v>
      </c>
      <c r="H19" s="5">
        <v>82.6</v>
      </c>
      <c r="I19" s="5">
        <v>82.6</v>
      </c>
      <c r="J19" s="5">
        <v>1701</v>
      </c>
      <c r="K19" s="5">
        <v>69</v>
      </c>
      <c r="L19" s="5">
        <v>69</v>
      </c>
      <c r="M19" s="5">
        <v>0.15</v>
      </c>
      <c r="N19" s="5">
        <v>0.15001999999999999</v>
      </c>
      <c r="O19" s="5">
        <v>1</v>
      </c>
      <c r="P19" s="5">
        <v>1.069474</v>
      </c>
      <c r="Q19" s="5">
        <v>-4.6500000000000004</v>
      </c>
      <c r="R19" s="5">
        <v>-4.6472170000000004</v>
      </c>
      <c r="S19" s="5">
        <v>161.05000000000001</v>
      </c>
      <c r="T19" s="5">
        <v>161.04689999999999</v>
      </c>
      <c r="U19" s="5">
        <v>3.5</v>
      </c>
      <c r="V19" s="5">
        <v>3.5</v>
      </c>
      <c r="W19" s="5">
        <v>300</v>
      </c>
      <c r="X19" s="5">
        <v>300</v>
      </c>
      <c r="Y19" s="5">
        <v>3.5</v>
      </c>
      <c r="Z19" s="5">
        <v>3.5</v>
      </c>
      <c r="AA19" s="5">
        <v>300</v>
      </c>
      <c r="AB19" s="5">
        <v>300</v>
      </c>
      <c r="AC19" s="5">
        <v>0</v>
      </c>
      <c r="AD19" s="5">
        <v>178.96440000000001</v>
      </c>
      <c r="AE19" s="5">
        <v>0</v>
      </c>
      <c r="AF19" s="5">
        <v>151.5343</v>
      </c>
      <c r="AG19" s="5">
        <v>40</v>
      </c>
      <c r="AH19" s="5">
        <v>0.17</v>
      </c>
      <c r="AI19" s="5">
        <v>95.03</v>
      </c>
      <c r="AJ19" s="5">
        <v>121.29</v>
      </c>
      <c r="AK19" s="5">
        <v>300.10000000000002</v>
      </c>
      <c r="AL19" s="5">
        <v>298.43</v>
      </c>
      <c r="AM19" s="5">
        <v>485.39</v>
      </c>
      <c r="AN19" s="5">
        <v>261.33229999999998</v>
      </c>
      <c r="AO19" s="5">
        <v>161.38</v>
      </c>
      <c r="AP19" s="5">
        <v>159.15</v>
      </c>
      <c r="AQ19" s="5">
        <v>175.98</v>
      </c>
      <c r="AR19" s="5">
        <v>609.05999999999995</v>
      </c>
      <c r="AS19" s="5">
        <v>138.72</v>
      </c>
      <c r="AT19" s="5">
        <v>75.98</v>
      </c>
      <c r="AU19" s="5">
        <v>129.24</v>
      </c>
      <c r="AV19" s="5">
        <v>124.49</v>
      </c>
      <c r="AW19" s="5">
        <v>0.16900000000000001</v>
      </c>
      <c r="AX19" s="5">
        <v>2.34</v>
      </c>
      <c r="AY19" s="5">
        <v>2.1179999999999999</v>
      </c>
      <c r="AZ19" s="5">
        <v>127.63</v>
      </c>
      <c r="BA19" s="5">
        <v>21.63</v>
      </c>
      <c r="BB19" s="5">
        <v>7.78</v>
      </c>
      <c r="BC19" s="5">
        <v>1.97</v>
      </c>
      <c r="BD19" s="5">
        <v>9.84</v>
      </c>
      <c r="BE19" s="5">
        <v>1.61</v>
      </c>
      <c r="BF19" s="5">
        <v>178.52</v>
      </c>
      <c r="BG19" s="5">
        <v>25.25</v>
      </c>
      <c r="BH19" s="5">
        <v>0.15</v>
      </c>
      <c r="BI19" s="5">
        <v>252.2</v>
      </c>
      <c r="BJ19" s="5">
        <v>27.2</v>
      </c>
      <c r="BK19" s="5">
        <v>81.8</v>
      </c>
      <c r="BL19" s="5">
        <v>205.76</v>
      </c>
      <c r="BM19" s="5">
        <v>2.78</v>
      </c>
      <c r="BN19" s="5">
        <v>30.8</v>
      </c>
      <c r="BO19" s="5">
        <v>36.200000000000003</v>
      </c>
      <c r="BP19" s="5">
        <v>631.36</v>
      </c>
      <c r="BQ19" s="5">
        <v>74.483800000000002</v>
      </c>
      <c r="BR19" s="5">
        <v>394.26639999999998</v>
      </c>
      <c r="BS19" s="5">
        <v>45.254629999999999</v>
      </c>
      <c r="BT19" s="5">
        <v>57.432040000000001</v>
      </c>
      <c r="BU19" s="5">
        <v>55.585000000000001</v>
      </c>
      <c r="BV19" s="5">
        <v>9.8183000000000006E-2</v>
      </c>
      <c r="BW19" s="5">
        <v>8.2327999999999998E-2</v>
      </c>
      <c r="BX19" s="5">
        <v>75.594740000000002</v>
      </c>
      <c r="BY19" s="5">
        <v>18.995360000000002</v>
      </c>
      <c r="BZ19" s="5">
        <v>0</v>
      </c>
      <c r="CA19" s="5">
        <v>0.93749300000000002</v>
      </c>
      <c r="CB19" s="5">
        <v>875.12350000000004</v>
      </c>
      <c r="CC19" s="5">
        <v>895.75310000000002</v>
      </c>
      <c r="CD19" s="5">
        <v>82.597030000000004</v>
      </c>
      <c r="CE19" s="5">
        <v>491.39</v>
      </c>
      <c r="CF19" s="5">
        <v>105.31</v>
      </c>
      <c r="CG19" s="5">
        <v>123.94</v>
      </c>
      <c r="CH19" s="5">
        <v>444.67</v>
      </c>
      <c r="CI19" s="5">
        <v>453.81</v>
      </c>
      <c r="CJ19" s="5">
        <v>465.34</v>
      </c>
      <c r="CK19" s="5">
        <v>484.9</v>
      </c>
      <c r="CL19" s="5">
        <v>479.01</v>
      </c>
      <c r="CM19" s="5">
        <v>485.01</v>
      </c>
      <c r="CN19" s="5">
        <v>329.17</v>
      </c>
      <c r="CO19" s="5">
        <v>29.47</v>
      </c>
      <c r="CP19" s="5">
        <v>495.5</v>
      </c>
      <c r="CQ19" s="5">
        <v>498.05</v>
      </c>
      <c r="CR19" s="5">
        <v>8.9</v>
      </c>
      <c r="CS19" s="5">
        <v>8.9</v>
      </c>
      <c r="CT19" s="5">
        <v>25.51</v>
      </c>
      <c r="CU19" s="5">
        <v>29.55</v>
      </c>
      <c r="CV19" s="5">
        <v>100.8</v>
      </c>
      <c r="CW19" s="5">
        <v>0.86686846500000003</v>
      </c>
      <c r="CX19" s="5">
        <v>1.3956582289999999</v>
      </c>
    </row>
    <row r="20" spans="1:102" x14ac:dyDescent="0.25">
      <c r="A20" s="5">
        <v>32</v>
      </c>
      <c r="B20" s="23">
        <v>3.6785879629629627E-2</v>
      </c>
      <c r="C20" s="5">
        <v>2</v>
      </c>
      <c r="D20" s="5">
        <v>31</v>
      </c>
      <c r="E20" s="5">
        <v>436</v>
      </c>
      <c r="F20" s="5">
        <v>436</v>
      </c>
      <c r="G20" s="5">
        <v>436</v>
      </c>
      <c r="H20" s="5">
        <v>82.6</v>
      </c>
      <c r="I20" s="5">
        <v>82.6</v>
      </c>
      <c r="J20" s="5">
        <v>1701</v>
      </c>
      <c r="K20" s="5">
        <v>64</v>
      </c>
      <c r="L20" s="5">
        <v>64</v>
      </c>
      <c r="M20" s="5">
        <v>0.15</v>
      </c>
      <c r="N20" s="5">
        <v>0.14999699999999999</v>
      </c>
      <c r="O20" s="5">
        <v>1</v>
      </c>
      <c r="P20" s="5">
        <v>1.0694980000000001</v>
      </c>
      <c r="Q20" s="5">
        <v>-4.1399999999999997</v>
      </c>
      <c r="R20" s="5">
        <v>-4.1418460000000001</v>
      </c>
      <c r="S20" s="5">
        <v>148.18</v>
      </c>
      <c r="T20" s="5">
        <v>148.1875</v>
      </c>
      <c r="U20" s="5">
        <v>3.5</v>
      </c>
      <c r="V20" s="5">
        <v>3.5</v>
      </c>
      <c r="W20" s="5">
        <v>300</v>
      </c>
      <c r="X20" s="5">
        <v>300</v>
      </c>
      <c r="Y20" s="5">
        <v>3.5</v>
      </c>
      <c r="Z20" s="5">
        <v>3.5</v>
      </c>
      <c r="AA20" s="5">
        <v>300</v>
      </c>
      <c r="AB20" s="5">
        <v>300</v>
      </c>
      <c r="AC20" s="5">
        <v>0</v>
      </c>
      <c r="AD20" s="5">
        <v>155.15479999999999</v>
      </c>
      <c r="AE20" s="5">
        <v>0</v>
      </c>
      <c r="AF20" s="5">
        <v>151.5367</v>
      </c>
      <c r="AG20" s="5">
        <v>40</v>
      </c>
      <c r="AH20" s="5">
        <v>0.17</v>
      </c>
      <c r="AI20" s="5">
        <v>84.73</v>
      </c>
      <c r="AJ20" s="5">
        <v>111.71</v>
      </c>
      <c r="AK20" s="5">
        <v>220.92</v>
      </c>
      <c r="AL20" s="5">
        <v>220.19</v>
      </c>
      <c r="AM20" s="5">
        <v>447.25</v>
      </c>
      <c r="AN20" s="5">
        <v>229.5693</v>
      </c>
      <c r="AO20" s="5">
        <v>129.27000000000001</v>
      </c>
      <c r="AP20" s="5">
        <v>136.28</v>
      </c>
      <c r="AQ20" s="5">
        <v>142.99</v>
      </c>
      <c r="AR20" s="5">
        <v>563.88</v>
      </c>
      <c r="AS20" s="5">
        <v>91.64</v>
      </c>
      <c r="AT20" s="5">
        <v>70.13</v>
      </c>
      <c r="AU20" s="5">
        <v>117.02</v>
      </c>
      <c r="AV20" s="5">
        <v>116.46</v>
      </c>
      <c r="AW20" s="5">
        <v>0.156</v>
      </c>
      <c r="AX20" s="5">
        <v>2.15</v>
      </c>
      <c r="AY20" s="5">
        <v>1.7363999999999999</v>
      </c>
      <c r="AZ20" s="5">
        <v>108.48</v>
      </c>
      <c r="BA20" s="5">
        <v>34.93</v>
      </c>
      <c r="BB20" s="5">
        <v>7.16</v>
      </c>
      <c r="BC20" s="5">
        <v>1.61</v>
      </c>
      <c r="BD20" s="5">
        <v>10.76</v>
      </c>
      <c r="BE20" s="5">
        <v>2.13</v>
      </c>
      <c r="BF20" s="5">
        <v>219.7</v>
      </c>
      <c r="BG20" s="5">
        <v>22.45</v>
      </c>
      <c r="BH20" s="5">
        <v>0.12</v>
      </c>
      <c r="BI20" s="5">
        <v>244.8</v>
      </c>
      <c r="BJ20" s="5">
        <v>29.6</v>
      </c>
      <c r="BK20" s="5">
        <v>82.7</v>
      </c>
      <c r="BL20" s="5">
        <v>163.16999999999999</v>
      </c>
      <c r="BM20" s="5">
        <v>2.46</v>
      </c>
      <c r="BN20" s="5">
        <v>30.47</v>
      </c>
      <c r="BO20" s="5">
        <v>35.630000000000003</v>
      </c>
      <c r="BP20" s="5">
        <v>582.63</v>
      </c>
      <c r="BQ20" s="5">
        <v>69.692139999999995</v>
      </c>
      <c r="BR20" s="5">
        <v>316.7328</v>
      </c>
      <c r="BS20" s="5">
        <v>49.445529999999998</v>
      </c>
      <c r="BT20" s="5">
        <v>60.017209999999999</v>
      </c>
      <c r="BU20" s="5">
        <v>58.393859999999997</v>
      </c>
      <c r="BV20" s="5">
        <v>0.102142</v>
      </c>
      <c r="BW20" s="5">
        <v>8.7967000000000004E-2</v>
      </c>
      <c r="BX20" s="5">
        <v>62.61636</v>
      </c>
      <c r="BY20" s="5">
        <v>18.995360000000002</v>
      </c>
      <c r="BZ20" s="5">
        <v>0</v>
      </c>
      <c r="CA20" s="5">
        <v>0.93640500000000004</v>
      </c>
      <c r="CB20" s="5">
        <v>778.57929999999999</v>
      </c>
      <c r="CC20" s="5">
        <v>795.95709999999997</v>
      </c>
      <c r="CD20" s="5">
        <v>69.618539999999996</v>
      </c>
      <c r="CE20" s="5">
        <v>456.74</v>
      </c>
      <c r="CF20" s="5">
        <v>94.82</v>
      </c>
      <c r="CG20" s="5">
        <v>110.68</v>
      </c>
      <c r="CH20" s="5">
        <v>409.19</v>
      </c>
      <c r="CI20" s="5">
        <v>417.01</v>
      </c>
      <c r="CJ20" s="5">
        <v>423.88</v>
      </c>
      <c r="CK20" s="5">
        <v>450.17</v>
      </c>
      <c r="CL20" s="5">
        <v>443.69</v>
      </c>
      <c r="CM20" s="5">
        <v>448.12</v>
      </c>
      <c r="CN20" s="5">
        <v>312.54000000000002</v>
      </c>
      <c r="CO20" s="5">
        <v>27.23</v>
      </c>
      <c r="CP20" s="5">
        <v>433.7</v>
      </c>
      <c r="CQ20" s="5">
        <v>436.05</v>
      </c>
      <c r="CR20" s="5">
        <v>7.8</v>
      </c>
      <c r="CS20" s="5">
        <v>7.8</v>
      </c>
      <c r="CT20" s="5">
        <v>24.56</v>
      </c>
      <c r="CU20" s="5">
        <v>29.25</v>
      </c>
      <c r="CV20" s="5">
        <v>100.74</v>
      </c>
      <c r="CW20" s="5">
        <v>0.861964956</v>
      </c>
      <c r="CX20" s="5">
        <v>1.8359853559999999</v>
      </c>
    </row>
    <row r="21" spans="1:102" x14ac:dyDescent="0.25">
      <c r="A21" s="5">
        <v>6</v>
      </c>
      <c r="B21" s="23">
        <v>41408.460138009257</v>
      </c>
      <c r="C21" s="5">
        <v>3</v>
      </c>
      <c r="D21" s="5">
        <v>28</v>
      </c>
      <c r="E21" s="5">
        <v>673</v>
      </c>
      <c r="F21" s="5">
        <v>673</v>
      </c>
      <c r="G21" s="5">
        <v>673</v>
      </c>
      <c r="H21" s="5">
        <v>82.6</v>
      </c>
      <c r="I21" s="5">
        <v>82.6</v>
      </c>
      <c r="J21" s="5">
        <v>1701</v>
      </c>
      <c r="K21" s="5">
        <v>43</v>
      </c>
      <c r="L21" s="5">
        <v>43</v>
      </c>
      <c r="M21" s="5">
        <v>0.11</v>
      </c>
      <c r="N21" s="5">
        <v>0.109995</v>
      </c>
      <c r="O21" s="5">
        <v>1</v>
      </c>
      <c r="P21" s="5">
        <v>1.069507</v>
      </c>
      <c r="Q21" s="5">
        <v>-2.99</v>
      </c>
      <c r="R21" s="5">
        <v>-2.9882810000000002</v>
      </c>
      <c r="S21" s="5">
        <v>174.99</v>
      </c>
      <c r="T21" s="5">
        <v>174.98439999999999</v>
      </c>
      <c r="U21" s="5">
        <v>3.5</v>
      </c>
      <c r="V21" s="5">
        <v>3.5</v>
      </c>
      <c r="W21" s="5">
        <v>300</v>
      </c>
      <c r="X21" s="5">
        <v>300</v>
      </c>
      <c r="Y21" s="5">
        <v>3.5</v>
      </c>
      <c r="Z21" s="5">
        <v>3.5</v>
      </c>
      <c r="AA21" s="5">
        <v>300</v>
      </c>
      <c r="AB21" s="5">
        <v>300</v>
      </c>
      <c r="AC21" s="5">
        <v>0</v>
      </c>
      <c r="AD21" s="5">
        <v>171.197</v>
      </c>
      <c r="AE21" s="5">
        <v>0</v>
      </c>
      <c r="AF21" s="5">
        <v>151.5393</v>
      </c>
      <c r="AG21" s="5">
        <v>40</v>
      </c>
      <c r="AH21" s="5">
        <v>0.17</v>
      </c>
      <c r="AI21" s="5">
        <v>89.59</v>
      </c>
      <c r="AJ21" s="5">
        <v>121.44</v>
      </c>
      <c r="AK21" s="5">
        <v>189.42</v>
      </c>
      <c r="AL21" s="5">
        <v>191.16</v>
      </c>
      <c r="AM21" s="5">
        <v>532</v>
      </c>
      <c r="AN21" s="5">
        <v>241.46799999999999</v>
      </c>
      <c r="AO21" s="5">
        <v>142.28</v>
      </c>
      <c r="AP21" s="5">
        <v>146.18</v>
      </c>
      <c r="AQ21" s="5">
        <v>160.09</v>
      </c>
      <c r="AR21" s="5">
        <v>695.21</v>
      </c>
      <c r="AS21" s="5">
        <v>47.14</v>
      </c>
      <c r="AT21" s="5">
        <v>61.28</v>
      </c>
      <c r="AU21" s="5">
        <v>101.41</v>
      </c>
      <c r="AV21" s="5">
        <v>110.32</v>
      </c>
      <c r="AW21" s="5">
        <v>0.05</v>
      </c>
      <c r="AX21" s="5">
        <v>0.66</v>
      </c>
      <c r="AY21" s="5">
        <v>10000000000</v>
      </c>
      <c r="AZ21" s="5">
        <v>41.44</v>
      </c>
      <c r="BA21" s="5">
        <v>21.37</v>
      </c>
      <c r="BB21" s="5">
        <v>7.96</v>
      </c>
      <c r="BC21" s="5">
        <v>0.86</v>
      </c>
      <c r="BD21" s="5">
        <v>9.56</v>
      </c>
      <c r="BE21" s="5">
        <v>4.12</v>
      </c>
      <c r="BF21" s="5">
        <v>541.98</v>
      </c>
      <c r="BG21" s="5">
        <v>10.76</v>
      </c>
      <c r="BH21" s="5">
        <v>10000000000</v>
      </c>
      <c r="BI21" s="5">
        <v>220.7</v>
      </c>
      <c r="BJ21" s="5">
        <v>26.3</v>
      </c>
      <c r="BK21" s="5">
        <v>84.1</v>
      </c>
      <c r="BL21" s="5">
        <v>83.78</v>
      </c>
      <c r="BM21" s="5">
        <v>2.59</v>
      </c>
      <c r="BN21" s="5">
        <v>29.78</v>
      </c>
      <c r="BO21" s="5">
        <v>36.450000000000003</v>
      </c>
      <c r="BP21" s="5">
        <v>721.27</v>
      </c>
      <c r="BQ21" s="5">
        <v>62.075679999999998</v>
      </c>
      <c r="BR21" s="5">
        <v>289.62549999999999</v>
      </c>
      <c r="BS21" s="5">
        <v>43.54448</v>
      </c>
      <c r="BT21" s="5">
        <v>46.027340000000002</v>
      </c>
      <c r="BU21" s="5">
        <v>45.189819999999997</v>
      </c>
      <c r="BV21" s="5">
        <v>9.2243000000000006E-2</v>
      </c>
      <c r="BW21" s="5">
        <v>8.6000999999999994E-2</v>
      </c>
      <c r="BX21" s="5">
        <v>90.233180000000004</v>
      </c>
      <c r="BY21" s="5">
        <v>18.995360000000002</v>
      </c>
      <c r="BZ21" s="5">
        <v>0</v>
      </c>
      <c r="CA21" s="5">
        <v>0.92945299999999997</v>
      </c>
      <c r="CB21" s="5">
        <v>831.30909999999994</v>
      </c>
      <c r="CC21" s="5">
        <v>855.60850000000005</v>
      </c>
      <c r="CD21" s="5">
        <v>97.236720000000005</v>
      </c>
      <c r="CE21" s="5">
        <v>483.39</v>
      </c>
      <c r="CF21" s="5">
        <v>83.73</v>
      </c>
      <c r="CG21" s="5">
        <v>96.73</v>
      </c>
      <c r="CH21" s="5">
        <v>442.78</v>
      </c>
      <c r="CI21" s="5">
        <v>464.45</v>
      </c>
      <c r="CJ21" s="5">
        <v>481.81</v>
      </c>
      <c r="CK21" s="5">
        <v>516.35</v>
      </c>
      <c r="CL21" s="5">
        <v>504.42</v>
      </c>
      <c r="CM21" s="5">
        <v>506.51</v>
      </c>
      <c r="CN21" s="5">
        <v>386.9</v>
      </c>
      <c r="CO21" s="5">
        <v>29.66</v>
      </c>
      <c r="CP21" s="5">
        <v>669.8</v>
      </c>
      <c r="CQ21" s="5">
        <v>673.05</v>
      </c>
      <c r="CR21" s="5">
        <v>12</v>
      </c>
      <c r="CS21" s="5">
        <v>12.1</v>
      </c>
      <c r="CT21" s="5">
        <v>25.83</v>
      </c>
      <c r="CU21" s="5">
        <v>35.130000000000003</v>
      </c>
      <c r="CV21" s="5">
        <v>99.39</v>
      </c>
      <c r="CW21" s="5">
        <v>0.8781202403246029</v>
      </c>
      <c r="CX21" s="5">
        <v>3.6178553901373642</v>
      </c>
    </row>
    <row r="22" spans="1:102" x14ac:dyDescent="0.25">
      <c r="A22" s="5">
        <v>29</v>
      </c>
      <c r="B22" s="23">
        <v>41407.663926875</v>
      </c>
      <c r="C22" s="5">
        <v>3</v>
      </c>
      <c r="D22" s="5">
        <v>5</v>
      </c>
      <c r="E22" s="5">
        <v>567</v>
      </c>
      <c r="F22" s="5">
        <v>567</v>
      </c>
      <c r="G22" s="5">
        <v>567</v>
      </c>
      <c r="H22" s="5">
        <v>82.6</v>
      </c>
      <c r="I22" s="5">
        <v>82.6</v>
      </c>
      <c r="J22" s="5">
        <v>1701</v>
      </c>
      <c r="K22" s="5">
        <v>47</v>
      </c>
      <c r="L22" s="5">
        <v>47</v>
      </c>
      <c r="M22" s="5">
        <v>0.2</v>
      </c>
      <c r="N22" s="5">
        <v>0.200016</v>
      </c>
      <c r="O22" s="5">
        <v>1</v>
      </c>
      <c r="P22" s="5">
        <v>1.0693969999999999</v>
      </c>
      <c r="Q22" s="5">
        <v>-3.69</v>
      </c>
      <c r="R22" s="5">
        <v>-3.6914060000000002</v>
      </c>
      <c r="S22" s="5">
        <v>173.11</v>
      </c>
      <c r="T22" s="5">
        <v>173.10939999999999</v>
      </c>
      <c r="U22" s="5">
        <v>3.5</v>
      </c>
      <c r="V22" s="5">
        <v>3.5</v>
      </c>
      <c r="W22" s="5">
        <v>300</v>
      </c>
      <c r="X22" s="5">
        <v>300</v>
      </c>
      <c r="Y22" s="5">
        <v>3.5</v>
      </c>
      <c r="Z22" s="5">
        <v>3.5</v>
      </c>
      <c r="AA22" s="5">
        <v>300</v>
      </c>
      <c r="AB22" s="5">
        <v>300</v>
      </c>
      <c r="AC22" s="5">
        <v>0</v>
      </c>
      <c r="AD22" s="5">
        <v>145.8185</v>
      </c>
      <c r="AE22" s="5">
        <v>0</v>
      </c>
      <c r="AF22" s="5">
        <v>145.8185</v>
      </c>
      <c r="AG22" s="5">
        <v>40</v>
      </c>
      <c r="AH22" s="5">
        <v>0.17</v>
      </c>
      <c r="AI22" s="5">
        <v>81.38</v>
      </c>
      <c r="AJ22" s="5">
        <v>111.03</v>
      </c>
      <c r="AK22" s="5">
        <v>157.22999999999999</v>
      </c>
      <c r="AL22" s="5">
        <v>157.76</v>
      </c>
      <c r="AM22" s="5">
        <v>503.63</v>
      </c>
      <c r="AN22" s="5">
        <v>218.28540000000001</v>
      </c>
      <c r="AO22" s="5">
        <v>119.12</v>
      </c>
      <c r="AP22" s="5">
        <v>132.49</v>
      </c>
      <c r="AQ22" s="5">
        <v>133.13999999999999</v>
      </c>
      <c r="AR22" s="5">
        <v>592.63</v>
      </c>
      <c r="AS22" s="5">
        <v>38.11</v>
      </c>
      <c r="AT22" s="5">
        <v>64.88</v>
      </c>
      <c r="AU22" s="5">
        <v>105.34</v>
      </c>
      <c r="AV22" s="5">
        <v>124.07</v>
      </c>
      <c r="AW22" s="5">
        <v>0.122</v>
      </c>
      <c r="AX22" s="5">
        <v>1.66</v>
      </c>
      <c r="AY22" s="5">
        <v>1.3712</v>
      </c>
      <c r="AZ22" s="5">
        <v>80.790000000000006</v>
      </c>
      <c r="BA22" s="5">
        <v>25.76</v>
      </c>
      <c r="BB22" s="5">
        <v>8.1199999999999992</v>
      </c>
      <c r="BC22" s="5">
        <v>1.43</v>
      </c>
      <c r="BD22" s="5">
        <v>9.23</v>
      </c>
      <c r="BE22" s="5">
        <v>2.4300000000000002</v>
      </c>
      <c r="BF22" s="5">
        <v>315.8</v>
      </c>
      <c r="BG22" s="5">
        <v>17.59</v>
      </c>
      <c r="BH22" s="5">
        <v>0.1</v>
      </c>
      <c r="BI22" s="5">
        <v>224.6</v>
      </c>
      <c r="BJ22" s="5">
        <v>26.1</v>
      </c>
      <c r="BK22" s="5">
        <v>85.1</v>
      </c>
      <c r="BL22" s="5">
        <v>126.53</v>
      </c>
      <c r="BM22" s="5">
        <v>2.36</v>
      </c>
      <c r="BN22" s="5">
        <v>30.29</v>
      </c>
      <c r="BO22" s="5">
        <v>36.49</v>
      </c>
      <c r="BP22" s="5">
        <v>615.32000000000005</v>
      </c>
      <c r="BQ22" s="5">
        <v>65.221819999999994</v>
      </c>
      <c r="BR22" s="5">
        <v>254.5778</v>
      </c>
      <c r="BS22" s="5">
        <v>45.279359999999997</v>
      </c>
      <c r="BT22" s="5">
        <v>48.703719999999997</v>
      </c>
      <c r="BU22" s="5">
        <v>47.775779999999997</v>
      </c>
      <c r="BV22" s="5">
        <v>9.8365999999999995E-2</v>
      </c>
      <c r="BW22" s="5">
        <v>9.0587000000000001E-2</v>
      </c>
      <c r="BX22" s="5">
        <v>75.453280000000007</v>
      </c>
      <c r="BY22" s="5">
        <v>18.995360000000002</v>
      </c>
      <c r="BZ22" s="5">
        <v>0</v>
      </c>
      <c r="CA22" s="5">
        <v>0.93757299999999999</v>
      </c>
      <c r="CB22" s="5">
        <v>751.03269999999998</v>
      </c>
      <c r="CC22" s="5">
        <v>771.62869999999998</v>
      </c>
      <c r="CD22" s="5">
        <v>82.450360000000003</v>
      </c>
      <c r="CE22" s="5">
        <v>492.05</v>
      </c>
      <c r="CF22" s="5">
        <v>88.14</v>
      </c>
      <c r="CG22" s="5">
        <v>100.25</v>
      </c>
      <c r="CH22" s="5">
        <v>423.23</v>
      </c>
      <c r="CI22" s="5">
        <v>443.95</v>
      </c>
      <c r="CJ22" s="5">
        <v>454.47</v>
      </c>
      <c r="CK22" s="5">
        <v>485.32</v>
      </c>
      <c r="CL22" s="5">
        <v>478.56</v>
      </c>
      <c r="CM22" s="5">
        <v>485.98</v>
      </c>
      <c r="CN22" s="5">
        <v>366.92</v>
      </c>
      <c r="CO22" s="5">
        <v>28.93</v>
      </c>
      <c r="CP22" s="5">
        <v>565</v>
      </c>
      <c r="CQ22" s="5">
        <v>567.04999999999995</v>
      </c>
      <c r="CR22" s="5">
        <v>10.1</v>
      </c>
      <c r="CS22" s="5">
        <v>10.199999999999999</v>
      </c>
      <c r="CT22" s="5">
        <v>25.37</v>
      </c>
      <c r="CU22" s="5">
        <v>34.549999999999997</v>
      </c>
      <c r="CV22" s="5">
        <v>99.91</v>
      </c>
      <c r="CW22" s="5">
        <v>0.86402190970101045</v>
      </c>
      <c r="CX22" s="5">
        <v>2.0995732405734557</v>
      </c>
    </row>
    <row r="23" spans="1:102" x14ac:dyDescent="0.25">
      <c r="A23" s="5">
        <v>34</v>
      </c>
      <c r="B23" s="23">
        <v>41407.691054467592</v>
      </c>
      <c r="C23" s="5">
        <v>3</v>
      </c>
      <c r="D23" s="5">
        <v>10</v>
      </c>
      <c r="E23" s="5">
        <v>592</v>
      </c>
      <c r="F23" s="5">
        <v>592</v>
      </c>
      <c r="G23" s="5">
        <v>592.1</v>
      </c>
      <c r="H23" s="5">
        <v>82.6</v>
      </c>
      <c r="I23" s="5">
        <v>82.6</v>
      </c>
      <c r="J23" s="5">
        <v>1701</v>
      </c>
      <c r="K23" s="5">
        <v>14</v>
      </c>
      <c r="L23" s="5">
        <v>14</v>
      </c>
      <c r="M23" s="5">
        <v>0.11</v>
      </c>
      <c r="N23" s="5">
        <v>0.109956</v>
      </c>
      <c r="O23" s="5">
        <v>1</v>
      </c>
      <c r="P23" s="5">
        <v>1.0693980000000001</v>
      </c>
      <c r="Q23" s="5">
        <v>-3.33</v>
      </c>
      <c r="R23" s="5">
        <v>-3.3288570000000002</v>
      </c>
      <c r="S23" s="5">
        <v>177.48</v>
      </c>
      <c r="T23" s="5">
        <v>177.48439999999999</v>
      </c>
      <c r="U23" s="5">
        <v>3.5</v>
      </c>
      <c r="V23" s="5">
        <v>3.5</v>
      </c>
      <c r="W23" s="5">
        <v>300</v>
      </c>
      <c r="X23" s="5">
        <v>300</v>
      </c>
      <c r="Y23" s="5">
        <v>3.5</v>
      </c>
      <c r="Z23" s="5">
        <v>3.5</v>
      </c>
      <c r="AA23" s="5">
        <v>300</v>
      </c>
      <c r="AB23" s="5">
        <v>300</v>
      </c>
      <c r="AC23" s="5">
        <v>0</v>
      </c>
      <c r="AD23" s="5">
        <v>116.7431</v>
      </c>
      <c r="AE23" s="5">
        <v>0</v>
      </c>
      <c r="AF23" s="5">
        <v>116.7431</v>
      </c>
      <c r="AG23" s="5">
        <v>40</v>
      </c>
      <c r="AH23" s="5">
        <v>0.17</v>
      </c>
      <c r="AI23" s="5">
        <v>66.709999999999994</v>
      </c>
      <c r="AJ23" s="5">
        <v>95.39</v>
      </c>
      <c r="AK23" s="5">
        <v>89.03</v>
      </c>
      <c r="AL23" s="5">
        <v>92.1</v>
      </c>
      <c r="AM23" s="5">
        <v>588.57000000000005</v>
      </c>
      <c r="AN23" s="5">
        <v>174.02539999999999</v>
      </c>
      <c r="AO23" s="5">
        <v>74.099999999999994</v>
      </c>
      <c r="AP23" s="5">
        <v>96.66</v>
      </c>
      <c r="AQ23" s="5">
        <v>87.31</v>
      </c>
      <c r="AR23" s="5">
        <v>545.37</v>
      </c>
      <c r="AS23" s="5">
        <v>14.93</v>
      </c>
      <c r="AT23" s="5">
        <v>58</v>
      </c>
      <c r="AU23" s="5">
        <v>97.89</v>
      </c>
      <c r="AV23" s="5">
        <v>111.17</v>
      </c>
      <c r="AW23" s="5">
        <v>0.11</v>
      </c>
      <c r="AX23" s="5">
        <v>1.49</v>
      </c>
      <c r="AY23" s="5">
        <v>0.99660000000000004</v>
      </c>
      <c r="AZ23" s="5">
        <v>72.22</v>
      </c>
      <c r="BA23" s="5">
        <v>27.79</v>
      </c>
      <c r="BB23" s="5">
        <v>9.1999999999999993</v>
      </c>
      <c r="BC23" s="5">
        <v>0.53</v>
      </c>
      <c r="BD23" s="5">
        <v>7.78</v>
      </c>
      <c r="BE23" s="5">
        <v>4.76</v>
      </c>
      <c r="BF23" s="5">
        <v>717.86</v>
      </c>
      <c r="BG23" s="5">
        <v>5.72</v>
      </c>
      <c r="BH23" s="5">
        <v>7.0000000000000007E-2</v>
      </c>
      <c r="BI23" s="5">
        <v>223.9</v>
      </c>
      <c r="BJ23" s="5">
        <v>23.1</v>
      </c>
      <c r="BK23" s="5">
        <v>86.9</v>
      </c>
      <c r="BL23" s="5">
        <v>33.06</v>
      </c>
      <c r="BM23" s="5">
        <v>1.86</v>
      </c>
      <c r="BN23" s="5">
        <v>29.45</v>
      </c>
      <c r="BO23" s="5">
        <v>37.44</v>
      </c>
      <c r="BP23" s="5">
        <v>568.97</v>
      </c>
      <c r="BQ23" s="5">
        <v>59.24286</v>
      </c>
      <c r="BR23" s="5">
        <v>192.9375</v>
      </c>
      <c r="BS23" s="5">
        <v>44.503570000000003</v>
      </c>
      <c r="BT23" s="5">
        <v>37.176459999999999</v>
      </c>
      <c r="BU23" s="5">
        <v>36.927059999999997</v>
      </c>
      <c r="BV23" s="5">
        <v>9.2716999999999994E-2</v>
      </c>
      <c r="BW23" s="5">
        <v>9.4398999999999997E-2</v>
      </c>
      <c r="BX23" s="5">
        <v>79.963130000000007</v>
      </c>
      <c r="BY23" s="5">
        <v>18.995360000000002</v>
      </c>
      <c r="BZ23" s="5">
        <v>0</v>
      </c>
      <c r="CA23" s="5">
        <v>0.93510000000000004</v>
      </c>
      <c r="CB23" s="5">
        <v>607.87620000000004</v>
      </c>
      <c r="CC23" s="5">
        <v>629.59770000000003</v>
      </c>
      <c r="CD23" s="5">
        <v>86.961929999999995</v>
      </c>
      <c r="CE23" s="5">
        <v>436.56</v>
      </c>
      <c r="CF23" s="5">
        <v>80</v>
      </c>
      <c r="CG23" s="5">
        <v>94.1</v>
      </c>
      <c r="CH23" s="5">
        <v>475.93</v>
      </c>
      <c r="CI23" s="5">
        <v>505.29</v>
      </c>
      <c r="CJ23" s="5">
        <v>515.91999999999996</v>
      </c>
      <c r="CK23" s="5">
        <v>552.51</v>
      </c>
      <c r="CL23" s="5">
        <v>540.72</v>
      </c>
      <c r="CM23" s="5">
        <v>532.78</v>
      </c>
      <c r="CN23" s="5">
        <v>482.12</v>
      </c>
      <c r="CO23" s="5">
        <v>27.65</v>
      </c>
      <c r="CP23" s="5">
        <v>589</v>
      </c>
      <c r="CQ23" s="5">
        <v>592.04999999999995</v>
      </c>
      <c r="CR23" s="5">
        <v>10.6</v>
      </c>
      <c r="CS23" s="5">
        <v>10.6</v>
      </c>
      <c r="CT23" s="5">
        <v>24.93</v>
      </c>
      <c r="CU23" s="5">
        <v>36.4</v>
      </c>
      <c r="CV23" s="5">
        <v>99.85</v>
      </c>
      <c r="CW23" s="5">
        <v>0.85800926690449786</v>
      </c>
      <c r="CX23" s="5">
        <v>4.0841241104654094</v>
      </c>
    </row>
    <row r="24" spans="1:102" x14ac:dyDescent="0.25">
      <c r="A24" s="5">
        <v>47</v>
      </c>
      <c r="B24" s="23">
        <v>41407.764602754629</v>
      </c>
      <c r="C24" s="5">
        <v>3</v>
      </c>
      <c r="D24" s="5">
        <v>22</v>
      </c>
      <c r="E24" s="5">
        <v>648</v>
      </c>
      <c r="F24" s="5">
        <v>648</v>
      </c>
      <c r="G24" s="5">
        <v>648.1</v>
      </c>
      <c r="H24" s="5">
        <v>82.6</v>
      </c>
      <c r="I24" s="5">
        <v>82.6</v>
      </c>
      <c r="J24" s="5">
        <v>1701</v>
      </c>
      <c r="K24" s="5">
        <v>34</v>
      </c>
      <c r="L24" s="5">
        <v>34</v>
      </c>
      <c r="M24" s="5">
        <v>0.1</v>
      </c>
      <c r="N24" s="5">
        <v>9.9943000000000004E-2</v>
      </c>
      <c r="O24" s="5">
        <v>1</v>
      </c>
      <c r="P24" s="5">
        <v>1.069353</v>
      </c>
      <c r="Q24" s="5">
        <v>-3.06</v>
      </c>
      <c r="R24" s="5">
        <v>-3.0651860000000002</v>
      </c>
      <c r="S24" s="5">
        <v>176.31</v>
      </c>
      <c r="T24" s="5">
        <v>176.3125</v>
      </c>
      <c r="U24" s="5">
        <v>3.5</v>
      </c>
      <c r="V24" s="5">
        <v>3.5</v>
      </c>
      <c r="W24" s="5">
        <v>300</v>
      </c>
      <c r="X24" s="5">
        <v>300</v>
      </c>
      <c r="Y24" s="5">
        <v>3.5</v>
      </c>
      <c r="Z24" s="5">
        <v>3.5</v>
      </c>
      <c r="AA24" s="5">
        <v>300</v>
      </c>
      <c r="AB24" s="5">
        <v>300</v>
      </c>
      <c r="AC24" s="5">
        <v>0</v>
      </c>
      <c r="AD24" s="5">
        <v>152.9057</v>
      </c>
      <c r="AE24" s="5">
        <v>0</v>
      </c>
      <c r="AF24" s="5">
        <v>151.536</v>
      </c>
      <c r="AG24" s="5">
        <v>40</v>
      </c>
      <c r="AH24" s="5">
        <v>0.17</v>
      </c>
      <c r="AI24" s="5">
        <v>83.04</v>
      </c>
      <c r="AJ24" s="5">
        <v>114.44</v>
      </c>
      <c r="AK24" s="5">
        <v>152.29</v>
      </c>
      <c r="AL24" s="5">
        <v>155</v>
      </c>
      <c r="AM24" s="5">
        <v>536.89</v>
      </c>
      <c r="AN24" s="5">
        <v>221.10230000000001</v>
      </c>
      <c r="AO24" s="5">
        <v>121.36</v>
      </c>
      <c r="AP24" s="5">
        <v>131</v>
      </c>
      <c r="AQ24" s="5">
        <v>137.30000000000001</v>
      </c>
      <c r="AR24" s="5">
        <v>670.76</v>
      </c>
      <c r="AS24" s="5">
        <v>30.93</v>
      </c>
      <c r="AT24" s="5">
        <v>59.09</v>
      </c>
      <c r="AU24" s="5">
        <v>98.84</v>
      </c>
      <c r="AV24" s="5">
        <v>113.92</v>
      </c>
      <c r="AW24" s="5">
        <v>4.5999999999999999E-2</v>
      </c>
      <c r="AX24" s="5">
        <v>0.61</v>
      </c>
      <c r="AY24" s="5">
        <v>10000000000</v>
      </c>
      <c r="AZ24" s="5">
        <v>40.72</v>
      </c>
      <c r="BA24" s="5">
        <v>22.75</v>
      </c>
      <c r="BB24" s="5">
        <v>7.91</v>
      </c>
      <c r="BC24" s="5">
        <v>0.61</v>
      </c>
      <c r="BD24" s="5">
        <v>9.5299999999999994</v>
      </c>
      <c r="BE24" s="5">
        <v>5</v>
      </c>
      <c r="BF24" s="5">
        <v>656.54</v>
      </c>
      <c r="BG24" s="5">
        <v>7.68</v>
      </c>
      <c r="BH24" s="5">
        <v>10000000000</v>
      </c>
      <c r="BI24" s="5">
        <v>219.1</v>
      </c>
      <c r="BJ24" s="5">
        <v>26.5</v>
      </c>
      <c r="BK24" s="5">
        <v>85.8</v>
      </c>
      <c r="BL24" s="5">
        <v>55.76</v>
      </c>
      <c r="BM24" s="5">
        <v>2.37</v>
      </c>
      <c r="BN24" s="5">
        <v>29.54</v>
      </c>
      <c r="BO24" s="5">
        <v>36.39</v>
      </c>
      <c r="BP24" s="5">
        <v>695.82</v>
      </c>
      <c r="BQ24" s="5">
        <v>59.997450000000001</v>
      </c>
      <c r="BR24" s="5">
        <v>255.67359999999999</v>
      </c>
      <c r="BS24" s="5">
        <v>43.797550000000001</v>
      </c>
      <c r="BT24" s="5">
        <v>44.438319999999997</v>
      </c>
      <c r="BU24" s="5">
        <v>43.727499999999999</v>
      </c>
      <c r="BV24" s="5">
        <v>9.0323000000000001E-2</v>
      </c>
      <c r="BW24" s="5">
        <v>8.5439000000000001E-2</v>
      </c>
      <c r="BX24" s="5">
        <v>86.049319999999994</v>
      </c>
      <c r="BY24" s="5">
        <v>18.995360000000002</v>
      </c>
      <c r="BZ24" s="5">
        <v>0</v>
      </c>
      <c r="CA24" s="5">
        <v>0.93175399999999997</v>
      </c>
      <c r="CB24" s="5">
        <v>767.85289999999998</v>
      </c>
      <c r="CC24" s="5">
        <v>791.10500000000002</v>
      </c>
      <c r="CD24" s="5">
        <v>93.044529999999995</v>
      </c>
      <c r="CE24" s="5">
        <v>443.3</v>
      </c>
      <c r="CF24" s="5">
        <v>81.62</v>
      </c>
      <c r="CG24" s="5">
        <v>94.81</v>
      </c>
      <c r="CH24" s="5">
        <v>439.1</v>
      </c>
      <c r="CI24" s="5">
        <v>465.38</v>
      </c>
      <c r="CJ24" s="5">
        <v>480.02</v>
      </c>
      <c r="CK24" s="5">
        <v>510.57</v>
      </c>
      <c r="CL24" s="5">
        <v>500.02</v>
      </c>
      <c r="CM24" s="5">
        <v>494.93</v>
      </c>
      <c r="CN24" s="5">
        <v>402.75</v>
      </c>
      <c r="CO24" s="5">
        <v>28.29</v>
      </c>
      <c r="CP24" s="5">
        <v>644.5</v>
      </c>
      <c r="CQ24" s="5">
        <v>648.04999999999995</v>
      </c>
      <c r="CR24" s="5">
        <v>11.5</v>
      </c>
      <c r="CS24" s="5">
        <v>11.6</v>
      </c>
      <c r="CT24" s="5">
        <v>25.93</v>
      </c>
      <c r="CU24" s="5">
        <v>38.67</v>
      </c>
      <c r="CV24" s="5">
        <v>99.82</v>
      </c>
      <c r="CW24" s="5">
        <v>0.88577162052493996</v>
      </c>
      <c r="CX24" s="5">
        <v>4.4288581026246998</v>
      </c>
    </row>
    <row r="25" spans="1:102" x14ac:dyDescent="0.25">
      <c r="A25" s="5">
        <v>4</v>
      </c>
      <c r="B25" s="23">
        <v>41408.449290671299</v>
      </c>
      <c r="C25" s="5">
        <v>3</v>
      </c>
      <c r="D25" s="5">
        <v>26</v>
      </c>
      <c r="E25" s="5">
        <v>661</v>
      </c>
      <c r="F25" s="5">
        <v>661</v>
      </c>
      <c r="G25" s="5">
        <v>661.1</v>
      </c>
      <c r="H25" s="5">
        <v>82.6</v>
      </c>
      <c r="I25" s="5">
        <v>82.6</v>
      </c>
      <c r="J25" s="5">
        <v>1701</v>
      </c>
      <c r="K25" s="5">
        <v>35</v>
      </c>
      <c r="L25" s="5">
        <v>35</v>
      </c>
      <c r="M25" s="5">
        <v>0.19</v>
      </c>
      <c r="N25" s="5">
        <v>0.189966</v>
      </c>
      <c r="O25" s="5">
        <v>1</v>
      </c>
      <c r="P25" s="5">
        <v>1.069278</v>
      </c>
      <c r="Q25" s="5">
        <v>-3.02</v>
      </c>
      <c r="R25" s="5">
        <v>-3.0212400000000001</v>
      </c>
      <c r="S25" s="5">
        <v>175.62</v>
      </c>
      <c r="T25" s="5">
        <v>175.625</v>
      </c>
      <c r="U25" s="5">
        <v>3.5</v>
      </c>
      <c r="V25" s="5">
        <v>3.5</v>
      </c>
      <c r="W25" s="5">
        <v>300</v>
      </c>
      <c r="X25" s="5">
        <v>300</v>
      </c>
      <c r="Y25" s="5">
        <v>3.5</v>
      </c>
      <c r="Z25" s="5">
        <v>3.5</v>
      </c>
      <c r="AA25" s="5">
        <v>300</v>
      </c>
      <c r="AB25" s="5">
        <v>300</v>
      </c>
      <c r="AC25" s="5">
        <v>0</v>
      </c>
      <c r="AD25" s="5">
        <v>145.37950000000001</v>
      </c>
      <c r="AE25" s="5">
        <v>0</v>
      </c>
      <c r="AF25" s="5">
        <v>145.37950000000001</v>
      </c>
      <c r="AG25" s="5">
        <v>40</v>
      </c>
      <c r="AH25" s="5">
        <v>0.17</v>
      </c>
      <c r="AI25" s="5">
        <v>80.760000000000005</v>
      </c>
      <c r="AJ25" s="5">
        <v>112.76</v>
      </c>
      <c r="AK25" s="5">
        <v>143.44999999999999</v>
      </c>
      <c r="AL25" s="5">
        <v>144.94</v>
      </c>
      <c r="AM25" s="5">
        <v>566.55999999999995</v>
      </c>
      <c r="AN25" s="5">
        <v>216.42189999999999</v>
      </c>
      <c r="AO25" s="5">
        <v>117.09</v>
      </c>
      <c r="AP25" s="5">
        <v>139.01</v>
      </c>
      <c r="AQ25" s="5">
        <v>133.04</v>
      </c>
      <c r="AR25" s="5">
        <v>620.49</v>
      </c>
      <c r="AS25" s="5">
        <v>26.36</v>
      </c>
      <c r="AT25" s="5">
        <v>62.15</v>
      </c>
      <c r="AU25" s="5">
        <v>101.73</v>
      </c>
      <c r="AV25" s="5">
        <v>114.15</v>
      </c>
      <c r="AW25" s="5">
        <v>0.122</v>
      </c>
      <c r="AX25" s="5">
        <v>1.66</v>
      </c>
      <c r="AY25" s="5">
        <v>10000000000</v>
      </c>
      <c r="AZ25" s="5">
        <v>61.8</v>
      </c>
      <c r="BA25" s="5">
        <v>24.59</v>
      </c>
      <c r="BB25" s="5">
        <v>8.9</v>
      </c>
      <c r="BC25" s="5">
        <v>1.1299999999999999</v>
      </c>
      <c r="BD25" s="5">
        <v>8.27</v>
      </c>
      <c r="BE25" s="5">
        <v>3.16</v>
      </c>
      <c r="BF25" s="5">
        <v>464.8</v>
      </c>
      <c r="BG25" s="5">
        <v>12.66</v>
      </c>
      <c r="BH25" s="5">
        <v>10000000000</v>
      </c>
      <c r="BI25" s="5">
        <v>220.7</v>
      </c>
      <c r="BJ25" s="5">
        <v>23.9</v>
      </c>
      <c r="BK25" s="5">
        <v>85.2</v>
      </c>
      <c r="BL25" s="5">
        <v>89.92</v>
      </c>
      <c r="BM25" s="5">
        <v>2.33</v>
      </c>
      <c r="BN25" s="5">
        <v>30.01</v>
      </c>
      <c r="BO25" s="5">
        <v>37.17</v>
      </c>
      <c r="BP25" s="5">
        <v>646.41999999999996</v>
      </c>
      <c r="BQ25" s="5">
        <v>62.93573</v>
      </c>
      <c r="BR25" s="5">
        <v>242.1009</v>
      </c>
      <c r="BS25" s="5">
        <v>43.617260000000002</v>
      </c>
      <c r="BT25" s="5">
        <v>41.482349999999997</v>
      </c>
      <c r="BU25" s="5">
        <v>40.957599999999999</v>
      </c>
      <c r="BV25" s="5">
        <v>9.1686000000000004E-2</v>
      </c>
      <c r="BW25" s="5">
        <v>8.9151999999999995E-2</v>
      </c>
      <c r="BX25" s="5">
        <v>89.02328</v>
      </c>
      <c r="BY25" s="5">
        <v>18.995360000000002</v>
      </c>
      <c r="BZ25" s="5">
        <v>0</v>
      </c>
      <c r="CA25" s="5">
        <v>0.930118</v>
      </c>
      <c r="CB25" s="5">
        <v>743.70190000000002</v>
      </c>
      <c r="CC25" s="5">
        <v>767.69849999999997</v>
      </c>
      <c r="CD25" s="5">
        <v>96.027079999999998</v>
      </c>
      <c r="CE25" s="5">
        <v>515.67999999999995</v>
      </c>
      <c r="CF25" s="5">
        <v>86.3</v>
      </c>
      <c r="CG25" s="5">
        <v>98.39</v>
      </c>
      <c r="CH25" s="5">
        <v>463.13</v>
      </c>
      <c r="CI25" s="5">
        <v>487.7</v>
      </c>
      <c r="CJ25" s="5">
        <v>502.07</v>
      </c>
      <c r="CK25" s="5">
        <v>535.46</v>
      </c>
      <c r="CL25" s="5">
        <v>523.25</v>
      </c>
      <c r="CM25" s="5">
        <v>526.99</v>
      </c>
      <c r="CN25" s="5">
        <v>432.05</v>
      </c>
      <c r="CO25" s="5">
        <v>30.6</v>
      </c>
      <c r="CP25" s="5">
        <v>660.4</v>
      </c>
      <c r="CQ25" s="5">
        <v>661.05</v>
      </c>
      <c r="CR25" s="5">
        <v>11.8</v>
      </c>
      <c r="CS25" s="5">
        <v>11.8</v>
      </c>
      <c r="CT25" s="5">
        <v>26.08</v>
      </c>
      <c r="CU25" s="5">
        <v>20.39</v>
      </c>
      <c r="CV25" s="5">
        <v>99.42</v>
      </c>
      <c r="CW25" s="5">
        <v>0.83175105126262328</v>
      </c>
      <c r="CX25" s="5">
        <v>2.6283333219898894</v>
      </c>
    </row>
    <row r="26" spans="1:102" x14ac:dyDescent="0.25">
      <c r="A26" s="5">
        <v>45</v>
      </c>
      <c r="B26" s="23">
        <v>41407.753758969906</v>
      </c>
      <c r="C26" s="5">
        <v>3</v>
      </c>
      <c r="D26" s="5">
        <v>20</v>
      </c>
      <c r="E26" s="5">
        <v>636</v>
      </c>
      <c r="F26" s="5">
        <v>636</v>
      </c>
      <c r="G26" s="5">
        <v>636.1</v>
      </c>
      <c r="H26" s="5">
        <v>82.6</v>
      </c>
      <c r="I26" s="5">
        <v>82.6</v>
      </c>
      <c r="J26" s="5">
        <v>1701</v>
      </c>
      <c r="K26" s="5">
        <v>45</v>
      </c>
      <c r="L26" s="5">
        <v>45</v>
      </c>
      <c r="M26" s="5">
        <v>0.2</v>
      </c>
      <c r="N26" s="5">
        <v>0.20001099999999999</v>
      </c>
      <c r="O26" s="5">
        <v>1</v>
      </c>
      <c r="P26" s="5">
        <v>1.069323</v>
      </c>
      <c r="Q26" s="5">
        <v>-3.09</v>
      </c>
      <c r="R26" s="5">
        <v>-3.0871580000000001</v>
      </c>
      <c r="S26" s="5">
        <v>176.95</v>
      </c>
      <c r="T26" s="5">
        <v>176.95310000000001</v>
      </c>
      <c r="U26" s="5">
        <v>3.5</v>
      </c>
      <c r="V26" s="5">
        <v>3.5</v>
      </c>
      <c r="W26" s="5">
        <v>300</v>
      </c>
      <c r="X26" s="5">
        <v>300</v>
      </c>
      <c r="Y26" s="5">
        <v>3.5</v>
      </c>
      <c r="Z26" s="5">
        <v>3.5</v>
      </c>
      <c r="AA26" s="5">
        <v>300</v>
      </c>
      <c r="AB26" s="5">
        <v>300</v>
      </c>
      <c r="AC26" s="5">
        <v>0</v>
      </c>
      <c r="AD26" s="5">
        <v>163.12479999999999</v>
      </c>
      <c r="AE26" s="5">
        <v>0</v>
      </c>
      <c r="AF26" s="5">
        <v>151.53919999999999</v>
      </c>
      <c r="AG26" s="5">
        <v>40</v>
      </c>
      <c r="AH26" s="5">
        <v>0.17</v>
      </c>
      <c r="AI26" s="5">
        <v>86.6</v>
      </c>
      <c r="AJ26" s="5">
        <v>115.58</v>
      </c>
      <c r="AK26" s="5">
        <v>169.12</v>
      </c>
      <c r="AL26" s="5">
        <v>170.11</v>
      </c>
      <c r="AM26" s="5">
        <v>519.9</v>
      </c>
      <c r="AN26" s="5">
        <v>233.26669999999999</v>
      </c>
      <c r="AO26" s="5">
        <v>133.97</v>
      </c>
      <c r="AP26" s="5">
        <v>136.56</v>
      </c>
      <c r="AQ26" s="5">
        <v>148.94</v>
      </c>
      <c r="AR26" s="5">
        <v>632.76</v>
      </c>
      <c r="AS26" s="5">
        <v>35.15</v>
      </c>
      <c r="AT26" s="5">
        <v>64.239999999999995</v>
      </c>
      <c r="AU26" s="5">
        <v>105.38</v>
      </c>
      <c r="AV26" s="5">
        <v>117.05</v>
      </c>
      <c r="AW26" s="5">
        <v>8.6999999999999994E-2</v>
      </c>
      <c r="AX26" s="5">
        <v>1.18</v>
      </c>
      <c r="AY26" s="5">
        <v>10000000000</v>
      </c>
      <c r="AZ26" s="5">
        <v>58.7</v>
      </c>
      <c r="BA26" s="5">
        <v>23.51</v>
      </c>
      <c r="BB26" s="5">
        <v>8.25</v>
      </c>
      <c r="BC26" s="5">
        <v>1.31</v>
      </c>
      <c r="BD26" s="5">
        <v>9.07</v>
      </c>
      <c r="BE26" s="5">
        <v>2.79</v>
      </c>
      <c r="BF26" s="5">
        <v>383.92</v>
      </c>
      <c r="BG26" s="5">
        <v>15.85</v>
      </c>
      <c r="BH26" s="5">
        <v>10000000000</v>
      </c>
      <c r="BI26" s="5">
        <v>220.3</v>
      </c>
      <c r="BJ26" s="5">
        <v>25.4</v>
      </c>
      <c r="BK26" s="5">
        <v>83.5</v>
      </c>
      <c r="BL26" s="5">
        <v>119.15</v>
      </c>
      <c r="BM26" s="5">
        <v>2.52</v>
      </c>
      <c r="BN26" s="5">
        <v>30.2</v>
      </c>
      <c r="BO26" s="5">
        <v>36.71</v>
      </c>
      <c r="BP26" s="5">
        <v>657.68</v>
      </c>
      <c r="BQ26" s="5">
        <v>64.682860000000005</v>
      </c>
      <c r="BR26" s="5">
        <v>266.94009999999997</v>
      </c>
      <c r="BS26" s="5">
        <v>43.848219999999998</v>
      </c>
      <c r="BT26" s="5">
        <v>46.833770000000001</v>
      </c>
      <c r="BU26" s="5">
        <v>45.949820000000003</v>
      </c>
      <c r="BV26" s="5">
        <v>8.9931999999999998E-2</v>
      </c>
      <c r="BW26" s="5">
        <v>8.3111000000000004E-2</v>
      </c>
      <c r="BX26" s="5">
        <v>85.203180000000003</v>
      </c>
      <c r="BY26" s="5">
        <v>18.995360000000002</v>
      </c>
      <c r="BZ26" s="5">
        <v>0</v>
      </c>
      <c r="CA26" s="5">
        <v>0.93222099999999997</v>
      </c>
      <c r="CB26" s="5">
        <v>799.25340000000006</v>
      </c>
      <c r="CC26" s="5">
        <v>822.29020000000003</v>
      </c>
      <c r="CD26" s="5">
        <v>92.197810000000004</v>
      </c>
      <c r="CE26" s="5">
        <v>498.77</v>
      </c>
      <c r="CF26" s="5">
        <v>88.4</v>
      </c>
      <c r="CG26" s="5">
        <v>101.4</v>
      </c>
      <c r="CH26" s="5">
        <v>431.66</v>
      </c>
      <c r="CI26" s="5">
        <v>454.86</v>
      </c>
      <c r="CJ26" s="5">
        <v>465.39</v>
      </c>
      <c r="CK26" s="5">
        <v>506.7</v>
      </c>
      <c r="CL26" s="5">
        <v>491.93</v>
      </c>
      <c r="CM26" s="5">
        <v>495.35</v>
      </c>
      <c r="CN26" s="5">
        <v>379.43</v>
      </c>
      <c r="CO26" s="5">
        <v>27</v>
      </c>
      <c r="CP26" s="5">
        <v>632.4</v>
      </c>
      <c r="CQ26" s="5">
        <v>636.04999999999995</v>
      </c>
      <c r="CR26" s="5">
        <v>11.3</v>
      </c>
      <c r="CS26" s="5">
        <v>11.4</v>
      </c>
      <c r="CT26" s="5">
        <v>25.1</v>
      </c>
      <c r="CU26" s="5">
        <v>38.22</v>
      </c>
      <c r="CV26" s="5">
        <v>99.82</v>
      </c>
      <c r="CW26" s="5">
        <v>0.87596577654502417</v>
      </c>
      <c r="CX26" s="5">
        <v>2.4439445165606175</v>
      </c>
    </row>
    <row r="27" spans="1:102" x14ac:dyDescent="0.25">
      <c r="A27" s="5">
        <v>17</v>
      </c>
      <c r="B27" s="23">
        <v>41408.528207013886</v>
      </c>
      <c r="C27" s="5">
        <v>3</v>
      </c>
      <c r="D27" s="5">
        <v>38</v>
      </c>
      <c r="E27" s="5">
        <v>717</v>
      </c>
      <c r="F27" s="5">
        <v>717</v>
      </c>
      <c r="G27" s="5">
        <v>717</v>
      </c>
      <c r="H27" s="5">
        <v>82.6</v>
      </c>
      <c r="I27" s="5">
        <v>82.6</v>
      </c>
      <c r="J27" s="5">
        <v>1701</v>
      </c>
      <c r="K27" s="5">
        <v>50</v>
      </c>
      <c r="L27" s="5">
        <v>50</v>
      </c>
      <c r="M27" s="5">
        <v>0.1</v>
      </c>
      <c r="N27" s="5">
        <v>9.9995000000000001E-2</v>
      </c>
      <c r="O27" s="5">
        <v>1</v>
      </c>
      <c r="P27" s="5">
        <v>1.0694630000000001</v>
      </c>
      <c r="Q27" s="5">
        <v>-2.2400000000000002</v>
      </c>
      <c r="R27" s="5">
        <v>-2.2412109999999998</v>
      </c>
      <c r="S27" s="5">
        <v>174.08</v>
      </c>
      <c r="T27" s="5">
        <v>174.07810000000001</v>
      </c>
      <c r="U27" s="5">
        <v>3.5</v>
      </c>
      <c r="V27" s="5">
        <v>3.5</v>
      </c>
      <c r="W27" s="5">
        <v>300</v>
      </c>
      <c r="X27" s="5">
        <v>300</v>
      </c>
      <c r="Y27" s="5">
        <v>0</v>
      </c>
      <c r="Z27" s="5">
        <v>0</v>
      </c>
      <c r="AA27" s="5">
        <v>300</v>
      </c>
      <c r="AB27" s="5">
        <v>300</v>
      </c>
      <c r="AC27" s="5">
        <v>0</v>
      </c>
      <c r="AD27" s="5">
        <v>188.62700000000001</v>
      </c>
      <c r="AE27" s="5">
        <v>0</v>
      </c>
      <c r="AF27" s="5">
        <v>151.5334</v>
      </c>
      <c r="AG27" s="5">
        <v>40</v>
      </c>
      <c r="AH27" s="5">
        <v>0.17</v>
      </c>
      <c r="AI27" s="5">
        <v>99.94</v>
      </c>
      <c r="AJ27" s="5">
        <v>130.06</v>
      </c>
      <c r="AK27" s="5">
        <v>244.85</v>
      </c>
      <c r="AL27" s="5">
        <v>245.94</v>
      </c>
      <c r="AM27" s="5">
        <v>528.54</v>
      </c>
      <c r="AN27" s="5">
        <v>267.92939999999999</v>
      </c>
      <c r="AO27" s="5">
        <v>168.98</v>
      </c>
      <c r="AP27" s="5">
        <v>164.82</v>
      </c>
      <c r="AQ27" s="5">
        <v>187.95</v>
      </c>
      <c r="AR27" s="5">
        <v>753.23</v>
      </c>
      <c r="AS27" s="5">
        <v>75.88</v>
      </c>
      <c r="AT27" s="5">
        <v>62.09</v>
      </c>
      <c r="AU27" s="5">
        <v>103.78</v>
      </c>
      <c r="AV27" s="5">
        <v>110.66</v>
      </c>
      <c r="AW27" s="5">
        <v>4.3999999999999997E-2</v>
      </c>
      <c r="AX27" s="5">
        <v>0.59</v>
      </c>
      <c r="AY27" s="5">
        <v>10000000000</v>
      </c>
      <c r="AZ27" s="5">
        <v>30.19</v>
      </c>
      <c r="BA27" s="5">
        <v>17.25</v>
      </c>
      <c r="BB27" s="5">
        <v>7.93</v>
      </c>
      <c r="BC27" s="5">
        <v>0.95</v>
      </c>
      <c r="BD27" s="5">
        <v>9.69</v>
      </c>
      <c r="BE27" s="5">
        <v>4.08</v>
      </c>
      <c r="BF27" s="5">
        <v>527.29</v>
      </c>
      <c r="BG27" s="5">
        <v>12.02</v>
      </c>
      <c r="BH27" s="5">
        <v>10000000000</v>
      </c>
      <c r="BI27" s="5">
        <v>221.7</v>
      </c>
      <c r="BJ27" s="5">
        <v>26.6</v>
      </c>
      <c r="BK27" s="5">
        <v>83.2</v>
      </c>
      <c r="BL27" s="5">
        <v>102.93</v>
      </c>
      <c r="BM27" s="5">
        <v>2.87</v>
      </c>
      <c r="BN27" s="5">
        <v>29.86</v>
      </c>
      <c r="BO27" s="5">
        <v>36.36</v>
      </c>
      <c r="BP27" s="5">
        <v>781.47</v>
      </c>
      <c r="BQ27" s="5">
        <v>62.75385</v>
      </c>
      <c r="BR27" s="5">
        <v>344.36689999999999</v>
      </c>
      <c r="BS27" s="5">
        <v>42.948050000000002</v>
      </c>
      <c r="BT27" s="5">
        <v>45.220550000000003</v>
      </c>
      <c r="BU27" s="5">
        <v>44.401249999999997</v>
      </c>
      <c r="BV27" s="5">
        <v>0.100923</v>
      </c>
      <c r="BW27" s="5">
        <v>9.5351000000000005E-2</v>
      </c>
      <c r="BX27" s="5">
        <v>104.4393</v>
      </c>
      <c r="BY27" s="5">
        <v>18.995360000000002</v>
      </c>
      <c r="BZ27" s="5">
        <v>0</v>
      </c>
      <c r="CA27" s="5">
        <v>0.92583499999999996</v>
      </c>
      <c r="CB27" s="5">
        <v>916.99400000000003</v>
      </c>
      <c r="CC27" s="5">
        <v>943.97940000000006</v>
      </c>
      <c r="CD27" s="5">
        <v>107.9436</v>
      </c>
      <c r="CE27" s="5">
        <v>493.98</v>
      </c>
      <c r="CF27" s="5">
        <v>85.61</v>
      </c>
      <c r="CG27" s="5">
        <v>98.84</v>
      </c>
      <c r="CH27" s="5">
        <v>457.58</v>
      </c>
      <c r="CI27" s="5">
        <v>474.43</v>
      </c>
      <c r="CJ27" s="5">
        <v>488.11</v>
      </c>
      <c r="CK27" s="5">
        <v>510.5</v>
      </c>
      <c r="CL27" s="5">
        <v>510.21</v>
      </c>
      <c r="CM27" s="5">
        <v>510.51</v>
      </c>
      <c r="CN27" s="5">
        <v>365.23</v>
      </c>
      <c r="CO27" s="5">
        <v>29.85</v>
      </c>
      <c r="CP27" s="5">
        <v>713.6</v>
      </c>
      <c r="CQ27" s="5">
        <v>717.04</v>
      </c>
      <c r="CR27" s="5">
        <v>12.8</v>
      </c>
      <c r="CS27" s="5">
        <v>12.8</v>
      </c>
      <c r="CT27" s="5">
        <v>26.01</v>
      </c>
      <c r="CU27" s="5">
        <v>37.08</v>
      </c>
      <c r="CV27" s="5">
        <v>99.28</v>
      </c>
      <c r="CW27" s="5">
        <v>0.88920281935479384</v>
      </c>
      <c r="CX27" s="5">
        <v>3.627947502967559</v>
      </c>
    </row>
    <row r="28" spans="1:102" x14ac:dyDescent="0.25">
      <c r="A28" s="5">
        <v>33</v>
      </c>
      <c r="B28" s="23">
        <v>41407.685620821758</v>
      </c>
      <c r="C28" s="5">
        <v>3</v>
      </c>
      <c r="D28" s="5">
        <v>9</v>
      </c>
      <c r="E28" s="5">
        <v>586</v>
      </c>
      <c r="F28" s="5">
        <v>586</v>
      </c>
      <c r="G28" s="5">
        <v>586.1</v>
      </c>
      <c r="H28" s="5">
        <v>82.6</v>
      </c>
      <c r="I28" s="5">
        <v>82.6</v>
      </c>
      <c r="J28" s="5">
        <v>1701</v>
      </c>
      <c r="K28" s="5">
        <v>27</v>
      </c>
      <c r="L28" s="5">
        <v>27</v>
      </c>
      <c r="M28" s="5">
        <v>0.21</v>
      </c>
      <c r="N28" s="5">
        <v>0.210065</v>
      </c>
      <c r="O28" s="5">
        <v>1</v>
      </c>
      <c r="P28" s="5">
        <v>1.0693969999999999</v>
      </c>
      <c r="Q28" s="5">
        <v>-3.41</v>
      </c>
      <c r="R28" s="5">
        <v>-3.4057620000000002</v>
      </c>
      <c r="S28" s="5">
        <v>176.43</v>
      </c>
      <c r="T28" s="5">
        <v>176.4375</v>
      </c>
      <c r="U28" s="5">
        <v>3.5</v>
      </c>
      <c r="V28" s="5">
        <v>3.5</v>
      </c>
      <c r="W28" s="5">
        <v>300</v>
      </c>
      <c r="X28" s="5">
        <v>300</v>
      </c>
      <c r="Y28" s="5">
        <v>3.5</v>
      </c>
      <c r="Z28" s="5">
        <v>3.5</v>
      </c>
      <c r="AA28" s="5">
        <v>300</v>
      </c>
      <c r="AB28" s="5">
        <v>300</v>
      </c>
      <c r="AC28" s="5">
        <v>0</v>
      </c>
      <c r="AD28" s="5">
        <v>127.15689999999999</v>
      </c>
      <c r="AE28" s="5">
        <v>0</v>
      </c>
      <c r="AF28" s="5">
        <v>127.15689999999999</v>
      </c>
      <c r="AG28" s="5">
        <v>40</v>
      </c>
      <c r="AH28" s="5">
        <v>0.17</v>
      </c>
      <c r="AI28" s="5">
        <v>72.5</v>
      </c>
      <c r="AJ28" s="5">
        <v>101.56</v>
      </c>
      <c r="AK28" s="5">
        <v>108.03</v>
      </c>
      <c r="AL28" s="5">
        <v>110.25</v>
      </c>
      <c r="AM28" s="5">
        <v>550.88</v>
      </c>
      <c r="AN28" s="5">
        <v>191.23330000000001</v>
      </c>
      <c r="AO28" s="5">
        <v>91.45</v>
      </c>
      <c r="AP28" s="5">
        <v>108.21</v>
      </c>
      <c r="AQ28" s="5">
        <v>105.02</v>
      </c>
      <c r="AR28" s="5">
        <v>564.25</v>
      </c>
      <c r="AS28" s="5">
        <v>16.579999999999998</v>
      </c>
      <c r="AT28" s="5">
        <v>60.17</v>
      </c>
      <c r="AU28" s="5">
        <v>98.21</v>
      </c>
      <c r="AV28" s="5">
        <v>116.42</v>
      </c>
      <c r="AW28" s="5">
        <v>0.107</v>
      </c>
      <c r="AX28" s="5">
        <v>1.45</v>
      </c>
      <c r="AY28" s="5">
        <v>1.0956999999999999</v>
      </c>
      <c r="AZ28" s="5">
        <v>66.459999999999994</v>
      </c>
      <c r="BA28" s="5">
        <v>28.1</v>
      </c>
      <c r="BB28" s="5">
        <v>8.6300000000000008</v>
      </c>
      <c r="BC28" s="5">
        <v>0.94</v>
      </c>
      <c r="BD28" s="5">
        <v>8.5399999999999991</v>
      </c>
      <c r="BE28" s="5">
        <v>3.57</v>
      </c>
      <c r="BF28" s="5">
        <v>509.78</v>
      </c>
      <c r="BG28" s="5">
        <v>10.91</v>
      </c>
      <c r="BH28" s="5">
        <v>0.08</v>
      </c>
      <c r="BI28" s="5">
        <v>221.8</v>
      </c>
      <c r="BJ28" s="5">
        <v>24.4</v>
      </c>
      <c r="BK28" s="5">
        <v>85.9</v>
      </c>
      <c r="BL28" s="5">
        <v>69.12</v>
      </c>
      <c r="BM28" s="5">
        <v>2.06</v>
      </c>
      <c r="BN28" s="5">
        <v>29.85</v>
      </c>
      <c r="BO28" s="5">
        <v>37.01</v>
      </c>
      <c r="BP28" s="5">
        <v>587.37</v>
      </c>
      <c r="BQ28" s="5">
        <v>61.072450000000003</v>
      </c>
      <c r="BR28" s="5">
        <v>208.9144</v>
      </c>
      <c r="BS28" s="5">
        <v>44.894019999999998</v>
      </c>
      <c r="BT28" s="5">
        <v>41.811500000000002</v>
      </c>
      <c r="BU28" s="5">
        <v>41.342320000000001</v>
      </c>
      <c r="BV28" s="5">
        <v>9.5560999999999993E-2</v>
      </c>
      <c r="BW28" s="5">
        <v>9.3830999999999998E-2</v>
      </c>
      <c r="BX28" s="5">
        <v>77.698650000000001</v>
      </c>
      <c r="BY28" s="5">
        <v>18.995360000000002</v>
      </c>
      <c r="BZ28" s="5">
        <v>0</v>
      </c>
      <c r="CA28" s="5">
        <v>0.93633900000000003</v>
      </c>
      <c r="CB28" s="5">
        <v>665.23770000000002</v>
      </c>
      <c r="CC28" s="5">
        <v>686.39520000000005</v>
      </c>
      <c r="CD28" s="5">
        <v>84.694999999999993</v>
      </c>
      <c r="CE28" s="5">
        <v>490.24</v>
      </c>
      <c r="CF28" s="5">
        <v>82.79</v>
      </c>
      <c r="CG28" s="5">
        <v>93.98</v>
      </c>
      <c r="CH28" s="5">
        <v>444.16</v>
      </c>
      <c r="CI28" s="5">
        <v>469.74</v>
      </c>
      <c r="CJ28" s="5">
        <v>484.2</v>
      </c>
      <c r="CK28" s="5">
        <v>517.91999999999996</v>
      </c>
      <c r="CL28" s="5">
        <v>508.27</v>
      </c>
      <c r="CM28" s="5">
        <v>516.16999999999996</v>
      </c>
      <c r="CN28" s="5">
        <v>434.36</v>
      </c>
      <c r="CO28" s="5">
        <v>26.67</v>
      </c>
      <c r="CP28" s="5">
        <v>582.9</v>
      </c>
      <c r="CQ28" s="5">
        <v>586.04999999999995</v>
      </c>
      <c r="CR28" s="5">
        <v>10.4</v>
      </c>
      <c r="CS28" s="5">
        <v>10.5</v>
      </c>
      <c r="CT28" s="5">
        <v>24.67</v>
      </c>
      <c r="CU28" s="5">
        <v>34.85</v>
      </c>
      <c r="CV28" s="5">
        <v>99.85</v>
      </c>
      <c r="CW28" s="5">
        <v>0.85653714629451472</v>
      </c>
      <c r="CX28" s="5">
        <v>3.0578376122714173</v>
      </c>
    </row>
    <row r="29" spans="1:102" x14ac:dyDescent="0.25">
      <c r="A29" s="5">
        <v>27</v>
      </c>
      <c r="B29" s="23">
        <v>41407.653079953707</v>
      </c>
      <c r="C29" s="5">
        <v>3</v>
      </c>
      <c r="D29" s="5">
        <v>3</v>
      </c>
      <c r="E29" s="5">
        <v>558</v>
      </c>
      <c r="F29" s="5">
        <v>558</v>
      </c>
      <c r="G29" s="5">
        <v>558.1</v>
      </c>
      <c r="H29" s="5">
        <v>82.6</v>
      </c>
      <c r="I29" s="5">
        <v>82.6</v>
      </c>
      <c r="J29" s="5">
        <v>1701</v>
      </c>
      <c r="K29" s="5">
        <v>19</v>
      </c>
      <c r="L29" s="5">
        <v>19</v>
      </c>
      <c r="M29" s="5">
        <v>0.2</v>
      </c>
      <c r="N29" s="5">
        <v>0.20003599999999999</v>
      </c>
      <c r="O29" s="5">
        <v>1</v>
      </c>
      <c r="P29" s="5">
        <v>1.069442</v>
      </c>
      <c r="Q29" s="5">
        <v>-3.82</v>
      </c>
      <c r="R29" s="5">
        <v>-3.823242</v>
      </c>
      <c r="S29" s="5">
        <v>171.54</v>
      </c>
      <c r="T29" s="5">
        <v>171.54689999999999</v>
      </c>
      <c r="U29" s="5">
        <v>3.5</v>
      </c>
      <c r="V29" s="5">
        <v>3.5</v>
      </c>
      <c r="W29" s="5">
        <v>300</v>
      </c>
      <c r="X29" s="5">
        <v>300</v>
      </c>
      <c r="Y29" s="5">
        <v>3.5</v>
      </c>
      <c r="Z29" s="5">
        <v>3.5</v>
      </c>
      <c r="AA29" s="5">
        <v>300</v>
      </c>
      <c r="AB29" s="5">
        <v>300</v>
      </c>
      <c r="AC29" s="5">
        <v>0</v>
      </c>
      <c r="AD29" s="5">
        <v>116.07940000000001</v>
      </c>
      <c r="AE29" s="5">
        <v>0</v>
      </c>
      <c r="AF29" s="5">
        <v>116.07940000000001</v>
      </c>
      <c r="AG29" s="5">
        <v>40</v>
      </c>
      <c r="AH29" s="5">
        <v>0.17</v>
      </c>
      <c r="AI29" s="5">
        <v>66.66</v>
      </c>
      <c r="AJ29" s="5">
        <v>94.36</v>
      </c>
      <c r="AK29" s="5">
        <v>86.91</v>
      </c>
      <c r="AL29" s="5">
        <v>89.28</v>
      </c>
      <c r="AM29" s="5">
        <v>572.65</v>
      </c>
      <c r="AN29" s="5">
        <v>173.67760000000001</v>
      </c>
      <c r="AO29" s="5">
        <v>73.92</v>
      </c>
      <c r="AP29" s="5">
        <v>97.61</v>
      </c>
      <c r="AQ29" s="5">
        <v>86.56</v>
      </c>
      <c r="AR29" s="5">
        <v>521.71</v>
      </c>
      <c r="AS29" s="5">
        <v>12.99</v>
      </c>
      <c r="AT29" s="5">
        <v>59.71</v>
      </c>
      <c r="AU29" s="5">
        <v>97.19</v>
      </c>
      <c r="AV29" s="5">
        <v>117.46</v>
      </c>
      <c r="AW29" s="5">
        <v>0.156</v>
      </c>
      <c r="AX29" s="5">
        <v>2.15</v>
      </c>
      <c r="AY29" s="5">
        <v>1.4725999999999999</v>
      </c>
      <c r="AZ29" s="5">
        <v>84.55</v>
      </c>
      <c r="BA29" s="5">
        <v>27.8</v>
      </c>
      <c r="BB29" s="5">
        <v>9.0399999999999991</v>
      </c>
      <c r="BC29" s="5">
        <v>0.84</v>
      </c>
      <c r="BD29" s="5">
        <v>7.96</v>
      </c>
      <c r="BE29" s="5">
        <v>3.53</v>
      </c>
      <c r="BF29" s="5">
        <v>523.73</v>
      </c>
      <c r="BG29" s="5">
        <v>9.31</v>
      </c>
      <c r="BH29" s="5">
        <v>0.11</v>
      </c>
      <c r="BI29" s="5">
        <v>225.4</v>
      </c>
      <c r="BJ29" s="5">
        <v>23.3</v>
      </c>
      <c r="BK29" s="5">
        <v>86.1</v>
      </c>
      <c r="BL29" s="5">
        <v>53.6</v>
      </c>
      <c r="BM29" s="5">
        <v>1.87</v>
      </c>
      <c r="BN29" s="5">
        <v>29.75</v>
      </c>
      <c r="BO29" s="5">
        <v>37.36</v>
      </c>
      <c r="BP29" s="5">
        <v>544.63</v>
      </c>
      <c r="BQ29" s="5">
        <v>60.548389999999998</v>
      </c>
      <c r="BR29" s="5">
        <v>188.7681</v>
      </c>
      <c r="BS29" s="5">
        <v>45.3979</v>
      </c>
      <c r="BT29" s="5">
        <v>39.115900000000003</v>
      </c>
      <c r="BU29" s="5">
        <v>38.841819999999998</v>
      </c>
      <c r="BV29" s="5">
        <v>9.9224999999999994E-2</v>
      </c>
      <c r="BW29" s="5">
        <v>0.100254</v>
      </c>
      <c r="BX29" s="5">
        <v>74.767910000000001</v>
      </c>
      <c r="BY29" s="5">
        <v>18.995360000000002</v>
      </c>
      <c r="BZ29" s="5">
        <v>0</v>
      </c>
      <c r="CA29" s="5">
        <v>0.93795099999999998</v>
      </c>
      <c r="CB29" s="5">
        <v>606.15269999999998</v>
      </c>
      <c r="CC29" s="5">
        <v>626.57439999999997</v>
      </c>
      <c r="CD29" s="5">
        <v>81.764849999999996</v>
      </c>
      <c r="CE29" s="5">
        <v>483.47</v>
      </c>
      <c r="CF29" s="5">
        <v>81.42</v>
      </c>
      <c r="CG29" s="5">
        <v>92.43</v>
      </c>
      <c r="CH29" s="5">
        <v>462.18</v>
      </c>
      <c r="CI29" s="5">
        <v>487.93</v>
      </c>
      <c r="CJ29" s="5">
        <v>500.27</v>
      </c>
      <c r="CK29" s="5">
        <v>536.72</v>
      </c>
      <c r="CL29" s="5">
        <v>523.65</v>
      </c>
      <c r="CM29" s="5">
        <v>527.73</v>
      </c>
      <c r="CN29" s="5">
        <v>466.21</v>
      </c>
      <c r="CO29" s="5">
        <v>26.95</v>
      </c>
      <c r="CP29" s="5">
        <v>555.4</v>
      </c>
      <c r="CQ29" s="5">
        <v>558.04999999999995</v>
      </c>
      <c r="CR29" s="5">
        <v>10</v>
      </c>
      <c r="CS29" s="5">
        <v>10</v>
      </c>
      <c r="CT29" s="5">
        <v>24.84</v>
      </c>
      <c r="CU29" s="5">
        <v>34.56</v>
      </c>
      <c r="CV29" s="5">
        <v>99.91</v>
      </c>
      <c r="CW29" s="5">
        <v>0.852441739484466</v>
      </c>
      <c r="CX29" s="5">
        <v>3.0091193403801646</v>
      </c>
    </row>
    <row r="30" spans="1:102" x14ac:dyDescent="0.25">
      <c r="A30" s="5">
        <v>42</v>
      </c>
      <c r="B30" s="23">
        <v>41407.737495312504</v>
      </c>
      <c r="C30" s="5">
        <v>3</v>
      </c>
      <c r="D30" s="5">
        <v>17</v>
      </c>
      <c r="E30" s="5">
        <v>623</v>
      </c>
      <c r="F30" s="5">
        <v>623</v>
      </c>
      <c r="G30" s="5">
        <v>623</v>
      </c>
      <c r="H30" s="5">
        <v>82.6</v>
      </c>
      <c r="I30" s="5">
        <v>82.6</v>
      </c>
      <c r="J30" s="5">
        <v>1701</v>
      </c>
      <c r="K30" s="5">
        <v>61</v>
      </c>
      <c r="L30" s="5">
        <v>61</v>
      </c>
      <c r="M30" s="5">
        <v>0.22</v>
      </c>
      <c r="N30" s="5">
        <v>0.22002099999999999</v>
      </c>
      <c r="O30" s="5">
        <v>1</v>
      </c>
      <c r="P30" s="5">
        <v>1.069445</v>
      </c>
      <c r="Q30" s="5">
        <v>-3.14</v>
      </c>
      <c r="R30" s="5">
        <v>-3.14209</v>
      </c>
      <c r="S30" s="5">
        <v>177.65</v>
      </c>
      <c r="T30" s="5">
        <v>177.65629999999999</v>
      </c>
      <c r="U30" s="5">
        <v>3.5</v>
      </c>
      <c r="V30" s="5">
        <v>3.5</v>
      </c>
      <c r="W30" s="5">
        <v>300</v>
      </c>
      <c r="X30" s="5">
        <v>300</v>
      </c>
      <c r="Y30" s="5">
        <v>3.5</v>
      </c>
      <c r="Z30" s="5">
        <v>3.5</v>
      </c>
      <c r="AA30" s="5">
        <v>300</v>
      </c>
      <c r="AB30" s="5">
        <v>300</v>
      </c>
      <c r="AC30" s="5">
        <v>0</v>
      </c>
      <c r="AD30" s="5">
        <v>177.3468</v>
      </c>
      <c r="AE30" s="5">
        <v>0</v>
      </c>
      <c r="AF30" s="5">
        <v>151.53389999999999</v>
      </c>
      <c r="AG30" s="5">
        <v>40</v>
      </c>
      <c r="AH30" s="5">
        <v>0.17</v>
      </c>
      <c r="AI30" s="5">
        <v>93.89</v>
      </c>
      <c r="AJ30" s="5">
        <v>120.84</v>
      </c>
      <c r="AK30" s="5">
        <v>238.31</v>
      </c>
      <c r="AL30" s="5">
        <v>236.49</v>
      </c>
      <c r="AM30" s="5">
        <v>511.55</v>
      </c>
      <c r="AN30" s="5">
        <v>259.11630000000002</v>
      </c>
      <c r="AO30" s="5">
        <v>161.03</v>
      </c>
      <c r="AP30" s="5">
        <v>154.63</v>
      </c>
      <c r="AQ30" s="5">
        <v>175.19</v>
      </c>
      <c r="AR30" s="5">
        <v>599.57000000000005</v>
      </c>
      <c r="AS30" s="5">
        <v>77.27</v>
      </c>
      <c r="AT30" s="5">
        <v>76.52</v>
      </c>
      <c r="AU30" s="5">
        <v>126.05</v>
      </c>
      <c r="AV30" s="5">
        <v>116.3</v>
      </c>
      <c r="AW30" s="5">
        <v>0.31900000000000001</v>
      </c>
      <c r="AX30" s="5">
        <v>4.63</v>
      </c>
      <c r="AY30" s="5">
        <v>10000000000</v>
      </c>
      <c r="AZ30" s="5">
        <v>112.68</v>
      </c>
      <c r="BA30" s="5">
        <v>23.87</v>
      </c>
      <c r="BB30" s="5">
        <v>8.92</v>
      </c>
      <c r="BC30" s="5">
        <v>2.36</v>
      </c>
      <c r="BD30" s="5">
        <v>8.18</v>
      </c>
      <c r="BE30" s="5">
        <v>1.18</v>
      </c>
      <c r="BF30" s="5">
        <v>170.48</v>
      </c>
      <c r="BG30" s="5">
        <v>26.45</v>
      </c>
      <c r="BH30" s="5">
        <v>10000000000</v>
      </c>
      <c r="BI30" s="5">
        <v>230.2</v>
      </c>
      <c r="BJ30" s="5">
        <v>23.4</v>
      </c>
      <c r="BK30" s="5">
        <v>81.400000000000006</v>
      </c>
      <c r="BL30" s="5">
        <v>215.49</v>
      </c>
      <c r="BM30" s="5">
        <v>2.8</v>
      </c>
      <c r="BN30" s="5">
        <v>31.18</v>
      </c>
      <c r="BO30" s="5">
        <v>37.32</v>
      </c>
      <c r="BP30" s="5">
        <v>624.66</v>
      </c>
      <c r="BQ30" s="5">
        <v>74.758899999999997</v>
      </c>
      <c r="BR30" s="5">
        <v>329.62450000000001</v>
      </c>
      <c r="BS30" s="5">
        <v>43.741979999999998</v>
      </c>
      <c r="BT30" s="5">
        <v>49.626289999999997</v>
      </c>
      <c r="BU30" s="5">
        <v>48.526220000000002</v>
      </c>
      <c r="BV30" s="5">
        <v>9.0753E-2</v>
      </c>
      <c r="BW30" s="5">
        <v>8.2960999999999993E-2</v>
      </c>
      <c r="BX30" s="5">
        <v>86.974530000000001</v>
      </c>
      <c r="BY30" s="5">
        <v>18.995360000000002</v>
      </c>
      <c r="BZ30" s="5">
        <v>0</v>
      </c>
      <c r="CA30" s="5">
        <v>0.93124600000000002</v>
      </c>
      <c r="CB30" s="5">
        <v>861.23789999999997</v>
      </c>
      <c r="CC30" s="5">
        <v>884.71730000000002</v>
      </c>
      <c r="CD30" s="5">
        <v>93.967860000000002</v>
      </c>
      <c r="CE30" s="5">
        <v>523.88</v>
      </c>
      <c r="CF30" s="5">
        <v>105.45</v>
      </c>
      <c r="CG30" s="5">
        <v>122.34</v>
      </c>
      <c r="CH30" s="5">
        <v>446.51</v>
      </c>
      <c r="CI30" s="5">
        <v>467.03</v>
      </c>
      <c r="CJ30" s="5">
        <v>477.64</v>
      </c>
      <c r="CK30" s="5">
        <v>503.8</v>
      </c>
      <c r="CL30" s="5">
        <v>508.02</v>
      </c>
      <c r="CM30" s="5">
        <v>507.21</v>
      </c>
      <c r="CN30" s="5">
        <v>354.72</v>
      </c>
      <c r="CO30" s="5">
        <v>29.58</v>
      </c>
      <c r="CP30" s="5">
        <v>619.6</v>
      </c>
      <c r="CQ30" s="5">
        <v>623.04999999999995</v>
      </c>
      <c r="CR30" s="5">
        <v>11.1</v>
      </c>
      <c r="CS30" s="5">
        <v>11.2</v>
      </c>
      <c r="CT30" s="5">
        <v>25.55</v>
      </c>
      <c r="CU30" s="5">
        <v>36.53</v>
      </c>
      <c r="CV30" s="5">
        <v>99.82</v>
      </c>
      <c r="CW30" s="5">
        <v>0.86707023622883517</v>
      </c>
      <c r="CX30" s="5">
        <v>1.0231428787500254</v>
      </c>
    </row>
    <row r="31" spans="1:102" s="70" customFormat="1" x14ac:dyDescent="0.25">
      <c r="A31" s="70">
        <v>10</v>
      </c>
      <c r="B31" s="71">
        <v>41409.512116296297</v>
      </c>
      <c r="C31" s="70">
        <v>4</v>
      </c>
      <c r="D31" s="70">
        <v>18</v>
      </c>
      <c r="E31" s="70">
        <v>880</v>
      </c>
      <c r="F31" s="70">
        <v>880</v>
      </c>
      <c r="G31" s="70">
        <v>880.1</v>
      </c>
      <c r="H31" s="70">
        <v>82.6</v>
      </c>
      <c r="I31" s="70">
        <v>82.6</v>
      </c>
      <c r="J31" s="70">
        <v>1701</v>
      </c>
      <c r="K31" s="70">
        <v>17</v>
      </c>
      <c r="L31" s="70">
        <v>17</v>
      </c>
      <c r="M31" s="70">
        <v>0.28000000000000003</v>
      </c>
      <c r="N31" s="70">
        <v>0.28005099999999999</v>
      </c>
      <c r="O31" s="70">
        <v>1</v>
      </c>
      <c r="P31" s="70">
        <v>1.0690120000000001</v>
      </c>
      <c r="Q31" s="70">
        <v>4.1100000000000003</v>
      </c>
      <c r="R31" s="70">
        <v>4.1088870000000002</v>
      </c>
      <c r="S31" s="70">
        <v>180.68</v>
      </c>
      <c r="T31" s="70">
        <v>180.61330000000001</v>
      </c>
      <c r="U31" s="70">
        <v>4.68</v>
      </c>
      <c r="V31" s="70">
        <v>4.6875</v>
      </c>
      <c r="W31" s="70">
        <v>300</v>
      </c>
      <c r="X31" s="70">
        <v>300</v>
      </c>
      <c r="Y31" s="70">
        <v>0</v>
      </c>
      <c r="Z31" s="70">
        <v>0</v>
      </c>
      <c r="AA31" s="70">
        <v>300</v>
      </c>
      <c r="AB31" s="70">
        <v>300</v>
      </c>
      <c r="AC31" s="70">
        <v>0</v>
      </c>
      <c r="AD31" s="70">
        <v>143.04859999999999</v>
      </c>
      <c r="AE31" s="70">
        <v>170</v>
      </c>
      <c r="AF31" s="70">
        <v>170</v>
      </c>
      <c r="AG31" s="70">
        <v>20</v>
      </c>
      <c r="AH31" s="70">
        <v>0.15</v>
      </c>
      <c r="AI31" s="70">
        <v>98.49</v>
      </c>
      <c r="AJ31" s="70">
        <v>111.89</v>
      </c>
      <c r="AK31" s="70">
        <v>124.62</v>
      </c>
      <c r="AL31" s="70">
        <v>127.69</v>
      </c>
      <c r="AM31" s="70">
        <v>657.05</v>
      </c>
      <c r="AN31" s="70">
        <v>213.01689999999999</v>
      </c>
      <c r="AO31" s="70">
        <v>114.6</v>
      </c>
      <c r="AP31" s="70">
        <v>127.12</v>
      </c>
      <c r="AQ31" s="70">
        <v>129.59</v>
      </c>
      <c r="AR31" s="70">
        <v>625.20000000000005</v>
      </c>
      <c r="AS31" s="70">
        <v>10.02</v>
      </c>
      <c r="AT31" s="70">
        <v>60.71</v>
      </c>
      <c r="AU31" s="70">
        <v>99.52</v>
      </c>
      <c r="AV31" s="70">
        <v>114.23</v>
      </c>
      <c r="AW31" s="70">
        <v>0.56100000000000005</v>
      </c>
      <c r="AX31" s="70">
        <v>8.75</v>
      </c>
      <c r="AY31" s="70">
        <v>10000000000</v>
      </c>
      <c r="AZ31" s="70">
        <v>620.39</v>
      </c>
      <c r="BA31" s="70">
        <v>15.16</v>
      </c>
      <c r="BB31" s="70">
        <v>11.19</v>
      </c>
      <c r="BC31" s="70">
        <v>1.1000000000000001</v>
      </c>
      <c r="BD31" s="70">
        <v>5.09</v>
      </c>
      <c r="BE31" s="70">
        <v>4.37</v>
      </c>
      <c r="BF31" s="70">
        <v>887.85</v>
      </c>
      <c r="BG31" s="70">
        <v>9.82</v>
      </c>
      <c r="BH31" s="70">
        <v>10000000000</v>
      </c>
      <c r="BI31" s="70">
        <v>210.6</v>
      </c>
      <c r="BJ31" s="70">
        <v>18.899999999999999</v>
      </c>
      <c r="BK31" s="70">
        <v>84.3</v>
      </c>
      <c r="BL31" s="70">
        <v>68.069999999999993</v>
      </c>
      <c r="BM31" s="70">
        <v>2.2999999999999998</v>
      </c>
      <c r="BN31" s="70">
        <v>29.97</v>
      </c>
      <c r="BO31" s="70">
        <v>39.200000000000003</v>
      </c>
      <c r="BP31" s="70">
        <v>658.25</v>
      </c>
      <c r="BQ31" s="70">
        <v>61.462760000000003</v>
      </c>
      <c r="BR31" s="70">
        <v>224.85890000000001</v>
      </c>
      <c r="BS31" s="70">
        <v>38.347769999999997</v>
      </c>
      <c r="BT31" s="70">
        <v>31.733979999999999</v>
      </c>
      <c r="BU31" s="70">
        <v>32.213149999999999</v>
      </c>
      <c r="BV31" s="70">
        <v>0.102392</v>
      </c>
      <c r="BW31" s="70">
        <v>6.1734999999999998E-2</v>
      </c>
      <c r="BX31" s="70">
        <v>122.8699</v>
      </c>
      <c r="BY31" s="70">
        <v>18.995360000000002</v>
      </c>
      <c r="BZ31" s="70">
        <v>0</v>
      </c>
      <c r="CA31" s="70">
        <v>0.92032499999999995</v>
      </c>
      <c r="CB31" s="70">
        <v>727.49019999999996</v>
      </c>
      <c r="CC31" s="70">
        <v>759.39829999999995</v>
      </c>
      <c r="CD31" s="70">
        <v>127.55759999999999</v>
      </c>
      <c r="CE31" s="70">
        <v>561.15</v>
      </c>
      <c r="CF31" s="70">
        <v>86.68</v>
      </c>
      <c r="CG31" s="70">
        <v>98.37</v>
      </c>
      <c r="CH31" s="70">
        <v>546.27</v>
      </c>
      <c r="CI31" s="70">
        <v>570.41999999999996</v>
      </c>
      <c r="CJ31" s="70">
        <v>582.42999999999995</v>
      </c>
      <c r="CK31" s="70">
        <v>605.41</v>
      </c>
      <c r="CL31" s="70">
        <v>603.95000000000005</v>
      </c>
      <c r="CM31" s="70">
        <v>598.69000000000005</v>
      </c>
      <c r="CN31" s="70">
        <v>526.12</v>
      </c>
      <c r="CO31" s="70">
        <v>29.15</v>
      </c>
      <c r="CP31" s="70">
        <v>874.8</v>
      </c>
      <c r="CQ31" s="70">
        <v>880.07</v>
      </c>
      <c r="CR31" s="70">
        <v>15.7</v>
      </c>
      <c r="CS31" s="70">
        <v>15.8</v>
      </c>
      <c r="CT31" s="70">
        <v>26.76</v>
      </c>
      <c r="CU31" s="70">
        <v>46.22</v>
      </c>
      <c r="CV31" s="70">
        <v>98.16</v>
      </c>
      <c r="CW31" s="70">
        <v>0.88615341949180948</v>
      </c>
      <c r="CX31" s="70">
        <v>3.8724904431792075</v>
      </c>
    </row>
    <row r="32" spans="1:102" s="70" customFormat="1" x14ac:dyDescent="0.25">
      <c r="A32" s="70">
        <v>12</v>
      </c>
      <c r="B32" s="71">
        <v>41409.522970497688</v>
      </c>
      <c r="C32" s="70">
        <v>4</v>
      </c>
      <c r="D32" s="70">
        <v>20</v>
      </c>
      <c r="E32" s="70">
        <v>886</v>
      </c>
      <c r="F32" s="70">
        <v>886</v>
      </c>
      <c r="G32" s="70">
        <v>886</v>
      </c>
      <c r="H32" s="70">
        <v>82.6</v>
      </c>
      <c r="I32" s="70">
        <v>82.6</v>
      </c>
      <c r="J32" s="70">
        <v>1701</v>
      </c>
      <c r="K32" s="70">
        <v>33</v>
      </c>
      <c r="L32" s="70">
        <v>33</v>
      </c>
      <c r="M32" s="70">
        <v>0.27</v>
      </c>
      <c r="N32" s="70">
        <v>0.270013</v>
      </c>
      <c r="O32" s="70">
        <v>1</v>
      </c>
      <c r="P32" s="70">
        <v>1.0690440000000001</v>
      </c>
      <c r="Q32" s="70">
        <v>4.34</v>
      </c>
      <c r="R32" s="70">
        <v>4.3395999999999999</v>
      </c>
      <c r="S32" s="70">
        <v>180.99</v>
      </c>
      <c r="T32" s="70">
        <v>180.97479999999999</v>
      </c>
      <c r="U32" s="70">
        <v>4.7699999999999996</v>
      </c>
      <c r="V32" s="70">
        <v>4.78125</v>
      </c>
      <c r="W32" s="70">
        <v>300</v>
      </c>
      <c r="X32" s="70">
        <v>300</v>
      </c>
      <c r="Y32" s="70">
        <v>0</v>
      </c>
      <c r="Z32" s="70">
        <v>0</v>
      </c>
      <c r="AA32" s="70">
        <v>300</v>
      </c>
      <c r="AB32" s="70">
        <v>300</v>
      </c>
      <c r="AC32" s="70">
        <v>0</v>
      </c>
      <c r="AD32" s="70">
        <v>170.2784</v>
      </c>
      <c r="AE32" s="70">
        <v>170</v>
      </c>
      <c r="AF32" s="70">
        <v>170</v>
      </c>
      <c r="AG32" s="70">
        <v>20</v>
      </c>
      <c r="AH32" s="70">
        <v>0.15</v>
      </c>
      <c r="AI32" s="70">
        <v>108.37</v>
      </c>
      <c r="AJ32" s="70">
        <v>120.78</v>
      </c>
      <c r="AK32" s="70">
        <v>164.55</v>
      </c>
      <c r="AL32" s="70">
        <v>166.19</v>
      </c>
      <c r="AM32" s="70">
        <v>600.29999999999995</v>
      </c>
      <c r="AN32" s="70">
        <v>241.63380000000001</v>
      </c>
      <c r="AO32" s="70">
        <v>143.56</v>
      </c>
      <c r="AP32" s="70">
        <v>145.80000000000001</v>
      </c>
      <c r="AQ32" s="70">
        <v>159.53</v>
      </c>
      <c r="AR32" s="70">
        <v>669.97</v>
      </c>
      <c r="AS32" s="70">
        <v>20.99</v>
      </c>
      <c r="AT32" s="70">
        <v>63.4</v>
      </c>
      <c r="AU32" s="70">
        <v>104.65</v>
      </c>
      <c r="AV32" s="70">
        <v>111.99</v>
      </c>
      <c r="AW32" s="70">
        <v>0.26100000000000001</v>
      </c>
      <c r="AX32" s="70">
        <v>3.71</v>
      </c>
      <c r="AY32" s="70">
        <v>10000000000</v>
      </c>
      <c r="AZ32" s="70">
        <v>455.96</v>
      </c>
      <c r="BA32" s="70">
        <v>15.45</v>
      </c>
      <c r="BB32" s="70">
        <v>10.210000000000001</v>
      </c>
      <c r="BC32" s="70">
        <v>1.35</v>
      </c>
      <c r="BD32" s="70">
        <v>6.45</v>
      </c>
      <c r="BE32" s="70">
        <v>3.94</v>
      </c>
      <c r="BF32" s="70">
        <v>738.86</v>
      </c>
      <c r="BG32" s="70">
        <v>13.2</v>
      </c>
      <c r="BH32" s="70">
        <v>10000000000</v>
      </c>
      <c r="BI32" s="70">
        <v>207.1</v>
      </c>
      <c r="BJ32" s="70">
        <v>20.5</v>
      </c>
      <c r="BK32" s="70">
        <v>82.6</v>
      </c>
      <c r="BL32" s="70">
        <v>101.9</v>
      </c>
      <c r="BM32" s="70">
        <v>2.61</v>
      </c>
      <c r="BN32" s="70">
        <v>30.22</v>
      </c>
      <c r="BO32" s="70">
        <v>38.450000000000003</v>
      </c>
      <c r="BP32" s="70">
        <v>702.96</v>
      </c>
      <c r="BQ32" s="70">
        <v>63.94464</v>
      </c>
      <c r="BR32" s="70">
        <v>261.94470000000001</v>
      </c>
      <c r="BS32" s="70">
        <v>38.703670000000002</v>
      </c>
      <c r="BT32" s="70">
        <v>34.212159999999997</v>
      </c>
      <c r="BU32" s="70">
        <v>33.846040000000002</v>
      </c>
      <c r="BV32" s="70">
        <v>0.10294300000000001</v>
      </c>
      <c r="BW32" s="70">
        <v>0.10276399999999999</v>
      </c>
      <c r="BX32" s="70">
        <v>121.435</v>
      </c>
      <c r="BY32" s="70">
        <v>18.995360000000002</v>
      </c>
      <c r="BZ32" s="70">
        <v>0</v>
      </c>
      <c r="CA32" s="70">
        <v>0.92076800000000003</v>
      </c>
      <c r="CB32" s="70">
        <v>819.55079999999998</v>
      </c>
      <c r="CC32" s="70">
        <v>851.12099999999998</v>
      </c>
      <c r="CD32" s="70">
        <v>126.2158</v>
      </c>
      <c r="CE32" s="70">
        <v>549.29999999999995</v>
      </c>
      <c r="CF32" s="70">
        <v>89.61</v>
      </c>
      <c r="CG32" s="70">
        <v>102.12</v>
      </c>
      <c r="CH32" s="70">
        <v>501.93</v>
      </c>
      <c r="CI32" s="70">
        <v>524.30999999999995</v>
      </c>
      <c r="CJ32" s="70">
        <v>537.98</v>
      </c>
      <c r="CK32" s="70">
        <v>559.41</v>
      </c>
      <c r="CL32" s="70">
        <v>556.73</v>
      </c>
      <c r="CM32" s="70">
        <v>558.52</v>
      </c>
      <c r="CN32" s="70">
        <v>455.43</v>
      </c>
      <c r="CO32" s="70">
        <v>29.82</v>
      </c>
      <c r="CP32" s="70">
        <v>883</v>
      </c>
      <c r="CQ32" s="70">
        <v>886.04</v>
      </c>
      <c r="CR32" s="70">
        <v>15.8</v>
      </c>
      <c r="CS32" s="70">
        <v>15.9</v>
      </c>
      <c r="CT32" s="70">
        <v>26.21</v>
      </c>
      <c r="CU32" s="70">
        <v>48.9</v>
      </c>
      <c r="CV32" s="70">
        <v>98.19</v>
      </c>
      <c r="CW32" s="70">
        <v>0.89770525083439134</v>
      </c>
      <c r="CX32" s="70">
        <v>3.5369586882875019</v>
      </c>
    </row>
    <row r="33" spans="1:102" s="70" customFormat="1" x14ac:dyDescent="0.25">
      <c r="A33" s="70">
        <v>5</v>
      </c>
      <c r="B33" s="71">
        <v>41409.485010115743</v>
      </c>
      <c r="C33" s="70">
        <v>4</v>
      </c>
      <c r="D33" s="70">
        <v>13</v>
      </c>
      <c r="E33" s="70">
        <v>855</v>
      </c>
      <c r="F33" s="70">
        <v>855</v>
      </c>
      <c r="G33" s="70">
        <v>855</v>
      </c>
      <c r="H33" s="70">
        <v>82.6</v>
      </c>
      <c r="I33" s="70">
        <v>82.6</v>
      </c>
      <c r="J33" s="70">
        <v>1701</v>
      </c>
      <c r="K33" s="70">
        <v>30</v>
      </c>
      <c r="L33" s="70">
        <v>30</v>
      </c>
      <c r="M33" s="70">
        <v>0.12</v>
      </c>
      <c r="N33" s="70">
        <v>0.120003</v>
      </c>
      <c r="O33" s="70">
        <v>1</v>
      </c>
      <c r="P33" s="70">
        <v>1.0689409999999999</v>
      </c>
      <c r="Q33" s="70">
        <v>3.16</v>
      </c>
      <c r="R33" s="70">
        <v>3.1640630000000001</v>
      </c>
      <c r="S33" s="70">
        <v>179.39</v>
      </c>
      <c r="T33" s="70">
        <v>179.39060000000001</v>
      </c>
      <c r="U33" s="70">
        <v>4.3099999999999996</v>
      </c>
      <c r="V33" s="70">
        <v>4.3125</v>
      </c>
      <c r="W33" s="70">
        <v>300</v>
      </c>
      <c r="X33" s="70">
        <v>300</v>
      </c>
      <c r="Y33" s="70">
        <v>0</v>
      </c>
      <c r="Z33" s="70">
        <v>0</v>
      </c>
      <c r="AA33" s="70">
        <v>300</v>
      </c>
      <c r="AB33" s="70">
        <v>300</v>
      </c>
      <c r="AC33" s="70">
        <v>0</v>
      </c>
      <c r="AD33" s="70">
        <v>161.97460000000001</v>
      </c>
      <c r="AE33" s="70">
        <v>170</v>
      </c>
      <c r="AF33" s="70">
        <v>170</v>
      </c>
      <c r="AG33" s="70">
        <v>20</v>
      </c>
      <c r="AH33" s="70">
        <v>0.15</v>
      </c>
      <c r="AI33" s="70">
        <v>100.67</v>
      </c>
      <c r="AJ33" s="70">
        <v>122.05</v>
      </c>
      <c r="AK33" s="70">
        <v>160.83000000000001</v>
      </c>
      <c r="AL33" s="70">
        <v>163.63999999999999</v>
      </c>
      <c r="AM33" s="70">
        <v>609.46</v>
      </c>
      <c r="AN33" s="70">
        <v>229.92939999999999</v>
      </c>
      <c r="AO33" s="70">
        <v>131.77000000000001</v>
      </c>
      <c r="AP33" s="70">
        <v>156.75</v>
      </c>
      <c r="AQ33" s="70">
        <v>148.06</v>
      </c>
      <c r="AR33" s="70">
        <v>698.47</v>
      </c>
      <c r="AS33" s="70">
        <v>29.07</v>
      </c>
      <c r="AT33" s="70">
        <v>60.39</v>
      </c>
      <c r="AU33" s="70">
        <v>100.73</v>
      </c>
      <c r="AV33" s="70">
        <v>114.72</v>
      </c>
      <c r="AW33" s="70">
        <v>0.124</v>
      </c>
      <c r="AX33" s="70">
        <v>1.69</v>
      </c>
      <c r="AY33" s="70">
        <v>10000000000</v>
      </c>
      <c r="AZ33" s="70">
        <v>447.06</v>
      </c>
      <c r="BA33" s="70">
        <v>17.5</v>
      </c>
      <c r="BB33" s="70">
        <v>9.89</v>
      </c>
      <c r="BC33" s="70">
        <v>0.83</v>
      </c>
      <c r="BD33" s="70">
        <v>6.86</v>
      </c>
      <c r="BE33" s="70">
        <v>5.65</v>
      </c>
      <c r="BF33" s="70">
        <v>971.4</v>
      </c>
      <c r="BG33" s="70">
        <v>8.41</v>
      </c>
      <c r="BH33" s="70">
        <v>10000000000</v>
      </c>
      <c r="BI33" s="70">
        <v>209.9</v>
      </c>
      <c r="BJ33" s="70">
        <v>21.8</v>
      </c>
      <c r="BK33" s="70">
        <v>86.5</v>
      </c>
      <c r="BL33" s="70">
        <v>64.12</v>
      </c>
      <c r="BM33" s="70">
        <v>2.46</v>
      </c>
      <c r="BN33" s="70">
        <v>29.72</v>
      </c>
      <c r="BO33" s="70">
        <v>37.9</v>
      </c>
      <c r="BP33" s="70">
        <v>730.37</v>
      </c>
      <c r="BQ33" s="70">
        <v>61.295679999999997</v>
      </c>
      <c r="BR33" s="70">
        <v>261.93979999999999</v>
      </c>
      <c r="BS33" s="70">
        <v>39.577970000000001</v>
      </c>
      <c r="BT33" s="70">
        <v>33.613970000000002</v>
      </c>
      <c r="BU33" s="70">
        <v>33.315519999999999</v>
      </c>
      <c r="BV33" s="70">
        <v>0.1043</v>
      </c>
      <c r="BW33" s="70">
        <v>0.103889</v>
      </c>
      <c r="BX33" s="70">
        <v>118.60380000000001</v>
      </c>
      <c r="BY33" s="70">
        <v>18.995360000000002</v>
      </c>
      <c r="BZ33" s="70">
        <v>0</v>
      </c>
      <c r="CA33" s="70">
        <v>0.92185600000000001</v>
      </c>
      <c r="CB33" s="70">
        <v>786.94830000000002</v>
      </c>
      <c r="CC33" s="70">
        <v>817.68910000000005</v>
      </c>
      <c r="CD33" s="70">
        <v>122.917</v>
      </c>
      <c r="CE33" s="70">
        <v>509.09</v>
      </c>
      <c r="CF33" s="70">
        <v>85.34</v>
      </c>
      <c r="CG33" s="70">
        <v>98.47</v>
      </c>
      <c r="CH33" s="70">
        <v>508.92</v>
      </c>
      <c r="CI33" s="70">
        <v>533.25</v>
      </c>
      <c r="CJ33" s="70">
        <v>548.49</v>
      </c>
      <c r="CK33" s="70">
        <v>571.34</v>
      </c>
      <c r="CL33" s="70">
        <v>566.04</v>
      </c>
      <c r="CM33" s="70">
        <v>558.98</v>
      </c>
      <c r="CN33" s="70">
        <v>466.23</v>
      </c>
      <c r="CO33" s="70">
        <v>32.950000000000003</v>
      </c>
      <c r="CP33" s="70">
        <v>858.1</v>
      </c>
      <c r="CQ33" s="70">
        <v>855.05</v>
      </c>
      <c r="CR33" s="70">
        <v>15.4</v>
      </c>
      <c r="CS33" s="70">
        <v>15.3</v>
      </c>
      <c r="CT33" s="70">
        <v>25</v>
      </c>
      <c r="CU33" s="70">
        <v>21.8</v>
      </c>
      <c r="CV33" s="70">
        <v>98.12</v>
      </c>
      <c r="CW33" s="70">
        <v>0.81933145156717535</v>
      </c>
      <c r="CX33" s="70">
        <v>4.6292227013545411</v>
      </c>
    </row>
    <row r="34" spans="1:102" s="70" customFormat="1" x14ac:dyDescent="0.25">
      <c r="A34" s="70">
        <v>20</v>
      </c>
      <c r="B34" s="71">
        <v>41409.569993344907</v>
      </c>
      <c r="C34" s="70">
        <v>4</v>
      </c>
      <c r="D34" s="70">
        <v>27</v>
      </c>
      <c r="E34" s="70">
        <v>917</v>
      </c>
      <c r="F34" s="70">
        <v>917</v>
      </c>
      <c r="G34" s="70">
        <v>917</v>
      </c>
      <c r="H34" s="70">
        <v>82.6</v>
      </c>
      <c r="I34" s="70">
        <v>82.6</v>
      </c>
      <c r="J34" s="70">
        <v>1701</v>
      </c>
      <c r="K34" s="70">
        <v>14</v>
      </c>
      <c r="L34" s="70">
        <v>14</v>
      </c>
      <c r="M34" s="70">
        <v>0.13</v>
      </c>
      <c r="N34" s="70">
        <v>0.130049</v>
      </c>
      <c r="O34" s="70">
        <v>1</v>
      </c>
      <c r="P34" s="70">
        <v>1.069016</v>
      </c>
      <c r="Q34" s="70">
        <v>4.28</v>
      </c>
      <c r="R34" s="70">
        <v>4.2846679999999999</v>
      </c>
      <c r="S34" s="70">
        <v>179.06</v>
      </c>
      <c r="T34" s="70">
        <v>178.42400000000001</v>
      </c>
      <c r="U34" s="70">
        <v>4.9800000000000004</v>
      </c>
      <c r="V34" s="70">
        <v>4.96875</v>
      </c>
      <c r="W34" s="70">
        <v>300</v>
      </c>
      <c r="X34" s="70">
        <v>300</v>
      </c>
      <c r="Y34" s="70">
        <v>0</v>
      </c>
      <c r="Z34" s="70">
        <v>0</v>
      </c>
      <c r="AA34" s="70">
        <v>299.68</v>
      </c>
      <c r="AB34" s="70">
        <v>300</v>
      </c>
      <c r="AC34" s="70">
        <v>0</v>
      </c>
      <c r="AD34" s="70">
        <v>148.38999999999999</v>
      </c>
      <c r="AE34" s="70">
        <v>170</v>
      </c>
      <c r="AF34" s="70">
        <v>170</v>
      </c>
      <c r="AG34" s="70">
        <v>20</v>
      </c>
      <c r="AH34" s="70">
        <v>0.15</v>
      </c>
      <c r="AI34" s="70">
        <v>101.48</v>
      </c>
      <c r="AJ34" s="70">
        <v>114.5</v>
      </c>
      <c r="AK34" s="70">
        <v>133.09</v>
      </c>
      <c r="AL34" s="70">
        <v>136.91</v>
      </c>
      <c r="AM34" s="70">
        <v>665.93</v>
      </c>
      <c r="AN34" s="70">
        <v>217.03280000000001</v>
      </c>
      <c r="AO34" s="70">
        <v>118.26</v>
      </c>
      <c r="AP34" s="70">
        <v>130.16999999999999</v>
      </c>
      <c r="AQ34" s="70">
        <v>134.09</v>
      </c>
      <c r="AR34" s="70">
        <v>661.11</v>
      </c>
      <c r="AS34" s="70">
        <v>14.83</v>
      </c>
      <c r="AT34" s="70">
        <v>58.8</v>
      </c>
      <c r="AU34" s="70">
        <v>99.89</v>
      </c>
      <c r="AV34" s="70">
        <v>116.8</v>
      </c>
      <c r="AW34" s="70">
        <v>0.35499999999999998</v>
      </c>
      <c r="AX34" s="70">
        <v>5.2</v>
      </c>
      <c r="AY34" s="70">
        <v>10000000000</v>
      </c>
      <c r="AZ34" s="70">
        <v>584.54999999999995</v>
      </c>
      <c r="BA34" s="70">
        <v>14.05</v>
      </c>
      <c r="BB34" s="70">
        <v>10.99</v>
      </c>
      <c r="BC34" s="70">
        <v>0.64</v>
      </c>
      <c r="BD34" s="70">
        <v>5.4</v>
      </c>
      <c r="BE34" s="70">
        <v>6.02</v>
      </c>
      <c r="BF34" s="70">
        <v>1199.5899999999999</v>
      </c>
      <c r="BG34" s="70">
        <v>5.87</v>
      </c>
      <c r="BH34" s="70">
        <v>10000000000</v>
      </c>
      <c r="BI34" s="70">
        <v>210.4</v>
      </c>
      <c r="BJ34" s="70">
        <v>19.2</v>
      </c>
      <c r="BK34" s="70">
        <v>84.6</v>
      </c>
      <c r="BL34" s="70">
        <v>41.22</v>
      </c>
      <c r="BM34" s="70">
        <v>2.3199999999999998</v>
      </c>
      <c r="BN34" s="70">
        <v>29.56</v>
      </c>
      <c r="BO34" s="70">
        <v>39.049999999999997</v>
      </c>
      <c r="BP34" s="70">
        <v>695.8</v>
      </c>
      <c r="BQ34" s="70">
        <v>59.793280000000003</v>
      </c>
      <c r="BR34" s="70">
        <v>236.71510000000001</v>
      </c>
      <c r="BS34" s="70">
        <v>36.890650000000001</v>
      </c>
      <c r="BT34" s="70">
        <v>31.454260000000001</v>
      </c>
      <c r="BU34" s="70">
        <v>31.991769999999999</v>
      </c>
      <c r="BV34" s="70">
        <v>0.102696</v>
      </c>
      <c r="BW34" s="70">
        <v>5.5514000000000001E-2</v>
      </c>
      <c r="BX34" s="70">
        <v>128.17930000000001</v>
      </c>
      <c r="BY34" s="70">
        <v>18.995360000000002</v>
      </c>
      <c r="BZ34" s="70">
        <v>0</v>
      </c>
      <c r="CA34" s="70">
        <v>0.91959999999999997</v>
      </c>
      <c r="CB34" s="70">
        <v>744.33749999999998</v>
      </c>
      <c r="CC34" s="70">
        <v>777.6454</v>
      </c>
      <c r="CD34" s="70">
        <v>133.14689999999999</v>
      </c>
      <c r="CE34" s="70">
        <v>498.34</v>
      </c>
      <c r="CF34" s="70">
        <v>85.57</v>
      </c>
      <c r="CG34" s="70">
        <v>100.43</v>
      </c>
      <c r="CH34" s="70">
        <v>553.62</v>
      </c>
      <c r="CI34" s="70">
        <v>579.53</v>
      </c>
      <c r="CJ34" s="70">
        <v>594.13</v>
      </c>
      <c r="CK34" s="70">
        <v>616.02</v>
      </c>
      <c r="CL34" s="70">
        <v>611.25</v>
      </c>
      <c r="CM34" s="70">
        <v>595.91999999999996</v>
      </c>
      <c r="CN34" s="70">
        <v>533.57000000000005</v>
      </c>
      <c r="CO34" s="70">
        <v>29.29</v>
      </c>
      <c r="CP34" s="70">
        <v>910</v>
      </c>
      <c r="CQ34" s="70">
        <v>917.04</v>
      </c>
      <c r="CR34" s="70">
        <v>16.3</v>
      </c>
      <c r="CS34" s="70">
        <v>16.399999999999999</v>
      </c>
      <c r="CT34" s="70">
        <v>26.82</v>
      </c>
      <c r="CU34" s="70">
        <v>49.07</v>
      </c>
      <c r="CV34" s="70">
        <v>98.33</v>
      </c>
      <c r="CW34" s="70">
        <v>0.90168241412005334</v>
      </c>
      <c r="CX34" s="70">
        <v>5.4281281330027209</v>
      </c>
    </row>
    <row r="35" spans="1:102" s="70" customFormat="1" x14ac:dyDescent="0.25">
      <c r="A35" s="70">
        <v>27</v>
      </c>
      <c r="B35" s="71">
        <v>41408.643256099538</v>
      </c>
      <c r="C35" s="70">
        <v>4</v>
      </c>
      <c r="D35" s="70">
        <v>1</v>
      </c>
      <c r="E35" s="70">
        <v>933</v>
      </c>
      <c r="F35" s="70">
        <v>933</v>
      </c>
      <c r="G35" s="70">
        <v>933</v>
      </c>
      <c r="H35" s="70">
        <v>82.6</v>
      </c>
      <c r="I35" s="70">
        <v>82.6</v>
      </c>
      <c r="J35" s="70">
        <v>1701</v>
      </c>
      <c r="K35" s="70">
        <v>14</v>
      </c>
      <c r="L35" s="70">
        <v>14</v>
      </c>
      <c r="M35" s="70">
        <v>0.18</v>
      </c>
      <c r="N35" s="70">
        <v>0.18005699999999999</v>
      </c>
      <c r="O35" s="70">
        <v>1</v>
      </c>
      <c r="P35" s="70">
        <v>1.069404</v>
      </c>
      <c r="Q35" s="70">
        <v>4.34</v>
      </c>
      <c r="R35" s="70">
        <v>4.3395999999999999</v>
      </c>
      <c r="S35" s="70">
        <v>180.99</v>
      </c>
      <c r="T35" s="70">
        <v>176.93209999999999</v>
      </c>
      <c r="U35" s="70">
        <v>4.7699999999999996</v>
      </c>
      <c r="V35" s="70">
        <v>4.78125</v>
      </c>
      <c r="W35" s="70">
        <v>300</v>
      </c>
      <c r="X35" s="70">
        <v>300</v>
      </c>
      <c r="Y35" s="70">
        <v>0</v>
      </c>
      <c r="Z35" s="70">
        <v>0</v>
      </c>
      <c r="AA35" s="70">
        <v>300</v>
      </c>
      <c r="AB35" s="70">
        <v>300</v>
      </c>
      <c r="AC35" s="70">
        <v>0</v>
      </c>
      <c r="AD35" s="70">
        <v>149.16319999999999</v>
      </c>
      <c r="AE35" s="70">
        <v>170</v>
      </c>
      <c r="AF35" s="70">
        <v>170</v>
      </c>
      <c r="AG35" s="70">
        <v>20</v>
      </c>
      <c r="AH35" s="70">
        <v>0.15</v>
      </c>
      <c r="AI35" s="70">
        <v>101.82</v>
      </c>
      <c r="AJ35" s="70">
        <v>114.5</v>
      </c>
      <c r="AK35" s="70">
        <v>132.72999999999999</v>
      </c>
      <c r="AL35" s="70">
        <v>136.31</v>
      </c>
      <c r="AM35" s="70">
        <v>682.95</v>
      </c>
      <c r="AN35" s="70">
        <v>218.37450000000001</v>
      </c>
      <c r="AO35" s="70">
        <v>119.33</v>
      </c>
      <c r="AP35" s="70">
        <v>134.37</v>
      </c>
      <c r="AQ35" s="70">
        <v>136.61000000000001</v>
      </c>
      <c r="AR35" s="70">
        <v>652.42999999999995</v>
      </c>
      <c r="AS35" s="70">
        <v>13.4</v>
      </c>
      <c r="AT35" s="70">
        <v>59.95</v>
      </c>
      <c r="AU35" s="70">
        <v>99.76</v>
      </c>
      <c r="AV35" s="70">
        <v>110.67</v>
      </c>
      <c r="AW35" s="70">
        <v>0.52600000000000002</v>
      </c>
      <c r="AX35" s="70">
        <v>8.11</v>
      </c>
      <c r="AY35" s="70">
        <v>10000000000</v>
      </c>
      <c r="AZ35" s="70">
        <v>426.11</v>
      </c>
      <c r="BA35" s="70">
        <v>12.14</v>
      </c>
      <c r="BB35" s="70">
        <v>11.33</v>
      </c>
      <c r="BC35" s="70">
        <v>0.84</v>
      </c>
      <c r="BD35" s="70">
        <v>4.8899999999999997</v>
      </c>
      <c r="BE35" s="70">
        <v>5.01</v>
      </c>
      <c r="BF35" s="70">
        <v>1037.83</v>
      </c>
      <c r="BG35" s="70">
        <v>7.44</v>
      </c>
      <c r="BH35" s="70">
        <v>10000000000</v>
      </c>
      <c r="BI35" s="70">
        <v>212</v>
      </c>
      <c r="BJ35" s="70">
        <v>18.5</v>
      </c>
      <c r="BK35" s="70">
        <v>83.9</v>
      </c>
      <c r="BL35" s="70">
        <v>52.39</v>
      </c>
      <c r="BM35" s="70">
        <v>2.35</v>
      </c>
      <c r="BN35" s="70">
        <v>29.75</v>
      </c>
      <c r="BO35" s="70">
        <v>39.43</v>
      </c>
      <c r="BP35" s="70">
        <v>687.28</v>
      </c>
      <c r="BQ35" s="70">
        <v>60.81</v>
      </c>
      <c r="BR35" s="70">
        <v>235.40170000000001</v>
      </c>
      <c r="BS35" s="70">
        <v>36.144880000000001</v>
      </c>
      <c r="BT35" s="70">
        <v>31.147659999999998</v>
      </c>
      <c r="BU35" s="70">
        <v>31.819769999999998</v>
      </c>
      <c r="BV35" s="70">
        <v>0.10394399999999999</v>
      </c>
      <c r="BW35" s="70">
        <v>4.6732000000000003E-2</v>
      </c>
      <c r="BX35" s="70">
        <v>131.80590000000001</v>
      </c>
      <c r="BY35" s="70">
        <v>19.053629999999998</v>
      </c>
      <c r="BZ35" s="70">
        <v>0</v>
      </c>
      <c r="CA35" s="70">
        <v>0.91969100000000004</v>
      </c>
      <c r="CB35" s="70">
        <v>746.73329999999999</v>
      </c>
      <c r="CC35" s="70">
        <v>780.90750000000003</v>
      </c>
      <c r="CD35" s="70">
        <v>136.5934</v>
      </c>
      <c r="CE35" s="70">
        <v>537.89</v>
      </c>
      <c r="CF35" s="70">
        <v>87.09</v>
      </c>
      <c r="CG35" s="70">
        <v>99.13</v>
      </c>
      <c r="CH35" s="70">
        <v>570.04</v>
      </c>
      <c r="CI35" s="70">
        <v>592.19000000000005</v>
      </c>
      <c r="CJ35" s="70">
        <v>606.69000000000005</v>
      </c>
      <c r="CK35" s="70">
        <v>627.97</v>
      </c>
      <c r="CL35" s="70">
        <v>622.66</v>
      </c>
      <c r="CM35" s="70">
        <v>612.09</v>
      </c>
      <c r="CN35" s="70">
        <v>549.26</v>
      </c>
      <c r="CO35" s="70">
        <v>33.299999999999997</v>
      </c>
      <c r="CP35" s="70">
        <v>926</v>
      </c>
      <c r="CQ35" s="70">
        <v>933.05</v>
      </c>
      <c r="CR35" s="70">
        <v>16.600000000000001</v>
      </c>
      <c r="CS35" s="70">
        <v>16.7</v>
      </c>
      <c r="CT35" s="70">
        <v>27.87</v>
      </c>
      <c r="CU35" s="70">
        <v>37.380000000000003</v>
      </c>
      <c r="CV35" s="70">
        <v>99.1</v>
      </c>
      <c r="CW35" s="70">
        <v>0.85704797746304928</v>
      </c>
      <c r="CX35" s="70">
        <v>4.2938103670898764</v>
      </c>
    </row>
    <row r="36" spans="1:102" s="70" customFormat="1" x14ac:dyDescent="0.25">
      <c r="A36" s="70">
        <v>14</v>
      </c>
      <c r="B36" s="71">
        <v>41409.533841018521</v>
      </c>
      <c r="C36" s="70">
        <v>4</v>
      </c>
      <c r="D36" s="70">
        <v>22</v>
      </c>
      <c r="E36" s="70">
        <v>898</v>
      </c>
      <c r="F36" s="70">
        <v>898</v>
      </c>
      <c r="G36" s="70">
        <v>898</v>
      </c>
      <c r="H36" s="70">
        <v>82.6</v>
      </c>
      <c r="I36" s="70">
        <v>82.6</v>
      </c>
      <c r="J36" s="70">
        <v>1701</v>
      </c>
      <c r="K36" s="70">
        <v>26</v>
      </c>
      <c r="L36" s="70">
        <v>26</v>
      </c>
      <c r="M36" s="70">
        <v>0.1</v>
      </c>
      <c r="N36" s="70">
        <v>9.9967E-2</v>
      </c>
      <c r="O36" s="70">
        <v>1</v>
      </c>
      <c r="P36" s="70">
        <v>1.0690440000000001</v>
      </c>
      <c r="Q36" s="70">
        <v>4.79</v>
      </c>
      <c r="R36" s="70">
        <v>4.7900390000000002</v>
      </c>
      <c r="S36" s="70">
        <v>181.61</v>
      </c>
      <c r="T36" s="70">
        <v>180.6524</v>
      </c>
      <c r="U36" s="70">
        <v>4.95</v>
      </c>
      <c r="V36" s="70">
        <v>4.9375</v>
      </c>
      <c r="W36" s="70">
        <v>300</v>
      </c>
      <c r="X36" s="70">
        <v>300</v>
      </c>
      <c r="Y36" s="70">
        <v>0</v>
      </c>
      <c r="Z36" s="70">
        <v>0</v>
      </c>
      <c r="AA36" s="70">
        <v>300</v>
      </c>
      <c r="AB36" s="70">
        <v>300</v>
      </c>
      <c r="AC36" s="70">
        <v>0</v>
      </c>
      <c r="AD36" s="70">
        <v>166.60489999999999</v>
      </c>
      <c r="AE36" s="70">
        <v>170</v>
      </c>
      <c r="AF36" s="70">
        <v>170</v>
      </c>
      <c r="AG36" s="70">
        <v>20</v>
      </c>
      <c r="AH36" s="70">
        <v>0.15</v>
      </c>
      <c r="AI36" s="70">
        <v>109.63</v>
      </c>
      <c r="AJ36" s="70">
        <v>121.43</v>
      </c>
      <c r="AK36" s="70">
        <v>160.66999999999999</v>
      </c>
      <c r="AL36" s="70">
        <v>163.96</v>
      </c>
      <c r="AM36" s="70">
        <v>607.17999999999995</v>
      </c>
      <c r="AN36" s="70">
        <v>233.76580000000001</v>
      </c>
      <c r="AO36" s="70">
        <v>135.12</v>
      </c>
      <c r="AP36" s="70">
        <v>143.22</v>
      </c>
      <c r="AQ36" s="70">
        <v>151.94999999999999</v>
      </c>
      <c r="AR36" s="70">
        <v>705.6</v>
      </c>
      <c r="AS36" s="70">
        <v>25.55</v>
      </c>
      <c r="AT36" s="70">
        <v>58.85</v>
      </c>
      <c r="AU36" s="70">
        <v>100.12</v>
      </c>
      <c r="AV36" s="70">
        <v>119.01</v>
      </c>
      <c r="AW36" s="70">
        <v>0.125</v>
      </c>
      <c r="AX36" s="70">
        <v>1.71</v>
      </c>
      <c r="AY36" s="70">
        <v>10000000000</v>
      </c>
      <c r="AZ36" s="70">
        <v>430.31</v>
      </c>
      <c r="BA36" s="70">
        <v>17.2</v>
      </c>
      <c r="BB36" s="70">
        <v>9.8699999999999992</v>
      </c>
      <c r="BC36" s="70">
        <v>0.61</v>
      </c>
      <c r="BD36" s="70">
        <v>6.94</v>
      </c>
      <c r="BE36" s="70">
        <v>7.25</v>
      </c>
      <c r="BF36" s="70">
        <v>1299.55</v>
      </c>
      <c r="BG36" s="70">
        <v>6.22</v>
      </c>
      <c r="BH36" s="70">
        <v>10000000000</v>
      </c>
      <c r="BI36" s="70">
        <v>207.1</v>
      </c>
      <c r="BJ36" s="70">
        <v>21.3</v>
      </c>
      <c r="BK36" s="70">
        <v>84.3</v>
      </c>
      <c r="BL36" s="70">
        <v>46.85</v>
      </c>
      <c r="BM36" s="70">
        <v>2.5</v>
      </c>
      <c r="BN36" s="70">
        <v>29.54</v>
      </c>
      <c r="BO36" s="70">
        <v>38.11</v>
      </c>
      <c r="BP36" s="70">
        <v>739.19</v>
      </c>
      <c r="BQ36" s="70">
        <v>59.81297</v>
      </c>
      <c r="BR36" s="70">
        <v>263.9495</v>
      </c>
      <c r="BS36" s="70">
        <v>38.242849999999997</v>
      </c>
      <c r="BT36" s="70">
        <v>33.050870000000003</v>
      </c>
      <c r="BU36" s="70">
        <v>32.70966</v>
      </c>
      <c r="BV36" s="70">
        <v>0.10223500000000001</v>
      </c>
      <c r="BW36" s="70">
        <v>0.10097299999999999</v>
      </c>
      <c r="BX36" s="70">
        <v>123.00920000000001</v>
      </c>
      <c r="BY36" s="70">
        <v>18.995360000000002</v>
      </c>
      <c r="BZ36" s="70">
        <v>0</v>
      </c>
      <c r="CA36" s="70">
        <v>0.92019600000000001</v>
      </c>
      <c r="CB36" s="70">
        <v>802.2002</v>
      </c>
      <c r="CC36" s="70">
        <v>834.20609999999999</v>
      </c>
      <c r="CD36" s="70">
        <v>127.946</v>
      </c>
      <c r="CE36" s="70">
        <v>472.8</v>
      </c>
      <c r="CF36" s="70">
        <v>83.86</v>
      </c>
      <c r="CG36" s="70">
        <v>98.38</v>
      </c>
      <c r="CH36" s="70">
        <v>513.23</v>
      </c>
      <c r="CI36" s="70">
        <v>535.79</v>
      </c>
      <c r="CJ36" s="70">
        <v>548.87</v>
      </c>
      <c r="CK36" s="70">
        <v>566.05999999999995</v>
      </c>
      <c r="CL36" s="70">
        <v>564.38</v>
      </c>
      <c r="CM36" s="70">
        <v>552.73</v>
      </c>
      <c r="CN36" s="70">
        <v>466.49</v>
      </c>
      <c r="CO36" s="70">
        <v>29.18</v>
      </c>
      <c r="CP36" s="70">
        <v>894.1</v>
      </c>
      <c r="CQ36" s="70">
        <v>898.04</v>
      </c>
      <c r="CR36" s="70">
        <v>16</v>
      </c>
      <c r="CS36" s="70">
        <v>16.100000000000001</v>
      </c>
      <c r="CT36" s="70">
        <v>26.38</v>
      </c>
      <c r="CU36" s="70">
        <v>48.11</v>
      </c>
      <c r="CV36" s="70">
        <v>98.22</v>
      </c>
      <c r="CW36" s="70">
        <v>0.90117463637623574</v>
      </c>
      <c r="CX36" s="70">
        <v>6.5335161137277087</v>
      </c>
    </row>
    <row r="37" spans="1:102" s="70" customFormat="1" x14ac:dyDescent="0.25">
      <c r="A37" s="70">
        <v>19</v>
      </c>
      <c r="B37" s="71">
        <v>41409.564556342593</v>
      </c>
      <c r="C37" s="70">
        <v>4</v>
      </c>
      <c r="D37" s="70">
        <v>26</v>
      </c>
      <c r="E37" s="70">
        <v>911</v>
      </c>
      <c r="F37" s="70">
        <v>911</v>
      </c>
      <c r="G37" s="70">
        <v>911.1</v>
      </c>
      <c r="H37" s="70">
        <v>82.6</v>
      </c>
      <c r="I37" s="70">
        <v>82.6</v>
      </c>
      <c r="J37" s="70">
        <v>1701</v>
      </c>
      <c r="K37" s="70">
        <v>27</v>
      </c>
      <c r="L37" s="70">
        <v>27</v>
      </c>
      <c r="M37" s="70">
        <v>0.23</v>
      </c>
      <c r="N37" s="70">
        <v>0.22998199999999999</v>
      </c>
      <c r="O37" s="70">
        <v>1</v>
      </c>
      <c r="P37" s="70">
        <v>1.068983</v>
      </c>
      <c r="Q37" s="70">
        <v>4.49</v>
      </c>
      <c r="R37" s="70">
        <v>4.4934079999999996</v>
      </c>
      <c r="S37" s="70">
        <v>180</v>
      </c>
      <c r="T37" s="70">
        <v>179.53620000000001</v>
      </c>
      <c r="U37" s="70">
        <v>4.9800000000000004</v>
      </c>
      <c r="V37" s="70">
        <v>4.96875</v>
      </c>
      <c r="W37" s="70">
        <v>300</v>
      </c>
      <c r="X37" s="70">
        <v>300</v>
      </c>
      <c r="Y37" s="70">
        <v>0</v>
      </c>
      <c r="Z37" s="70">
        <v>0</v>
      </c>
      <c r="AA37" s="70">
        <v>299.8</v>
      </c>
      <c r="AB37" s="70">
        <v>300</v>
      </c>
      <c r="AC37" s="70">
        <v>0</v>
      </c>
      <c r="AD37" s="70">
        <v>167.09229999999999</v>
      </c>
      <c r="AE37" s="70">
        <v>170</v>
      </c>
      <c r="AF37" s="70">
        <v>170</v>
      </c>
      <c r="AG37" s="70">
        <v>20</v>
      </c>
      <c r="AH37" s="70">
        <v>0.15</v>
      </c>
      <c r="AI37" s="70">
        <v>108.21</v>
      </c>
      <c r="AJ37" s="70">
        <v>120.03</v>
      </c>
      <c r="AK37" s="70">
        <v>155.79</v>
      </c>
      <c r="AL37" s="70">
        <v>158.33000000000001</v>
      </c>
      <c r="AM37" s="70">
        <v>622.45000000000005</v>
      </c>
      <c r="AN37" s="70">
        <v>236.27719999999999</v>
      </c>
      <c r="AO37" s="70">
        <v>137.84</v>
      </c>
      <c r="AP37" s="70">
        <v>143.11000000000001</v>
      </c>
      <c r="AQ37" s="70">
        <v>154.05000000000001</v>
      </c>
      <c r="AR37" s="70">
        <v>676.86</v>
      </c>
      <c r="AS37" s="70">
        <v>17.96</v>
      </c>
      <c r="AT37" s="70">
        <v>61.77</v>
      </c>
      <c r="AU37" s="70">
        <v>101.82</v>
      </c>
      <c r="AV37" s="70">
        <v>110.31</v>
      </c>
      <c r="AW37" s="70">
        <v>0.28100000000000003</v>
      </c>
      <c r="AX37" s="70">
        <v>4.0199999999999996</v>
      </c>
      <c r="AY37" s="70">
        <v>10000000000</v>
      </c>
      <c r="AZ37" s="70">
        <v>477.64</v>
      </c>
      <c r="BA37" s="70">
        <v>14.74</v>
      </c>
      <c r="BB37" s="70">
        <v>10.47</v>
      </c>
      <c r="BC37" s="70">
        <v>1.1100000000000001</v>
      </c>
      <c r="BD37" s="70">
        <v>6.13</v>
      </c>
      <c r="BE37" s="70">
        <v>4.66</v>
      </c>
      <c r="BF37" s="70">
        <v>892.91</v>
      </c>
      <c r="BG37" s="70">
        <v>10.6</v>
      </c>
      <c r="BH37" s="70">
        <v>10000000000</v>
      </c>
      <c r="BI37" s="70">
        <v>207.7</v>
      </c>
      <c r="BJ37" s="70">
        <v>20.100000000000001</v>
      </c>
      <c r="BK37" s="70">
        <v>83.2</v>
      </c>
      <c r="BL37" s="70">
        <v>80.34</v>
      </c>
      <c r="BM37" s="70">
        <v>2.54</v>
      </c>
      <c r="BN37" s="70">
        <v>29.99</v>
      </c>
      <c r="BO37" s="70">
        <v>38.64</v>
      </c>
      <c r="BP37" s="70">
        <v>711.22</v>
      </c>
      <c r="BQ37" s="70">
        <v>62.457189999999997</v>
      </c>
      <c r="BR37" s="70">
        <v>255.55189999999999</v>
      </c>
      <c r="BS37" s="70">
        <v>37.551459999999999</v>
      </c>
      <c r="BT37" s="70">
        <v>32.513730000000002</v>
      </c>
      <c r="BU37" s="70">
        <v>32.181040000000003</v>
      </c>
      <c r="BV37" s="70">
        <v>0.101657</v>
      </c>
      <c r="BW37" s="70">
        <v>0.100271</v>
      </c>
      <c r="BX37" s="70">
        <v>125.59869999999999</v>
      </c>
      <c r="BY37" s="70">
        <v>18.995360000000002</v>
      </c>
      <c r="BZ37" s="70">
        <v>0</v>
      </c>
      <c r="CA37" s="70">
        <v>0.91954999999999998</v>
      </c>
      <c r="CB37" s="70">
        <v>803.85479999999995</v>
      </c>
      <c r="CC37" s="70">
        <v>836.524</v>
      </c>
      <c r="CD37" s="70">
        <v>130.5668</v>
      </c>
      <c r="CE37" s="70">
        <v>548.34</v>
      </c>
      <c r="CF37" s="70">
        <v>87.82</v>
      </c>
      <c r="CG37" s="70">
        <v>99.93</v>
      </c>
      <c r="CH37" s="70">
        <v>520.11</v>
      </c>
      <c r="CI37" s="70">
        <v>542.69000000000005</v>
      </c>
      <c r="CJ37" s="70">
        <v>554.88</v>
      </c>
      <c r="CK37" s="70">
        <v>577.04</v>
      </c>
      <c r="CL37" s="70">
        <v>576.21</v>
      </c>
      <c r="CM37" s="70">
        <v>575.05999999999995</v>
      </c>
      <c r="CN37" s="70">
        <v>480.01</v>
      </c>
      <c r="CO37" s="70">
        <v>30.25</v>
      </c>
      <c r="CP37" s="70">
        <v>906.9</v>
      </c>
      <c r="CQ37" s="70">
        <v>911.05</v>
      </c>
      <c r="CR37" s="70">
        <v>16.2</v>
      </c>
      <c r="CS37" s="70">
        <v>16.3</v>
      </c>
      <c r="CT37" s="70">
        <v>26.68</v>
      </c>
      <c r="CU37" s="70">
        <v>47.47</v>
      </c>
      <c r="CV37" s="70">
        <v>98.32</v>
      </c>
      <c r="CW37" s="70">
        <v>0.89898371613480765</v>
      </c>
      <c r="CX37" s="70">
        <v>4.1892641171882037</v>
      </c>
    </row>
    <row r="38" spans="1:102" x14ac:dyDescent="0.25">
      <c r="A38" s="5">
        <v>29</v>
      </c>
      <c r="B38" s="23">
        <v>1.429050925925926E-2</v>
      </c>
      <c r="C38" s="5">
        <v>5</v>
      </c>
      <c r="D38" s="5">
        <v>27</v>
      </c>
      <c r="E38" s="5">
        <v>138</v>
      </c>
      <c r="F38" s="5">
        <v>138</v>
      </c>
      <c r="G38" s="5">
        <v>138</v>
      </c>
      <c r="H38" s="5">
        <v>91.7</v>
      </c>
      <c r="I38" s="5">
        <v>91.7</v>
      </c>
      <c r="J38" s="5">
        <v>1800</v>
      </c>
      <c r="K38" s="5">
        <v>2</v>
      </c>
      <c r="L38" s="5">
        <v>2</v>
      </c>
      <c r="M38" s="5">
        <v>0.12</v>
      </c>
      <c r="N38" s="5">
        <v>0.119981</v>
      </c>
      <c r="O38" s="5">
        <v>1</v>
      </c>
      <c r="P38" s="5">
        <v>1.0689219999999999</v>
      </c>
      <c r="Q38" s="5">
        <v>-1.1499999999999999</v>
      </c>
      <c r="R38" s="5">
        <v>-1.153564</v>
      </c>
      <c r="S38" s="5">
        <v>115.49</v>
      </c>
      <c r="T38" s="5">
        <v>115.48439999999999</v>
      </c>
      <c r="U38" s="5">
        <v>3.5</v>
      </c>
      <c r="V38" s="5">
        <v>3.5</v>
      </c>
      <c r="W38" s="5">
        <v>300</v>
      </c>
      <c r="X38" s="5">
        <v>300</v>
      </c>
      <c r="Y38" s="5">
        <v>3.5</v>
      </c>
      <c r="Z38" s="5">
        <v>3.5</v>
      </c>
      <c r="AA38" s="5">
        <v>300</v>
      </c>
      <c r="AB38" s="5">
        <v>300</v>
      </c>
      <c r="AC38" s="5">
        <v>0</v>
      </c>
      <c r="AD38" s="5">
        <v>74.830569999999994</v>
      </c>
      <c r="AE38" s="5">
        <v>0</v>
      </c>
      <c r="AF38" s="5">
        <v>82.300319999999999</v>
      </c>
      <c r="AG38" s="5">
        <v>43</v>
      </c>
      <c r="AH38" s="5">
        <v>0.23</v>
      </c>
      <c r="AI38" s="5">
        <v>41.52</v>
      </c>
      <c r="AJ38" s="5">
        <v>48.85</v>
      </c>
      <c r="AK38" s="5">
        <v>26</v>
      </c>
      <c r="AL38" s="5">
        <v>26.87</v>
      </c>
      <c r="AM38" s="5">
        <v>313.18</v>
      </c>
      <c r="AN38" s="5">
        <v>106.0972</v>
      </c>
      <c r="AO38" s="5">
        <v>3.41</v>
      </c>
      <c r="AP38" s="5">
        <v>44.38</v>
      </c>
      <c r="AQ38" s="5">
        <v>12.21</v>
      </c>
      <c r="AR38" s="5">
        <v>342.14</v>
      </c>
      <c r="AS38" s="5">
        <v>22.59</v>
      </c>
      <c r="AT38" s="5">
        <v>43.05</v>
      </c>
      <c r="AU38" s="5">
        <v>94.01</v>
      </c>
      <c r="AV38" s="5">
        <v>113.34</v>
      </c>
      <c r="AW38" s="5">
        <v>0.23200000000000001</v>
      </c>
      <c r="AX38" s="5">
        <v>3.27</v>
      </c>
      <c r="AY38" s="5">
        <v>1.4838</v>
      </c>
      <c r="AZ38" s="5">
        <v>185.17</v>
      </c>
      <c r="BA38" s="5">
        <v>13.44</v>
      </c>
      <c r="BB38" s="5">
        <v>4.9400000000000004</v>
      </c>
      <c r="BC38" s="5">
        <v>0.6</v>
      </c>
      <c r="BD38" s="5">
        <v>13.85</v>
      </c>
      <c r="BE38" s="5">
        <v>4.38</v>
      </c>
      <c r="BF38" s="5">
        <v>237.09</v>
      </c>
      <c r="BG38" s="5">
        <v>12.16</v>
      </c>
      <c r="BH38" s="5">
        <v>0.11</v>
      </c>
      <c r="BI38" s="5">
        <v>296.2</v>
      </c>
      <c r="BJ38" s="5">
        <v>44.4</v>
      </c>
      <c r="BK38" s="5">
        <v>87.1</v>
      </c>
      <c r="BL38" s="5">
        <v>47.37</v>
      </c>
      <c r="BM38" s="5">
        <v>1.18</v>
      </c>
      <c r="BN38" s="5">
        <v>29.52</v>
      </c>
      <c r="BO38" s="5">
        <v>33.47</v>
      </c>
      <c r="BP38" s="5">
        <v>349.8</v>
      </c>
      <c r="BQ38" s="5">
        <v>45.434060000000002</v>
      </c>
      <c r="BR38" s="5">
        <v>128.0085</v>
      </c>
      <c r="BS38" s="5">
        <v>127.242</v>
      </c>
      <c r="BT38" s="5">
        <v>100.1688</v>
      </c>
      <c r="BU38" s="5">
        <v>98.25497</v>
      </c>
      <c r="BV38" s="5">
        <v>0</v>
      </c>
      <c r="BW38" s="5">
        <v>0</v>
      </c>
      <c r="BX38" s="5">
        <v>16.639320000000001</v>
      </c>
      <c r="BY38" s="5">
        <v>18.995360000000002</v>
      </c>
      <c r="BZ38" s="5">
        <v>0</v>
      </c>
      <c r="CA38" s="5">
        <v>0.93506100000000003</v>
      </c>
      <c r="CB38" s="5">
        <v>409.1644</v>
      </c>
      <c r="CC38" s="5">
        <v>415.35289999999998</v>
      </c>
      <c r="CD38" s="5">
        <v>23.639320000000001</v>
      </c>
      <c r="CE38" s="5">
        <v>299.70999999999998</v>
      </c>
      <c r="CF38" s="5">
        <v>69.72</v>
      </c>
      <c r="CG38" s="5">
        <v>84.43</v>
      </c>
      <c r="CH38" s="5">
        <v>289.81</v>
      </c>
      <c r="CI38" s="5">
        <v>289.61</v>
      </c>
      <c r="CJ38" s="5">
        <v>297.73</v>
      </c>
      <c r="CK38" s="5">
        <v>309.5</v>
      </c>
      <c r="CL38" s="5">
        <v>309.77</v>
      </c>
      <c r="CM38" s="5">
        <v>311.76</v>
      </c>
      <c r="CN38" s="5">
        <v>277.52999999999997</v>
      </c>
      <c r="CO38" s="5">
        <v>24.08</v>
      </c>
      <c r="CP38" s="5">
        <v>137.6</v>
      </c>
      <c r="CQ38" s="5">
        <v>138.05000000000001</v>
      </c>
      <c r="CR38" s="5">
        <v>2.5</v>
      </c>
      <c r="CS38" s="5">
        <v>2.5</v>
      </c>
      <c r="CT38" s="5">
        <v>22.31</v>
      </c>
      <c r="CU38" s="5">
        <v>20.87</v>
      </c>
      <c r="CV38" s="5">
        <v>101.78</v>
      </c>
      <c r="CW38" s="5">
        <v>0.85016704399999998</v>
      </c>
      <c r="CX38" s="5">
        <v>3.7237316530000002</v>
      </c>
    </row>
    <row r="39" spans="1:102" x14ac:dyDescent="0.25">
      <c r="A39" s="5">
        <v>28</v>
      </c>
      <c r="B39" s="23">
        <v>8.8680555555555544E-3</v>
      </c>
      <c r="C39" s="5">
        <v>5</v>
      </c>
      <c r="D39" s="5">
        <v>26</v>
      </c>
      <c r="E39" s="5">
        <v>133</v>
      </c>
      <c r="F39" s="5">
        <v>133</v>
      </c>
      <c r="G39" s="5">
        <v>133</v>
      </c>
      <c r="H39" s="5">
        <v>91.7</v>
      </c>
      <c r="I39" s="5">
        <v>91.7</v>
      </c>
      <c r="J39" s="5">
        <v>1800</v>
      </c>
      <c r="K39" s="5">
        <v>29</v>
      </c>
      <c r="L39" s="5">
        <v>29</v>
      </c>
      <c r="M39" s="5">
        <v>0.24</v>
      </c>
      <c r="N39" s="5">
        <v>0.24002000000000001</v>
      </c>
      <c r="O39" s="5">
        <v>1</v>
      </c>
      <c r="P39" s="5">
        <v>1.0688569999999999</v>
      </c>
      <c r="Q39" s="5">
        <v>-1.08</v>
      </c>
      <c r="R39" s="5">
        <v>-1.07666</v>
      </c>
      <c r="S39" s="5">
        <v>115.44</v>
      </c>
      <c r="T39" s="5">
        <v>115.4375</v>
      </c>
      <c r="U39" s="5">
        <v>3.5</v>
      </c>
      <c r="V39" s="5">
        <v>3.5</v>
      </c>
      <c r="W39" s="5">
        <v>300</v>
      </c>
      <c r="X39" s="5">
        <v>300</v>
      </c>
      <c r="Y39" s="5">
        <v>3.5</v>
      </c>
      <c r="Z39" s="5">
        <v>3.5</v>
      </c>
      <c r="AA39" s="5">
        <v>300</v>
      </c>
      <c r="AB39" s="5">
        <v>300</v>
      </c>
      <c r="AC39" s="5">
        <v>0</v>
      </c>
      <c r="AD39" s="5">
        <v>78.942859999999996</v>
      </c>
      <c r="AE39" s="5">
        <v>0</v>
      </c>
      <c r="AF39" s="5">
        <v>86.823130000000006</v>
      </c>
      <c r="AG39" s="5">
        <v>43</v>
      </c>
      <c r="AH39" s="5">
        <v>0.23</v>
      </c>
      <c r="AI39" s="5">
        <v>44.85</v>
      </c>
      <c r="AJ39" s="5">
        <v>55.8</v>
      </c>
      <c r="AK39" s="5">
        <v>36.520000000000003</v>
      </c>
      <c r="AL39" s="5">
        <v>36.65</v>
      </c>
      <c r="AM39" s="5">
        <v>299.92</v>
      </c>
      <c r="AN39" s="5">
        <v>116.0271</v>
      </c>
      <c r="AO39" s="5">
        <v>13.92</v>
      </c>
      <c r="AP39" s="5">
        <v>52.53</v>
      </c>
      <c r="AQ39" s="5">
        <v>22.55</v>
      </c>
      <c r="AR39" s="5">
        <v>329.02</v>
      </c>
      <c r="AS39" s="5">
        <v>22.6</v>
      </c>
      <c r="AT39" s="5">
        <v>55.57</v>
      </c>
      <c r="AU39" s="5">
        <v>98.06</v>
      </c>
      <c r="AV39" s="5">
        <v>115.48</v>
      </c>
      <c r="AW39" s="5">
        <v>0.26700000000000002</v>
      </c>
      <c r="AX39" s="5">
        <v>3.8</v>
      </c>
      <c r="AY39" s="5">
        <v>1.7954000000000001</v>
      </c>
      <c r="AZ39" s="5">
        <v>168.79</v>
      </c>
      <c r="BA39" s="5">
        <v>28.77</v>
      </c>
      <c r="BB39" s="5">
        <v>5.01</v>
      </c>
      <c r="BC39" s="5">
        <v>1.04</v>
      </c>
      <c r="BD39" s="5">
        <v>13.76</v>
      </c>
      <c r="BE39" s="5">
        <v>3.47</v>
      </c>
      <c r="BF39" s="5">
        <v>188.61</v>
      </c>
      <c r="BG39" s="5">
        <v>20.74</v>
      </c>
      <c r="BH39" s="5">
        <v>0.13</v>
      </c>
      <c r="BI39" s="5">
        <v>301.7</v>
      </c>
      <c r="BJ39" s="5">
        <v>43.5</v>
      </c>
      <c r="BK39" s="5">
        <v>86.5</v>
      </c>
      <c r="BL39" s="5">
        <v>86.12</v>
      </c>
      <c r="BM39" s="5">
        <v>1.27</v>
      </c>
      <c r="BN39" s="5">
        <v>29.92</v>
      </c>
      <c r="BO39" s="5">
        <v>33.56</v>
      </c>
      <c r="BP39" s="5">
        <v>336.66</v>
      </c>
      <c r="BQ39" s="5">
        <v>56.911459999999998</v>
      </c>
      <c r="BR39" s="5">
        <v>135.81890000000001</v>
      </c>
      <c r="BS39" s="5">
        <v>132.27359999999999</v>
      </c>
      <c r="BT39" s="5">
        <v>110.6412</v>
      </c>
      <c r="BU39" s="5">
        <v>108.3202</v>
      </c>
      <c r="BV39" s="5">
        <v>0</v>
      </c>
      <c r="BW39" s="5">
        <v>0</v>
      </c>
      <c r="BX39" s="5">
        <v>15.63885</v>
      </c>
      <c r="BY39" s="5">
        <v>18.995360000000002</v>
      </c>
      <c r="BZ39" s="5">
        <v>0</v>
      </c>
      <c r="CA39" s="5">
        <v>0.93506199999999995</v>
      </c>
      <c r="CB39" s="5">
        <v>431.88170000000002</v>
      </c>
      <c r="CC39" s="5">
        <v>437.80709999999999</v>
      </c>
      <c r="CD39" s="5">
        <v>22.637550000000001</v>
      </c>
      <c r="CE39" s="5">
        <v>299.61</v>
      </c>
      <c r="CF39" s="5">
        <v>78.06</v>
      </c>
      <c r="CG39" s="5">
        <v>89.47</v>
      </c>
      <c r="CH39" s="5">
        <v>284.33999999999997</v>
      </c>
      <c r="CI39" s="5">
        <v>280.13</v>
      </c>
      <c r="CJ39" s="5">
        <v>286.58</v>
      </c>
      <c r="CK39" s="5">
        <v>296.91000000000003</v>
      </c>
      <c r="CL39" s="5">
        <v>300.17</v>
      </c>
      <c r="CM39" s="5">
        <v>300.64</v>
      </c>
      <c r="CN39" s="5">
        <v>254.52</v>
      </c>
      <c r="CO39" s="5">
        <v>23.88</v>
      </c>
      <c r="CP39" s="5">
        <v>132.6</v>
      </c>
      <c r="CQ39" s="5">
        <v>133.05000000000001</v>
      </c>
      <c r="CR39" s="5">
        <v>2.4</v>
      </c>
      <c r="CS39" s="5">
        <v>2.4</v>
      </c>
      <c r="CT39" s="5">
        <v>22.19</v>
      </c>
      <c r="CU39" s="5">
        <v>21.23</v>
      </c>
      <c r="CV39" s="5">
        <v>101.78</v>
      </c>
      <c r="CW39" s="5">
        <v>0.84972789900000001</v>
      </c>
      <c r="CX39" s="5">
        <v>2.9485558090000001</v>
      </c>
    </row>
    <row r="40" spans="1:102" x14ac:dyDescent="0.25">
      <c r="A40" s="5">
        <v>8</v>
      </c>
      <c r="B40" s="23">
        <v>5.293981481481482E-3</v>
      </c>
      <c r="C40" s="5">
        <v>5</v>
      </c>
      <c r="D40" s="5">
        <v>8</v>
      </c>
      <c r="E40" s="5">
        <v>75</v>
      </c>
      <c r="F40" s="5">
        <v>75</v>
      </c>
      <c r="G40" s="5">
        <v>75</v>
      </c>
      <c r="H40" s="5">
        <v>91.7</v>
      </c>
      <c r="I40" s="5">
        <v>91.7</v>
      </c>
      <c r="J40" s="5">
        <v>1800</v>
      </c>
      <c r="K40" s="5">
        <v>41</v>
      </c>
      <c r="L40" s="5">
        <v>41</v>
      </c>
      <c r="M40" s="5">
        <v>0.16</v>
      </c>
      <c r="N40" s="5">
        <v>0.15998100000000001</v>
      </c>
      <c r="O40" s="5">
        <v>1</v>
      </c>
      <c r="P40" s="5">
        <v>1.068983</v>
      </c>
      <c r="Q40" s="5">
        <v>-0.27</v>
      </c>
      <c r="R40" s="5">
        <v>-0.27465800000000001</v>
      </c>
      <c r="S40" s="5">
        <v>114.66</v>
      </c>
      <c r="T40" s="5">
        <v>114.6563</v>
      </c>
      <c r="U40" s="5">
        <v>3.5</v>
      </c>
      <c r="V40" s="5">
        <v>3.5</v>
      </c>
      <c r="W40" s="5">
        <v>318.22000000000003</v>
      </c>
      <c r="X40" s="5">
        <v>318</v>
      </c>
      <c r="Y40" s="5">
        <v>0</v>
      </c>
      <c r="Z40" s="5">
        <v>0</v>
      </c>
      <c r="AA40" s="5">
        <v>300</v>
      </c>
      <c r="AB40" s="5">
        <v>300</v>
      </c>
      <c r="AC40" s="5">
        <v>0</v>
      </c>
      <c r="AD40" s="5">
        <v>83.713279999999997</v>
      </c>
      <c r="AE40" s="5">
        <v>0</v>
      </c>
      <c r="AF40" s="5">
        <v>92.070880000000002</v>
      </c>
      <c r="AG40" s="5">
        <v>43</v>
      </c>
      <c r="AH40" s="5">
        <v>0.23</v>
      </c>
      <c r="AI40" s="5">
        <v>45.56</v>
      </c>
      <c r="AJ40" s="5">
        <v>59.22</v>
      </c>
      <c r="AK40" s="5">
        <v>47.61</v>
      </c>
      <c r="AL40" s="5">
        <v>47.9</v>
      </c>
      <c r="AM40" s="5">
        <v>243.44</v>
      </c>
      <c r="AN40" s="5">
        <v>119.4222</v>
      </c>
      <c r="AO40" s="5">
        <v>16.95</v>
      </c>
      <c r="AP40" s="5">
        <v>53.46</v>
      </c>
      <c r="AQ40" s="5">
        <v>25.88</v>
      </c>
      <c r="AR40" s="5">
        <v>359.94</v>
      </c>
      <c r="AS40" s="5">
        <v>30.64</v>
      </c>
      <c r="AT40" s="5">
        <v>44.92</v>
      </c>
      <c r="AU40" s="5">
        <v>95.17</v>
      </c>
      <c r="AV40" s="5">
        <v>116.66</v>
      </c>
      <c r="AW40" s="5">
        <v>0.29299999999999998</v>
      </c>
      <c r="AX40" s="5">
        <v>4.21</v>
      </c>
      <c r="AY40" s="5">
        <v>2.7212999999999998</v>
      </c>
      <c r="AZ40" s="5">
        <v>171.28</v>
      </c>
      <c r="BA40" s="5">
        <v>57.81</v>
      </c>
      <c r="BB40" s="5">
        <v>3.56</v>
      </c>
      <c r="BC40" s="5">
        <v>0.59</v>
      </c>
      <c r="BD40" s="5">
        <v>15.72</v>
      </c>
      <c r="BE40" s="5">
        <v>7.26</v>
      </c>
      <c r="BF40" s="5">
        <v>196.29</v>
      </c>
      <c r="BG40" s="5">
        <v>16.559999999999999</v>
      </c>
      <c r="BH40" s="5">
        <v>0.19</v>
      </c>
      <c r="BI40" s="5">
        <v>405.3</v>
      </c>
      <c r="BJ40" s="5">
        <v>62.8</v>
      </c>
      <c r="BK40" s="5">
        <v>86</v>
      </c>
      <c r="BL40" s="5">
        <v>71.459999999999994</v>
      </c>
      <c r="BM40" s="5">
        <v>1.32</v>
      </c>
      <c r="BN40" s="5">
        <v>29.5</v>
      </c>
      <c r="BO40" s="5">
        <v>32.17</v>
      </c>
      <c r="BP40" s="5">
        <v>365.7</v>
      </c>
      <c r="BQ40" s="5">
        <v>46.905259999999998</v>
      </c>
      <c r="BR40" s="5">
        <v>148.30760000000001</v>
      </c>
      <c r="BS40" s="5">
        <v>151.80289999999999</v>
      </c>
      <c r="BT40" s="5">
        <v>142.43819999999999</v>
      </c>
      <c r="BU40" s="5">
        <v>140.22059999999999</v>
      </c>
      <c r="BV40" s="5">
        <v>0</v>
      </c>
      <c r="BW40" s="5">
        <v>0</v>
      </c>
      <c r="BX40" s="5">
        <v>15.046720000000001</v>
      </c>
      <c r="BY40" s="5">
        <v>18.995360000000002</v>
      </c>
      <c r="BZ40" s="5">
        <v>0</v>
      </c>
      <c r="CA40" s="5">
        <v>0.93344499999999997</v>
      </c>
      <c r="CB40" s="5">
        <v>457.75940000000003</v>
      </c>
      <c r="CC40" s="5">
        <v>462.6069</v>
      </c>
      <c r="CD40" s="5">
        <v>18.546720000000001</v>
      </c>
      <c r="CE40" s="5">
        <v>217.09</v>
      </c>
      <c r="CF40" s="5">
        <v>72.12</v>
      </c>
      <c r="CG40" s="5">
        <v>85.24</v>
      </c>
      <c r="CH40" s="5">
        <v>223.53</v>
      </c>
      <c r="CI40" s="5">
        <v>222.2</v>
      </c>
      <c r="CJ40" s="5">
        <v>226.83</v>
      </c>
      <c r="CK40" s="5">
        <v>232.04</v>
      </c>
      <c r="CL40" s="5">
        <v>232.34</v>
      </c>
      <c r="CM40" s="5">
        <v>223.73</v>
      </c>
      <c r="CN40" s="5">
        <v>198.6</v>
      </c>
      <c r="CO40" s="5">
        <v>22.06</v>
      </c>
      <c r="CP40" s="5">
        <v>74.7</v>
      </c>
      <c r="CQ40" s="5">
        <v>75.05</v>
      </c>
      <c r="CR40" s="5">
        <v>1.3</v>
      </c>
      <c r="CS40" s="5">
        <v>1.3</v>
      </c>
      <c r="CT40" s="5">
        <v>20.21</v>
      </c>
      <c r="CU40" s="5">
        <v>23.94</v>
      </c>
      <c r="CV40" s="5">
        <v>101.8</v>
      </c>
      <c r="CW40" s="5">
        <v>0.86007014000000004</v>
      </c>
      <c r="CX40" s="5">
        <v>6.2441092190000003</v>
      </c>
    </row>
    <row r="41" spans="1:102" x14ac:dyDescent="0.25">
      <c r="A41" s="5">
        <v>6</v>
      </c>
      <c r="B41" s="23">
        <v>3.6114583333333332E-2</v>
      </c>
      <c r="C41" s="5">
        <v>5</v>
      </c>
      <c r="D41" s="5">
        <v>6</v>
      </c>
      <c r="E41" s="5">
        <v>68</v>
      </c>
      <c r="F41" s="5">
        <v>68</v>
      </c>
      <c r="G41" s="5">
        <v>68</v>
      </c>
      <c r="H41" s="5">
        <v>91.7</v>
      </c>
      <c r="I41" s="5">
        <v>91.7</v>
      </c>
      <c r="J41" s="5">
        <v>1800</v>
      </c>
      <c r="K41" s="5">
        <v>4</v>
      </c>
      <c r="L41" s="5">
        <v>4</v>
      </c>
      <c r="M41" s="5">
        <v>0.27</v>
      </c>
      <c r="N41" s="5">
        <v>0.27008599999999999</v>
      </c>
      <c r="O41" s="5">
        <v>1</v>
      </c>
      <c r="P41" s="5">
        <v>1.0689150000000001</v>
      </c>
      <c r="Q41" s="5">
        <v>-0.18</v>
      </c>
      <c r="R41" s="5">
        <v>-0.17578099999999999</v>
      </c>
      <c r="S41" s="5">
        <v>114.54</v>
      </c>
      <c r="T41" s="5">
        <v>114.54689999999999</v>
      </c>
      <c r="U41" s="5">
        <v>3.5</v>
      </c>
      <c r="V41" s="5">
        <v>3.5</v>
      </c>
      <c r="W41" s="5">
        <v>323.32</v>
      </c>
      <c r="X41" s="5">
        <v>323</v>
      </c>
      <c r="Y41" s="5">
        <v>0</v>
      </c>
      <c r="Z41" s="5">
        <v>0</v>
      </c>
      <c r="AA41" s="5">
        <v>300</v>
      </c>
      <c r="AB41" s="5">
        <v>300</v>
      </c>
      <c r="AC41" s="5">
        <v>0</v>
      </c>
      <c r="AD41" s="5">
        <v>71.138120000000001</v>
      </c>
      <c r="AE41" s="5">
        <v>0</v>
      </c>
      <c r="AF41" s="5">
        <v>78.238079999999997</v>
      </c>
      <c r="AG41" s="5">
        <v>43</v>
      </c>
      <c r="AH41" s="5">
        <v>0.23</v>
      </c>
      <c r="AI41" s="5">
        <v>38.9</v>
      </c>
      <c r="AJ41" s="5">
        <v>38.75</v>
      </c>
      <c r="AK41" s="5">
        <v>17.29</v>
      </c>
      <c r="AL41" s="5">
        <v>17.059999999999999</v>
      </c>
      <c r="AM41" s="5">
        <v>239.67</v>
      </c>
      <c r="AN41" s="5">
        <v>101.3339</v>
      </c>
      <c r="AO41" s="5">
        <v>-0.99</v>
      </c>
      <c r="AP41" s="5">
        <v>36.14</v>
      </c>
      <c r="AQ41" s="5">
        <v>6.2</v>
      </c>
      <c r="AR41" s="5">
        <v>287.33999999999997</v>
      </c>
      <c r="AS41" s="5">
        <v>18.27</v>
      </c>
      <c r="AT41" s="5">
        <v>44.97</v>
      </c>
      <c r="AU41" s="5">
        <v>95.51</v>
      </c>
      <c r="AV41" s="5">
        <v>118.62</v>
      </c>
      <c r="AW41" s="5">
        <v>0.316</v>
      </c>
      <c r="AX41" s="5">
        <v>4.57</v>
      </c>
      <c r="AY41" s="5">
        <v>3.2601</v>
      </c>
      <c r="AZ41" s="5">
        <v>300.95999999999998</v>
      </c>
      <c r="BA41" s="5">
        <v>76.650000000000006</v>
      </c>
      <c r="BB41" s="5">
        <v>3.98</v>
      </c>
      <c r="BC41" s="5">
        <v>0.81</v>
      </c>
      <c r="BD41" s="5">
        <v>15.16</v>
      </c>
      <c r="BE41" s="5">
        <v>5.59</v>
      </c>
      <c r="BF41" s="5">
        <v>173.65</v>
      </c>
      <c r="BG41" s="5">
        <v>20.39</v>
      </c>
      <c r="BH41" s="5">
        <v>0.22</v>
      </c>
      <c r="BI41" s="5">
        <v>406.2</v>
      </c>
      <c r="BJ41" s="5">
        <v>55.2</v>
      </c>
      <c r="BK41" s="5">
        <v>84.2</v>
      </c>
      <c r="BL41" s="5">
        <v>73.62</v>
      </c>
      <c r="BM41" s="5">
        <v>1.1299999999999999</v>
      </c>
      <c r="BN41" s="5">
        <v>29.71</v>
      </c>
      <c r="BO41" s="5">
        <v>32.6</v>
      </c>
      <c r="BP41" s="5">
        <v>292.64999999999998</v>
      </c>
      <c r="BQ41" s="5">
        <v>46.906350000000003</v>
      </c>
      <c r="BR41" s="5">
        <v>116.384</v>
      </c>
      <c r="BS41" s="5">
        <v>163.79159999999999</v>
      </c>
      <c r="BT41" s="5">
        <v>142.53219999999999</v>
      </c>
      <c r="BU41" s="5">
        <v>139.60599999999999</v>
      </c>
      <c r="BV41" s="5">
        <v>0</v>
      </c>
      <c r="BW41" s="5">
        <v>0</v>
      </c>
      <c r="BX41" s="5">
        <v>12.26854</v>
      </c>
      <c r="BY41" s="5">
        <v>18.995360000000002</v>
      </c>
      <c r="BZ41" s="5">
        <v>0</v>
      </c>
      <c r="CA41" s="5">
        <v>0.93038900000000002</v>
      </c>
      <c r="CB41" s="5">
        <v>387.04059999999998</v>
      </c>
      <c r="CC41" s="5">
        <v>391.15019999999998</v>
      </c>
      <c r="CD41" s="5">
        <v>15.76854</v>
      </c>
      <c r="CE41" s="5">
        <v>223.14</v>
      </c>
      <c r="CF41" s="5">
        <v>72.16</v>
      </c>
      <c r="CG41" s="5">
        <v>85.86</v>
      </c>
      <c r="CH41" s="5">
        <v>220.17</v>
      </c>
      <c r="CI41" s="5">
        <v>222.18</v>
      </c>
      <c r="CJ41" s="5">
        <v>228.3</v>
      </c>
      <c r="CK41" s="5">
        <v>236.05</v>
      </c>
      <c r="CL41" s="5">
        <v>234.1</v>
      </c>
      <c r="CM41" s="5">
        <v>225.81</v>
      </c>
      <c r="CN41" s="5">
        <v>214.04</v>
      </c>
      <c r="CO41" s="5">
        <v>21.52</v>
      </c>
      <c r="CP41" s="5">
        <v>67.7</v>
      </c>
      <c r="CQ41" s="5">
        <v>68.05</v>
      </c>
      <c r="CR41" s="5">
        <v>1.2</v>
      </c>
      <c r="CS41" s="5">
        <v>1.2</v>
      </c>
      <c r="CT41" s="5">
        <v>20</v>
      </c>
      <c r="CU41" s="5">
        <v>24.04</v>
      </c>
      <c r="CV41" s="5">
        <v>101.8</v>
      </c>
      <c r="CW41" s="5">
        <v>0.85548775200000005</v>
      </c>
      <c r="CX41" s="5">
        <v>4.7821765330000003</v>
      </c>
    </row>
    <row r="42" spans="1:102" x14ac:dyDescent="0.25">
      <c r="A42" s="5">
        <v>42</v>
      </c>
      <c r="B42" s="23">
        <v>4.9340277777777776E-3</v>
      </c>
      <c r="C42" s="5">
        <v>5</v>
      </c>
      <c r="D42" s="5">
        <v>39</v>
      </c>
      <c r="E42" s="5">
        <v>180</v>
      </c>
      <c r="F42" s="5">
        <v>180</v>
      </c>
      <c r="G42" s="5">
        <v>180</v>
      </c>
      <c r="H42" s="5">
        <v>91.7</v>
      </c>
      <c r="I42" s="5">
        <v>91.7</v>
      </c>
      <c r="J42" s="5">
        <v>1800</v>
      </c>
      <c r="K42" s="5">
        <v>21</v>
      </c>
      <c r="L42" s="5">
        <v>21</v>
      </c>
      <c r="M42" s="5">
        <v>0.14000000000000001</v>
      </c>
      <c r="N42" s="5">
        <v>0.139958</v>
      </c>
      <c r="O42" s="5">
        <v>1</v>
      </c>
      <c r="P42" s="5">
        <v>1.068943</v>
      </c>
      <c r="Q42" s="5">
        <v>-1.8</v>
      </c>
      <c r="R42" s="5">
        <v>-1.801758</v>
      </c>
      <c r="S42" s="5">
        <v>116.04</v>
      </c>
      <c r="T42" s="5">
        <v>116.04689999999999</v>
      </c>
      <c r="U42" s="5">
        <v>3.5</v>
      </c>
      <c r="V42" s="5">
        <v>3.5</v>
      </c>
      <c r="W42" s="5">
        <v>300</v>
      </c>
      <c r="X42" s="5">
        <v>300</v>
      </c>
      <c r="Y42" s="5">
        <v>3.5</v>
      </c>
      <c r="Z42" s="5">
        <v>3.5</v>
      </c>
      <c r="AA42" s="5">
        <v>300</v>
      </c>
      <c r="AB42" s="5">
        <v>300</v>
      </c>
      <c r="AC42" s="5">
        <v>0</v>
      </c>
      <c r="AD42" s="5">
        <v>81.545519999999996</v>
      </c>
      <c r="AE42" s="5">
        <v>0</v>
      </c>
      <c r="AF42" s="5">
        <v>89.685419999999993</v>
      </c>
      <c r="AG42" s="5">
        <v>43</v>
      </c>
      <c r="AH42" s="5">
        <v>0.23</v>
      </c>
      <c r="AI42" s="5">
        <v>46.46</v>
      </c>
      <c r="AJ42" s="5">
        <v>60.58</v>
      </c>
      <c r="AK42" s="5">
        <v>40.26</v>
      </c>
      <c r="AL42" s="5">
        <v>41.22</v>
      </c>
      <c r="AM42" s="5">
        <v>348.23</v>
      </c>
      <c r="AN42" s="5">
        <v>118.94589999999999</v>
      </c>
      <c r="AO42" s="5">
        <v>16.86</v>
      </c>
      <c r="AP42" s="5">
        <v>57.08</v>
      </c>
      <c r="AQ42" s="5">
        <v>26.5</v>
      </c>
      <c r="AR42" s="5">
        <v>373.22</v>
      </c>
      <c r="AS42" s="5">
        <v>23.39</v>
      </c>
      <c r="AT42" s="5">
        <v>52.6</v>
      </c>
      <c r="AU42" s="5">
        <v>95.48</v>
      </c>
      <c r="AV42" s="5">
        <v>112.06</v>
      </c>
      <c r="AW42" s="5">
        <v>0.34399999999999997</v>
      </c>
      <c r="AX42" s="5">
        <v>5.0199999999999996</v>
      </c>
      <c r="AY42" s="5">
        <v>3.0670999999999999</v>
      </c>
      <c r="AZ42" s="5">
        <v>154.29</v>
      </c>
      <c r="BA42" s="5">
        <v>8.08</v>
      </c>
      <c r="BB42" s="5">
        <v>5.47</v>
      </c>
      <c r="BC42" s="5">
        <v>0.74</v>
      </c>
      <c r="BD42" s="5">
        <v>13.08</v>
      </c>
      <c r="BE42" s="5">
        <v>3.93</v>
      </c>
      <c r="BF42" s="5">
        <v>257.33</v>
      </c>
      <c r="BG42" s="5">
        <v>13.57</v>
      </c>
      <c r="BH42" s="5">
        <v>0.21</v>
      </c>
      <c r="BI42" s="5">
        <v>273.60000000000002</v>
      </c>
      <c r="BJ42" s="5">
        <v>40.200000000000003</v>
      </c>
      <c r="BK42" s="5">
        <v>87.9</v>
      </c>
      <c r="BL42" s="5">
        <v>58.61</v>
      </c>
      <c r="BM42" s="5">
        <v>1.3</v>
      </c>
      <c r="BN42" s="5">
        <v>29.64</v>
      </c>
      <c r="BO42" s="5">
        <v>33.92</v>
      </c>
      <c r="BP42" s="5">
        <v>382.58</v>
      </c>
      <c r="BQ42" s="5">
        <v>54.42474</v>
      </c>
      <c r="BR42" s="5">
        <v>140.70959999999999</v>
      </c>
      <c r="BS42" s="5">
        <v>104.9093</v>
      </c>
      <c r="BT42" s="5">
        <v>87.815160000000006</v>
      </c>
      <c r="BU42" s="5">
        <v>86.303730000000002</v>
      </c>
      <c r="BV42" s="5">
        <v>0</v>
      </c>
      <c r="BW42" s="5">
        <v>0</v>
      </c>
      <c r="BX42" s="5">
        <v>22.32281</v>
      </c>
      <c r="BY42" s="5">
        <v>18.995360000000002</v>
      </c>
      <c r="BZ42" s="5">
        <v>0</v>
      </c>
      <c r="CA42" s="5">
        <v>0.93506299999999998</v>
      </c>
      <c r="CB42" s="5">
        <v>446.2002</v>
      </c>
      <c r="CC42" s="5">
        <v>453.90440000000001</v>
      </c>
      <c r="CD42" s="5">
        <v>29.32281</v>
      </c>
      <c r="CE42" s="5">
        <v>334.86</v>
      </c>
      <c r="CF42" s="5">
        <v>75.7</v>
      </c>
      <c r="CG42" s="5">
        <v>88.09</v>
      </c>
      <c r="CH42" s="5">
        <v>315.16000000000003</v>
      </c>
      <c r="CI42" s="5">
        <v>313.75</v>
      </c>
      <c r="CJ42" s="5">
        <v>326.22000000000003</v>
      </c>
      <c r="CK42" s="5">
        <v>350.06</v>
      </c>
      <c r="CL42" s="5">
        <v>337.25</v>
      </c>
      <c r="CM42" s="5">
        <v>340.59</v>
      </c>
      <c r="CN42" s="5">
        <v>298.07</v>
      </c>
      <c r="CO42" s="5">
        <v>23.99</v>
      </c>
      <c r="CP42" s="5">
        <v>179.4</v>
      </c>
      <c r="CQ42" s="5">
        <v>180.05</v>
      </c>
      <c r="CR42" s="5">
        <v>3.2</v>
      </c>
      <c r="CS42" s="5">
        <v>3.2</v>
      </c>
      <c r="CT42" s="5">
        <v>23.03</v>
      </c>
      <c r="CU42" s="5">
        <v>20.010000000000002</v>
      </c>
      <c r="CV42" s="5">
        <v>101.69</v>
      </c>
      <c r="CW42" s="5">
        <v>0.84841694000000001</v>
      </c>
      <c r="CX42" s="5">
        <v>3.3342785730000002</v>
      </c>
    </row>
    <row r="43" spans="1:102" x14ac:dyDescent="0.25">
      <c r="A43" s="5">
        <v>32</v>
      </c>
      <c r="B43" s="23">
        <v>3.0569444444444444E-2</v>
      </c>
      <c r="C43" s="5">
        <v>5</v>
      </c>
      <c r="D43" s="5">
        <v>30</v>
      </c>
      <c r="E43" s="5">
        <v>150</v>
      </c>
      <c r="F43" s="5">
        <v>150</v>
      </c>
      <c r="G43" s="5">
        <v>150.1</v>
      </c>
      <c r="H43" s="5">
        <v>91.7</v>
      </c>
      <c r="I43" s="5">
        <v>91.7</v>
      </c>
      <c r="J43" s="5">
        <v>1800</v>
      </c>
      <c r="K43" s="5">
        <v>0.1</v>
      </c>
      <c r="L43" s="5">
        <v>0.1</v>
      </c>
      <c r="M43" s="5">
        <v>0.21</v>
      </c>
      <c r="N43" s="5">
        <v>0.21005699999999999</v>
      </c>
      <c r="O43" s="5">
        <v>1</v>
      </c>
      <c r="P43" s="5">
        <v>1.0688610000000001</v>
      </c>
      <c r="Q43" s="5">
        <v>-1.33</v>
      </c>
      <c r="R43" s="5">
        <v>-1.3293459999999999</v>
      </c>
      <c r="S43" s="5">
        <v>115.63</v>
      </c>
      <c r="T43" s="5">
        <v>115.625</v>
      </c>
      <c r="U43" s="5">
        <v>3.5</v>
      </c>
      <c r="V43" s="5">
        <v>3.5</v>
      </c>
      <c r="W43" s="5">
        <v>300</v>
      </c>
      <c r="X43" s="5">
        <v>300</v>
      </c>
      <c r="Y43" s="5">
        <v>3.5</v>
      </c>
      <c r="Z43" s="5">
        <v>3.5</v>
      </c>
      <c r="AA43" s="5">
        <v>300</v>
      </c>
      <c r="AB43" s="5">
        <v>300</v>
      </c>
      <c r="AC43" s="5">
        <v>0</v>
      </c>
      <c r="AD43" s="5">
        <v>74.229690000000005</v>
      </c>
      <c r="AE43" s="5">
        <v>0</v>
      </c>
      <c r="AF43" s="5">
        <v>81.638490000000004</v>
      </c>
      <c r="AG43" s="5">
        <v>43</v>
      </c>
      <c r="AH43" s="5">
        <v>0.23</v>
      </c>
      <c r="AI43" s="5">
        <v>41.33</v>
      </c>
      <c r="AJ43" s="5">
        <v>46.73</v>
      </c>
      <c r="AK43" s="5">
        <v>23.37</v>
      </c>
      <c r="AL43" s="5">
        <v>23.72</v>
      </c>
      <c r="AM43" s="5">
        <v>327.64999999999998</v>
      </c>
      <c r="AN43" s="5">
        <v>106.0694</v>
      </c>
      <c r="AO43" s="5">
        <v>3.47</v>
      </c>
      <c r="AP43" s="5">
        <v>43.99</v>
      </c>
      <c r="AQ43" s="5">
        <v>11.66</v>
      </c>
      <c r="AR43" s="5">
        <v>318.52</v>
      </c>
      <c r="AS43" s="5">
        <v>19.89</v>
      </c>
      <c r="AT43" s="5">
        <v>46.05</v>
      </c>
      <c r="AU43" s="5">
        <v>96.41</v>
      </c>
      <c r="AV43" s="5">
        <v>119.08</v>
      </c>
      <c r="AW43" s="5">
        <v>0.35</v>
      </c>
      <c r="AX43" s="5">
        <v>5.1100000000000003</v>
      </c>
      <c r="AY43" s="5">
        <v>2.6823999999999999</v>
      </c>
      <c r="AZ43" s="5">
        <v>221.32</v>
      </c>
      <c r="BA43" s="5">
        <v>-7.0000000000000007E-2</v>
      </c>
      <c r="BB43" s="5">
        <v>5.53</v>
      </c>
      <c r="BC43" s="5">
        <v>0.99</v>
      </c>
      <c r="BD43" s="5">
        <v>13.01</v>
      </c>
      <c r="BE43" s="5">
        <v>3.11</v>
      </c>
      <c r="BF43" s="5">
        <v>198.92</v>
      </c>
      <c r="BG43" s="5">
        <v>17.809999999999999</v>
      </c>
      <c r="BH43" s="5">
        <v>0.19</v>
      </c>
      <c r="BI43" s="5">
        <v>286.2</v>
      </c>
      <c r="BJ43" s="5">
        <v>39.4</v>
      </c>
      <c r="BK43" s="5">
        <v>86.4</v>
      </c>
      <c r="BL43" s="5">
        <v>69.03</v>
      </c>
      <c r="BM43" s="5">
        <v>1.18</v>
      </c>
      <c r="BN43" s="5">
        <v>29.87</v>
      </c>
      <c r="BO43" s="5">
        <v>34.03</v>
      </c>
      <c r="BP43" s="5">
        <v>326.64999999999998</v>
      </c>
      <c r="BQ43" s="5">
        <v>48.05912</v>
      </c>
      <c r="BR43" s="5">
        <v>123.4686</v>
      </c>
      <c r="BS43" s="5">
        <v>118.2651</v>
      </c>
      <c r="BT43" s="5">
        <v>91.463200000000001</v>
      </c>
      <c r="BU43" s="5">
        <v>89.953829999999996</v>
      </c>
      <c r="BV43" s="5">
        <v>0</v>
      </c>
      <c r="BW43" s="5">
        <v>0</v>
      </c>
      <c r="BX43" s="5">
        <v>18.594740000000002</v>
      </c>
      <c r="BY43" s="5">
        <v>18.995360000000002</v>
      </c>
      <c r="BZ43" s="5">
        <v>0</v>
      </c>
      <c r="CA43" s="5">
        <v>0.93506</v>
      </c>
      <c r="CB43" s="5">
        <v>405.79149999999998</v>
      </c>
      <c r="CC43" s="5">
        <v>412.50830000000002</v>
      </c>
      <c r="CD43" s="5">
        <v>25.594740000000002</v>
      </c>
      <c r="CE43" s="5">
        <v>325.11</v>
      </c>
      <c r="CF43" s="5">
        <v>73.05</v>
      </c>
      <c r="CG43" s="5">
        <v>85.87</v>
      </c>
      <c r="CH43" s="5">
        <v>303.11</v>
      </c>
      <c r="CI43" s="5">
        <v>297.7</v>
      </c>
      <c r="CJ43" s="5">
        <v>308.04000000000002</v>
      </c>
      <c r="CK43" s="5">
        <v>323.22000000000003</v>
      </c>
      <c r="CL43" s="5">
        <v>323.68</v>
      </c>
      <c r="CM43" s="5">
        <v>325.62</v>
      </c>
      <c r="CN43" s="5">
        <v>289.89999999999998</v>
      </c>
      <c r="CO43" s="5">
        <v>24.59</v>
      </c>
      <c r="CP43" s="5">
        <v>149.6</v>
      </c>
      <c r="CQ43" s="5">
        <v>150.05000000000001</v>
      </c>
      <c r="CR43" s="5">
        <v>2.7</v>
      </c>
      <c r="CS43" s="5">
        <v>2.7</v>
      </c>
      <c r="CT43" s="5">
        <v>22.68</v>
      </c>
      <c r="CU43" s="5">
        <v>20.61</v>
      </c>
      <c r="CV43" s="5">
        <v>101.77</v>
      </c>
      <c r="CW43" s="5">
        <v>0.84647317</v>
      </c>
      <c r="CX43" s="5">
        <v>2.6325315599999999</v>
      </c>
    </row>
    <row r="44" spans="1:102" x14ac:dyDescent="0.25">
      <c r="A44" s="5">
        <v>39</v>
      </c>
      <c r="B44" s="23">
        <v>3.0335648148148143E-2</v>
      </c>
      <c r="C44" s="5">
        <v>5</v>
      </c>
      <c r="D44" s="5">
        <v>36</v>
      </c>
      <c r="E44" s="5">
        <v>168</v>
      </c>
      <c r="F44" s="5">
        <v>168</v>
      </c>
      <c r="G44" s="5">
        <v>168</v>
      </c>
      <c r="H44" s="5">
        <v>91.7</v>
      </c>
      <c r="I44" s="5">
        <v>91.7</v>
      </c>
      <c r="J44" s="5">
        <v>1800</v>
      </c>
      <c r="K44" s="5">
        <v>23</v>
      </c>
      <c r="L44" s="5">
        <v>23</v>
      </c>
      <c r="M44" s="5">
        <v>0.09</v>
      </c>
      <c r="N44" s="5">
        <v>8.9993000000000004E-2</v>
      </c>
      <c r="O44" s="5">
        <v>1</v>
      </c>
      <c r="P44" s="5">
        <v>1.068953</v>
      </c>
      <c r="Q44" s="5">
        <v>-1.61</v>
      </c>
      <c r="R44" s="5">
        <v>-1.6149899999999999</v>
      </c>
      <c r="S44" s="5">
        <v>115.88</v>
      </c>
      <c r="T44" s="5">
        <v>115.875</v>
      </c>
      <c r="U44" s="5">
        <v>3.5</v>
      </c>
      <c r="V44" s="5">
        <v>3.5</v>
      </c>
      <c r="W44" s="5">
        <v>300</v>
      </c>
      <c r="X44" s="5">
        <v>300</v>
      </c>
      <c r="Y44" s="5">
        <v>3.5</v>
      </c>
      <c r="Z44" s="5">
        <v>3.5</v>
      </c>
      <c r="AA44" s="5">
        <v>300</v>
      </c>
      <c r="AB44" s="5">
        <v>300</v>
      </c>
      <c r="AC44" s="5">
        <v>0</v>
      </c>
      <c r="AD44" s="5">
        <v>84.480360000000005</v>
      </c>
      <c r="AE44" s="5">
        <v>0</v>
      </c>
      <c r="AF44" s="5">
        <v>92.912710000000004</v>
      </c>
      <c r="AG44" s="5">
        <v>43</v>
      </c>
      <c r="AH44" s="5">
        <v>0.23</v>
      </c>
      <c r="AI44" s="5">
        <v>46.53</v>
      </c>
      <c r="AJ44" s="5">
        <v>62.45</v>
      </c>
      <c r="AK44" s="5">
        <v>43.39</v>
      </c>
      <c r="AL44" s="5">
        <v>44.82</v>
      </c>
      <c r="AM44" s="5">
        <v>325.11</v>
      </c>
      <c r="AN44" s="5">
        <v>119.05880000000001</v>
      </c>
      <c r="AO44" s="5">
        <v>16.2</v>
      </c>
      <c r="AP44" s="5">
        <v>57.83</v>
      </c>
      <c r="AQ44" s="5">
        <v>26.55</v>
      </c>
      <c r="AR44" s="5">
        <v>398.98</v>
      </c>
      <c r="AS44" s="5">
        <v>27.2</v>
      </c>
      <c r="AT44" s="5">
        <v>40.56</v>
      </c>
      <c r="AU44" s="5">
        <v>94.22</v>
      </c>
      <c r="AV44" s="5">
        <v>113.08</v>
      </c>
      <c r="AW44" s="5">
        <v>0.23699999999999999</v>
      </c>
      <c r="AX44" s="5">
        <v>3.35</v>
      </c>
      <c r="AY44" s="5">
        <v>1.9992000000000001</v>
      </c>
      <c r="AZ44" s="5">
        <v>145.91</v>
      </c>
      <c r="BA44" s="5">
        <v>24.17</v>
      </c>
      <c r="BB44" s="5">
        <v>4.84</v>
      </c>
      <c r="BC44" s="5">
        <v>0.44</v>
      </c>
      <c r="BD44" s="5">
        <v>13.95</v>
      </c>
      <c r="BE44" s="5">
        <v>4.68</v>
      </c>
      <c r="BF44" s="5">
        <v>263.60000000000002</v>
      </c>
      <c r="BG44" s="5">
        <v>9.1999999999999993</v>
      </c>
      <c r="BH44" s="5">
        <v>0.14000000000000001</v>
      </c>
      <c r="BI44" s="5">
        <v>278.10000000000002</v>
      </c>
      <c r="BJ44" s="5">
        <v>45.3</v>
      </c>
      <c r="BK44" s="5">
        <v>87.4</v>
      </c>
      <c r="BL44" s="5">
        <v>40.42</v>
      </c>
      <c r="BM44" s="5">
        <v>1.33</v>
      </c>
      <c r="BN44" s="5">
        <v>29.38</v>
      </c>
      <c r="BO44" s="5">
        <v>33.380000000000003</v>
      </c>
      <c r="BP44" s="5">
        <v>407.82</v>
      </c>
      <c r="BQ44" s="5">
        <v>42.942239999999998</v>
      </c>
      <c r="BR44" s="5">
        <v>145.85120000000001</v>
      </c>
      <c r="BS44" s="5">
        <v>110.7085</v>
      </c>
      <c r="BT44" s="5">
        <v>96.617130000000003</v>
      </c>
      <c r="BU44" s="5">
        <v>94.759709999999998</v>
      </c>
      <c r="BV44" s="5">
        <v>0</v>
      </c>
      <c r="BW44" s="5">
        <v>0</v>
      </c>
      <c r="BX44" s="5">
        <v>20.709430000000001</v>
      </c>
      <c r="BY44" s="5">
        <v>18.995360000000002</v>
      </c>
      <c r="BZ44" s="5">
        <v>0</v>
      </c>
      <c r="CA44" s="5">
        <v>0.93506999999999996</v>
      </c>
      <c r="CB44" s="5">
        <v>462.77620000000002</v>
      </c>
      <c r="CC44" s="5">
        <v>470.03750000000002</v>
      </c>
      <c r="CD44" s="5">
        <v>27.707550000000001</v>
      </c>
      <c r="CE44" s="5">
        <v>297.48</v>
      </c>
      <c r="CF44" s="5">
        <v>66.349999999999994</v>
      </c>
      <c r="CG44" s="5">
        <v>82.55</v>
      </c>
      <c r="CH44" s="5">
        <v>302.87</v>
      </c>
      <c r="CI44" s="5">
        <v>299.3</v>
      </c>
      <c r="CJ44" s="5">
        <v>308.45999999999998</v>
      </c>
      <c r="CK44" s="5">
        <v>322.08999999999997</v>
      </c>
      <c r="CL44" s="5">
        <v>314</v>
      </c>
      <c r="CM44" s="5">
        <v>317.49</v>
      </c>
      <c r="CN44" s="5">
        <v>276.99</v>
      </c>
      <c r="CO44" s="5">
        <v>25.23</v>
      </c>
      <c r="CP44" s="5">
        <v>167.5</v>
      </c>
      <c r="CQ44" s="5">
        <v>168.05</v>
      </c>
      <c r="CR44" s="5">
        <v>3</v>
      </c>
      <c r="CS44" s="5">
        <v>3</v>
      </c>
      <c r="CT44" s="5">
        <v>23.29</v>
      </c>
      <c r="CU44" s="5">
        <v>19.97</v>
      </c>
      <c r="CV44" s="5">
        <v>101.71</v>
      </c>
      <c r="CW44" s="5">
        <v>0.85291866199999999</v>
      </c>
      <c r="CX44" s="5">
        <v>3.9916593360000001</v>
      </c>
    </row>
    <row r="45" spans="1:102" x14ac:dyDescent="0.25">
      <c r="A45" s="5">
        <v>22</v>
      </c>
      <c r="B45" s="23">
        <v>1.511574074074074E-2</v>
      </c>
      <c r="C45" s="5">
        <v>5</v>
      </c>
      <c r="D45" s="5">
        <v>21</v>
      </c>
      <c r="E45" s="5">
        <v>119</v>
      </c>
      <c r="F45" s="5">
        <v>119</v>
      </c>
      <c r="G45" s="5">
        <v>119</v>
      </c>
      <c r="H45" s="5">
        <v>91.7</v>
      </c>
      <c r="I45" s="5">
        <v>91.7</v>
      </c>
      <c r="J45" s="5">
        <v>1800</v>
      </c>
      <c r="K45" s="5">
        <v>76</v>
      </c>
      <c r="L45" s="5">
        <v>76</v>
      </c>
      <c r="M45" s="5">
        <v>0.18</v>
      </c>
      <c r="N45" s="5">
        <v>0.180031</v>
      </c>
      <c r="O45" s="5">
        <v>1</v>
      </c>
      <c r="P45" s="5">
        <v>1.068899</v>
      </c>
      <c r="Q45" s="5">
        <v>-0.86</v>
      </c>
      <c r="R45" s="5">
        <v>-0.85693399999999997</v>
      </c>
      <c r="S45" s="5">
        <v>115.28</v>
      </c>
      <c r="T45" s="5">
        <v>115.2813</v>
      </c>
      <c r="U45" s="5">
        <v>3.5</v>
      </c>
      <c r="V45" s="5">
        <v>3.5</v>
      </c>
      <c r="W45" s="5">
        <v>300</v>
      </c>
      <c r="X45" s="5">
        <v>300</v>
      </c>
      <c r="Y45" s="5">
        <v>3.5</v>
      </c>
      <c r="Z45" s="5">
        <v>3.5</v>
      </c>
      <c r="AA45" s="5">
        <v>300</v>
      </c>
      <c r="AB45" s="5">
        <v>300</v>
      </c>
      <c r="AC45" s="5">
        <v>0</v>
      </c>
      <c r="AD45" s="5">
        <v>104.9556</v>
      </c>
      <c r="AE45" s="5">
        <v>0</v>
      </c>
      <c r="AF45" s="5">
        <v>115.43770000000001</v>
      </c>
      <c r="AG45" s="5">
        <v>43</v>
      </c>
      <c r="AH45" s="5">
        <v>0.23</v>
      </c>
      <c r="AI45" s="5">
        <v>59.64</v>
      </c>
      <c r="AJ45" s="5">
        <v>81.52</v>
      </c>
      <c r="AK45" s="5">
        <v>166</v>
      </c>
      <c r="AL45" s="5">
        <v>164.88</v>
      </c>
      <c r="AM45" s="5">
        <v>329.04</v>
      </c>
      <c r="AN45" s="5">
        <v>159.95429999999999</v>
      </c>
      <c r="AO45" s="5">
        <v>58.41</v>
      </c>
      <c r="AP45" s="5">
        <v>88.54</v>
      </c>
      <c r="AQ45" s="5">
        <v>67.69</v>
      </c>
      <c r="AR45" s="5">
        <v>370.07</v>
      </c>
      <c r="AS45" s="5">
        <v>107.59</v>
      </c>
      <c r="AT45" s="5">
        <v>67.41</v>
      </c>
      <c r="AU45" s="5">
        <v>111.23</v>
      </c>
      <c r="AV45" s="5">
        <v>110.74</v>
      </c>
      <c r="AW45" s="5">
        <v>0.52600000000000002</v>
      </c>
      <c r="AX45" s="5">
        <v>8.1199999999999992</v>
      </c>
      <c r="AY45" s="5">
        <v>4.2473999999999998</v>
      </c>
      <c r="AZ45" s="5">
        <v>129.94</v>
      </c>
      <c r="BA45" s="5">
        <v>29.88</v>
      </c>
      <c r="BB45" s="5">
        <v>5.26</v>
      </c>
      <c r="BC45" s="5">
        <v>1.7</v>
      </c>
      <c r="BD45" s="5">
        <v>13.42</v>
      </c>
      <c r="BE45" s="5">
        <v>3.01</v>
      </c>
      <c r="BF45" s="5">
        <v>130.91</v>
      </c>
      <c r="BG45" s="5">
        <v>32.229999999999997</v>
      </c>
      <c r="BH45" s="5">
        <v>0.28999999999999998</v>
      </c>
      <c r="BI45" s="5">
        <v>393.1</v>
      </c>
      <c r="BJ45" s="5">
        <v>41.9</v>
      </c>
      <c r="BK45" s="5">
        <v>83.5</v>
      </c>
      <c r="BL45" s="5">
        <v>175.95</v>
      </c>
      <c r="BM45" s="5">
        <v>1.73</v>
      </c>
      <c r="BN45" s="5">
        <v>30.5</v>
      </c>
      <c r="BO45" s="5">
        <v>33.72</v>
      </c>
      <c r="BP45" s="5">
        <v>378.8</v>
      </c>
      <c r="BQ45" s="5">
        <v>66.114900000000006</v>
      </c>
      <c r="BR45" s="5">
        <v>261.41219999999998</v>
      </c>
      <c r="BS45" s="5">
        <v>112.1232</v>
      </c>
      <c r="BT45" s="5">
        <v>122.5817</v>
      </c>
      <c r="BU45" s="5">
        <v>120.3535</v>
      </c>
      <c r="BV45" s="5">
        <v>0</v>
      </c>
      <c r="BW45" s="5">
        <v>0</v>
      </c>
      <c r="BX45" s="5">
        <v>20.310469999999999</v>
      </c>
      <c r="BY45" s="5">
        <v>18.995360000000002</v>
      </c>
      <c r="BZ45" s="5">
        <v>0</v>
      </c>
      <c r="CA45" s="5">
        <v>0.93506500000000004</v>
      </c>
      <c r="CB45" s="5">
        <v>579.35479999999995</v>
      </c>
      <c r="CC45" s="5">
        <v>586.5181</v>
      </c>
      <c r="CD45" s="5">
        <v>27.310469999999999</v>
      </c>
      <c r="CE45" s="5">
        <v>320.37</v>
      </c>
      <c r="CF45" s="5">
        <v>88.95</v>
      </c>
      <c r="CG45" s="5">
        <v>104.98</v>
      </c>
      <c r="CH45" s="5">
        <v>316.91000000000003</v>
      </c>
      <c r="CI45" s="5">
        <v>308.62</v>
      </c>
      <c r="CJ45" s="5">
        <v>315.66000000000003</v>
      </c>
      <c r="CK45" s="5">
        <v>322.64</v>
      </c>
      <c r="CL45" s="5">
        <v>322.75</v>
      </c>
      <c r="CM45" s="5">
        <v>323.7</v>
      </c>
      <c r="CN45" s="5">
        <v>238.69</v>
      </c>
      <c r="CO45" s="5">
        <v>24.08</v>
      </c>
      <c r="CP45" s="5">
        <v>118.6</v>
      </c>
      <c r="CQ45" s="5">
        <v>119.05</v>
      </c>
      <c r="CR45" s="5">
        <v>2.1</v>
      </c>
      <c r="CS45" s="5">
        <v>2.1</v>
      </c>
      <c r="CT45" s="5">
        <v>21.81</v>
      </c>
      <c r="CU45" s="5">
        <v>22.12</v>
      </c>
      <c r="CV45" s="5">
        <v>101.8</v>
      </c>
      <c r="CW45" s="5">
        <v>0.84822499200000001</v>
      </c>
      <c r="CX45" s="5">
        <v>2.5531572250000001</v>
      </c>
    </row>
    <row r="46" spans="1:102" x14ac:dyDescent="0.25">
      <c r="A46" s="5">
        <v>40</v>
      </c>
      <c r="B46" s="23">
        <v>3.5756944444444445E-2</v>
      </c>
      <c r="C46" s="5">
        <v>5</v>
      </c>
      <c r="D46" s="5">
        <v>37</v>
      </c>
      <c r="E46" s="5">
        <v>171</v>
      </c>
      <c r="F46" s="5">
        <v>171</v>
      </c>
      <c r="G46" s="5">
        <v>171</v>
      </c>
      <c r="H46" s="5">
        <v>91.7</v>
      </c>
      <c r="I46" s="5">
        <v>91.7</v>
      </c>
      <c r="J46" s="5">
        <v>1800</v>
      </c>
      <c r="K46" s="5">
        <v>57</v>
      </c>
      <c r="L46" s="5">
        <v>57</v>
      </c>
      <c r="M46" s="5">
        <v>0.28999999999999998</v>
      </c>
      <c r="N46" s="5">
        <v>0.290047</v>
      </c>
      <c r="O46" s="5">
        <v>1</v>
      </c>
      <c r="P46" s="5">
        <v>1.0689150000000001</v>
      </c>
      <c r="Q46" s="5">
        <v>-1.66</v>
      </c>
      <c r="R46" s="5">
        <v>-1.658936</v>
      </c>
      <c r="S46" s="5">
        <v>115.92</v>
      </c>
      <c r="T46" s="5">
        <v>115.92189999999999</v>
      </c>
      <c r="U46" s="5">
        <v>3.5</v>
      </c>
      <c r="V46" s="5">
        <v>3.5</v>
      </c>
      <c r="W46" s="5">
        <v>300</v>
      </c>
      <c r="X46" s="5">
        <v>300</v>
      </c>
      <c r="Y46" s="5">
        <v>3.5</v>
      </c>
      <c r="Z46" s="5">
        <v>3.5</v>
      </c>
      <c r="AA46" s="5">
        <v>300</v>
      </c>
      <c r="AB46" s="5">
        <v>300</v>
      </c>
      <c r="AC46" s="5">
        <v>0</v>
      </c>
      <c r="AD46" s="5">
        <v>94.294899999999998</v>
      </c>
      <c r="AE46" s="5">
        <v>0</v>
      </c>
      <c r="AF46" s="5">
        <v>103.7102</v>
      </c>
      <c r="AG46" s="5">
        <v>43</v>
      </c>
      <c r="AH46" s="5">
        <v>0.23</v>
      </c>
      <c r="AI46" s="5">
        <v>53.47</v>
      </c>
      <c r="AJ46" s="5">
        <v>71.180000000000007</v>
      </c>
      <c r="AK46" s="5">
        <v>76.58</v>
      </c>
      <c r="AL46" s="5">
        <v>75.7</v>
      </c>
      <c r="AM46" s="5">
        <v>326.16000000000003</v>
      </c>
      <c r="AN46" s="5">
        <v>139.9477</v>
      </c>
      <c r="AO46" s="5">
        <v>37.840000000000003</v>
      </c>
      <c r="AP46" s="5">
        <v>73.239999999999995</v>
      </c>
      <c r="AQ46" s="5">
        <v>46.73</v>
      </c>
      <c r="AR46" s="5">
        <v>346.34</v>
      </c>
      <c r="AS46" s="5">
        <v>38.729999999999997</v>
      </c>
      <c r="AT46" s="5">
        <v>59.14</v>
      </c>
      <c r="AU46" s="5">
        <v>107.45</v>
      </c>
      <c r="AV46" s="5">
        <v>116.4</v>
      </c>
      <c r="AW46" s="5">
        <v>0.626</v>
      </c>
      <c r="AX46" s="5">
        <v>9.9700000000000006</v>
      </c>
      <c r="AY46" s="5">
        <v>5.0838000000000001</v>
      </c>
      <c r="AZ46" s="5">
        <v>191.72</v>
      </c>
      <c r="BA46" s="5">
        <v>21.35</v>
      </c>
      <c r="BB46" s="5">
        <v>5.8</v>
      </c>
      <c r="BC46" s="5">
        <v>1.71</v>
      </c>
      <c r="BD46" s="5">
        <v>12.65</v>
      </c>
      <c r="BE46" s="5">
        <v>1.94</v>
      </c>
      <c r="BF46" s="5">
        <v>130.9</v>
      </c>
      <c r="BG46" s="5">
        <v>29.53</v>
      </c>
      <c r="BH46" s="5">
        <v>0.34</v>
      </c>
      <c r="BI46" s="5">
        <v>287.7</v>
      </c>
      <c r="BJ46" s="5">
        <v>37.299999999999997</v>
      </c>
      <c r="BK46" s="5">
        <v>84.1</v>
      </c>
      <c r="BL46" s="5">
        <v>145.18</v>
      </c>
      <c r="BM46" s="5">
        <v>1.54</v>
      </c>
      <c r="BN46" s="5">
        <v>30.54</v>
      </c>
      <c r="BO46" s="5">
        <v>34.29</v>
      </c>
      <c r="BP46" s="5">
        <v>355.71</v>
      </c>
      <c r="BQ46" s="5">
        <v>58.632710000000003</v>
      </c>
      <c r="BR46" s="5">
        <v>170.96440000000001</v>
      </c>
      <c r="BS46" s="5">
        <v>105.9147</v>
      </c>
      <c r="BT46" s="5">
        <v>103.16549999999999</v>
      </c>
      <c r="BU46" s="5">
        <v>101.22969999999999</v>
      </c>
      <c r="BV46" s="5">
        <v>0</v>
      </c>
      <c r="BW46" s="5">
        <v>0</v>
      </c>
      <c r="BX46" s="5">
        <v>22.045680000000001</v>
      </c>
      <c r="BY46" s="5">
        <v>18.995360000000002</v>
      </c>
      <c r="BZ46" s="5">
        <v>0</v>
      </c>
      <c r="CA46" s="5">
        <v>0.93506699999999998</v>
      </c>
      <c r="CB46" s="5">
        <v>518.27499999999998</v>
      </c>
      <c r="CC46" s="5">
        <v>525.89829999999995</v>
      </c>
      <c r="CD46" s="5">
        <v>29.045680000000001</v>
      </c>
      <c r="CE46" s="5">
        <v>327.01</v>
      </c>
      <c r="CF46" s="5">
        <v>84.58</v>
      </c>
      <c r="CG46" s="5">
        <v>100.62</v>
      </c>
      <c r="CH46" s="5">
        <v>303.07</v>
      </c>
      <c r="CI46" s="5">
        <v>303.61</v>
      </c>
      <c r="CJ46" s="5">
        <v>311.39</v>
      </c>
      <c r="CK46" s="5">
        <v>329.46</v>
      </c>
      <c r="CL46" s="5">
        <v>320.70999999999998</v>
      </c>
      <c r="CM46" s="5">
        <v>323.66000000000003</v>
      </c>
      <c r="CN46" s="5">
        <v>258.14</v>
      </c>
      <c r="CO46" s="5">
        <v>25.55</v>
      </c>
      <c r="CP46" s="5">
        <v>170.5</v>
      </c>
      <c r="CQ46" s="5">
        <v>171.05</v>
      </c>
      <c r="CR46" s="5">
        <v>3.1</v>
      </c>
      <c r="CS46" s="5">
        <v>3.1</v>
      </c>
      <c r="CT46" s="5">
        <v>23.27</v>
      </c>
      <c r="CU46" s="5">
        <v>19.690000000000001</v>
      </c>
      <c r="CV46" s="5">
        <v>101.71</v>
      </c>
      <c r="CW46" s="5">
        <v>0.84515625999999999</v>
      </c>
      <c r="CX46" s="5">
        <v>1.6396031440000001</v>
      </c>
    </row>
    <row r="47" spans="1:102" x14ac:dyDescent="0.25">
      <c r="A47" s="5">
        <v>44</v>
      </c>
      <c r="B47" s="23">
        <v>1.5777777777777776E-2</v>
      </c>
      <c r="C47" s="5">
        <v>5</v>
      </c>
      <c r="D47" s="5">
        <v>41</v>
      </c>
      <c r="E47" s="5">
        <v>187</v>
      </c>
      <c r="F47" s="5">
        <v>187</v>
      </c>
      <c r="G47" s="5">
        <v>187.1</v>
      </c>
      <c r="H47" s="5">
        <v>91.7</v>
      </c>
      <c r="I47" s="5">
        <v>91.7</v>
      </c>
      <c r="J47" s="5">
        <v>1800</v>
      </c>
      <c r="K47" s="5">
        <v>62</v>
      </c>
      <c r="L47" s="5">
        <v>62</v>
      </c>
      <c r="M47" s="5">
        <v>0.28000000000000003</v>
      </c>
      <c r="N47" s="5">
        <v>0.28009000000000001</v>
      </c>
      <c r="O47" s="5">
        <v>1</v>
      </c>
      <c r="P47" s="5">
        <v>1.068932</v>
      </c>
      <c r="Q47" s="5">
        <v>-1.91</v>
      </c>
      <c r="R47" s="5">
        <v>-1.911621</v>
      </c>
      <c r="S47" s="5">
        <v>116.14</v>
      </c>
      <c r="T47" s="5">
        <v>116.14060000000001</v>
      </c>
      <c r="U47" s="5">
        <v>3.5</v>
      </c>
      <c r="V47" s="5">
        <v>3.5</v>
      </c>
      <c r="W47" s="5">
        <v>300</v>
      </c>
      <c r="X47" s="5">
        <v>300</v>
      </c>
      <c r="Y47" s="5">
        <v>3.5</v>
      </c>
      <c r="Z47" s="5">
        <v>3.5</v>
      </c>
      <c r="AA47" s="5">
        <v>300</v>
      </c>
      <c r="AB47" s="5">
        <v>300</v>
      </c>
      <c r="AC47" s="5">
        <v>0</v>
      </c>
      <c r="AD47" s="5">
        <v>96.78407</v>
      </c>
      <c r="AE47" s="5">
        <v>0</v>
      </c>
      <c r="AF47" s="5">
        <v>106.44799999999999</v>
      </c>
      <c r="AG47" s="5">
        <v>43</v>
      </c>
      <c r="AH47" s="5">
        <v>0.23</v>
      </c>
      <c r="AI47" s="5">
        <v>55.78</v>
      </c>
      <c r="AJ47" s="5">
        <v>75.209999999999994</v>
      </c>
      <c r="AK47" s="5">
        <v>91.99</v>
      </c>
      <c r="AL47" s="5">
        <v>90.69</v>
      </c>
      <c r="AM47" s="5">
        <v>349.59</v>
      </c>
      <c r="AN47" s="5">
        <v>147.19049999999999</v>
      </c>
      <c r="AO47" s="5">
        <v>45.75</v>
      </c>
      <c r="AP47" s="5">
        <v>80.900000000000006</v>
      </c>
      <c r="AQ47" s="5">
        <v>54.63</v>
      </c>
      <c r="AR47" s="5">
        <v>351.03</v>
      </c>
      <c r="AS47" s="5">
        <v>46.23</v>
      </c>
      <c r="AT47" s="5">
        <v>67.63</v>
      </c>
      <c r="AU47" s="5">
        <v>111.33</v>
      </c>
      <c r="AV47" s="5">
        <v>114.09</v>
      </c>
      <c r="AW47" s="5">
        <v>0.86699999999999999</v>
      </c>
      <c r="AX47" s="5">
        <v>14.85</v>
      </c>
      <c r="AY47" s="5">
        <v>8.1859000000000002</v>
      </c>
      <c r="AZ47" s="5">
        <v>203.38</v>
      </c>
      <c r="BA47" s="5">
        <v>11.25</v>
      </c>
      <c r="BB47" s="5">
        <v>6.27</v>
      </c>
      <c r="BC47" s="5">
        <v>1.97</v>
      </c>
      <c r="BD47" s="5">
        <v>11.96</v>
      </c>
      <c r="BE47" s="5">
        <v>1.64</v>
      </c>
      <c r="BF47" s="5">
        <v>120.34</v>
      </c>
      <c r="BG47" s="5">
        <v>31.34</v>
      </c>
      <c r="BH47" s="5">
        <v>0.52</v>
      </c>
      <c r="BI47" s="5">
        <v>285.8</v>
      </c>
      <c r="BJ47" s="5">
        <v>34.9</v>
      </c>
      <c r="BK47" s="5">
        <v>84.4</v>
      </c>
      <c r="BL47" s="5">
        <v>160.30000000000001</v>
      </c>
      <c r="BM47" s="5">
        <v>1.6</v>
      </c>
      <c r="BN47" s="5">
        <v>30.75</v>
      </c>
      <c r="BO47" s="5">
        <v>34.659999999999997</v>
      </c>
      <c r="BP47" s="5">
        <v>361.32</v>
      </c>
      <c r="BQ47" s="5">
        <v>66.517650000000003</v>
      </c>
      <c r="BR47" s="5">
        <v>184.95330000000001</v>
      </c>
      <c r="BS47" s="5">
        <v>98.983140000000006</v>
      </c>
      <c r="BT47" s="5">
        <v>95.884950000000003</v>
      </c>
      <c r="BU47" s="5">
        <v>94.257210000000001</v>
      </c>
      <c r="BV47" s="5">
        <v>0</v>
      </c>
      <c r="BW47" s="5">
        <v>0</v>
      </c>
      <c r="BX47" s="5">
        <v>25.039480000000001</v>
      </c>
      <c r="BY47" s="5">
        <v>18.995360000000002</v>
      </c>
      <c r="BZ47" s="5">
        <v>0</v>
      </c>
      <c r="CA47" s="5">
        <v>0.93509100000000001</v>
      </c>
      <c r="CB47" s="5">
        <v>532.524</v>
      </c>
      <c r="CC47" s="5">
        <v>540.93979999999999</v>
      </c>
      <c r="CD47" s="5">
        <v>32.037709999999997</v>
      </c>
      <c r="CE47" s="5">
        <v>346.62</v>
      </c>
      <c r="CF47" s="5">
        <v>90.19</v>
      </c>
      <c r="CG47" s="5">
        <v>105.39</v>
      </c>
      <c r="CH47" s="5">
        <v>328.45</v>
      </c>
      <c r="CI47" s="5">
        <v>324.02</v>
      </c>
      <c r="CJ47" s="5">
        <v>331.74</v>
      </c>
      <c r="CK47" s="5">
        <v>353.6</v>
      </c>
      <c r="CL47" s="5">
        <v>341.81</v>
      </c>
      <c r="CM47" s="5">
        <v>340.74</v>
      </c>
      <c r="CN47" s="5">
        <v>272.01</v>
      </c>
      <c r="CO47" s="5">
        <v>25.38</v>
      </c>
      <c r="CP47" s="5">
        <v>186.5</v>
      </c>
      <c r="CQ47" s="5">
        <v>187.05</v>
      </c>
      <c r="CR47" s="5">
        <v>3.3</v>
      </c>
      <c r="CS47" s="5">
        <v>3.4</v>
      </c>
      <c r="CT47" s="5">
        <v>23.12</v>
      </c>
      <c r="CU47" s="5">
        <v>18.3</v>
      </c>
      <c r="CV47" s="5">
        <v>101.69</v>
      </c>
      <c r="CW47" s="5">
        <v>0.83947230699999997</v>
      </c>
      <c r="CX47" s="5">
        <v>1.376734583</v>
      </c>
    </row>
    <row r="48" spans="1:102" x14ac:dyDescent="0.25">
      <c r="A48" s="5">
        <v>18</v>
      </c>
      <c r="B48" s="23">
        <v>4.1532407407407407E-2</v>
      </c>
      <c r="C48" s="5">
        <v>6</v>
      </c>
      <c r="D48" s="5">
        <v>11</v>
      </c>
      <c r="E48" s="5">
        <v>236</v>
      </c>
      <c r="F48" s="5">
        <v>236</v>
      </c>
      <c r="G48" s="5">
        <v>236</v>
      </c>
      <c r="H48" s="5">
        <v>91.7</v>
      </c>
      <c r="I48" s="5">
        <v>91.7</v>
      </c>
      <c r="J48" s="5">
        <v>1800</v>
      </c>
      <c r="K48" s="5">
        <v>65</v>
      </c>
      <c r="L48" s="5">
        <v>65</v>
      </c>
      <c r="M48" s="5">
        <v>0.09</v>
      </c>
      <c r="N48" s="5">
        <v>9.0051999999999993E-2</v>
      </c>
      <c r="O48" s="5">
        <v>1</v>
      </c>
      <c r="P48" s="5">
        <v>1.0695399999999999</v>
      </c>
      <c r="Q48" s="5">
        <v>-2.92</v>
      </c>
      <c r="R48" s="5">
        <v>-2.9223629999999998</v>
      </c>
      <c r="S48" s="5">
        <v>120.96</v>
      </c>
      <c r="T48" s="5">
        <v>120.95310000000001</v>
      </c>
      <c r="U48" s="5">
        <v>3.5</v>
      </c>
      <c r="V48" s="5">
        <v>3.5</v>
      </c>
      <c r="W48" s="5">
        <v>300</v>
      </c>
      <c r="X48" s="5">
        <v>300</v>
      </c>
      <c r="Y48" s="5">
        <v>3.5</v>
      </c>
      <c r="Z48" s="5">
        <v>3.5</v>
      </c>
      <c r="AA48" s="5">
        <v>300</v>
      </c>
      <c r="AB48" s="5">
        <v>300</v>
      </c>
      <c r="AC48" s="5">
        <v>0</v>
      </c>
      <c r="AD48" s="5">
        <v>132.30119999999999</v>
      </c>
      <c r="AE48" s="5">
        <v>0</v>
      </c>
      <c r="AF48" s="5">
        <v>132.30119999999999</v>
      </c>
      <c r="AG48" s="5">
        <v>39</v>
      </c>
      <c r="AH48" s="5">
        <v>0.17</v>
      </c>
      <c r="AI48" s="5">
        <v>75.25</v>
      </c>
      <c r="AJ48" s="5">
        <v>107.26</v>
      </c>
      <c r="AK48" s="5">
        <v>219.27</v>
      </c>
      <c r="AL48" s="5">
        <v>220.67</v>
      </c>
      <c r="AM48" s="5">
        <v>377.54</v>
      </c>
      <c r="AN48" s="5">
        <v>201.7885</v>
      </c>
      <c r="AO48" s="5">
        <v>99.8</v>
      </c>
      <c r="AP48" s="5">
        <v>128</v>
      </c>
      <c r="AQ48" s="5">
        <v>117.09</v>
      </c>
      <c r="AR48" s="5">
        <v>591.29</v>
      </c>
      <c r="AS48" s="5">
        <v>119.48</v>
      </c>
      <c r="AT48" s="5">
        <v>63.23</v>
      </c>
      <c r="AU48" s="5">
        <v>100.76</v>
      </c>
      <c r="AV48" s="5">
        <v>116.18</v>
      </c>
      <c r="AW48" s="5">
        <v>0.14299999999999999</v>
      </c>
      <c r="AX48" s="5">
        <v>1.97</v>
      </c>
      <c r="AY48" s="5">
        <v>10000000000</v>
      </c>
      <c r="AZ48" s="5">
        <v>80.23</v>
      </c>
      <c r="BA48" s="5">
        <v>51.89</v>
      </c>
      <c r="BB48" s="5">
        <v>4.9400000000000004</v>
      </c>
      <c r="BC48" s="5">
        <v>0.72</v>
      </c>
      <c r="BD48" s="5">
        <v>13.89</v>
      </c>
      <c r="BE48" s="5">
        <v>4.91</v>
      </c>
      <c r="BF48" s="5">
        <v>262.75</v>
      </c>
      <c r="BG48" s="5">
        <v>14.57</v>
      </c>
      <c r="BH48" s="5">
        <v>10000000000</v>
      </c>
      <c r="BI48" s="5">
        <v>298.7</v>
      </c>
      <c r="BJ48" s="5">
        <v>44.5</v>
      </c>
      <c r="BK48" s="5">
        <v>85.7</v>
      </c>
      <c r="BL48" s="5">
        <v>100.86</v>
      </c>
      <c r="BM48" s="5">
        <v>2.13</v>
      </c>
      <c r="BN48" s="5">
        <v>29.62</v>
      </c>
      <c r="BO48" s="5">
        <v>33.46</v>
      </c>
      <c r="BP48" s="5">
        <v>604.55999999999995</v>
      </c>
      <c r="BQ48" s="5">
        <v>63.882869999999997</v>
      </c>
      <c r="BR48" s="5">
        <v>321.79180000000002</v>
      </c>
      <c r="BS48" s="5">
        <v>77.304169999999999</v>
      </c>
      <c r="BT48" s="5">
        <v>93.59151</v>
      </c>
      <c r="BU48" s="5">
        <v>91.619969999999995</v>
      </c>
      <c r="BV48" s="5">
        <v>3.3535000000000002E-2</v>
      </c>
      <c r="BW48" s="5">
        <v>2.8482E-2</v>
      </c>
      <c r="BX48" s="5">
        <v>36.372030000000002</v>
      </c>
      <c r="BY48" s="5">
        <v>18.995360000000002</v>
      </c>
      <c r="BZ48" s="5">
        <v>0</v>
      </c>
      <c r="CA48" s="5">
        <v>0.93437499999999996</v>
      </c>
      <c r="CB48" s="5">
        <v>735.23040000000003</v>
      </c>
      <c r="CC48" s="5">
        <v>746.66250000000002</v>
      </c>
      <c r="CD48" s="5">
        <v>43.375680000000003</v>
      </c>
      <c r="CE48" s="5">
        <v>346.7</v>
      </c>
      <c r="CF48" s="5">
        <v>82.26</v>
      </c>
      <c r="CG48" s="5">
        <v>93.29</v>
      </c>
      <c r="CH48" s="5">
        <v>357.77</v>
      </c>
      <c r="CI48" s="5">
        <v>339.69</v>
      </c>
      <c r="CJ48" s="5">
        <v>346.85</v>
      </c>
      <c r="CK48" s="5">
        <v>369.12</v>
      </c>
      <c r="CL48" s="5">
        <v>358.14</v>
      </c>
      <c r="CM48" s="5">
        <v>365.55</v>
      </c>
      <c r="CN48" s="5">
        <v>255.98</v>
      </c>
      <c r="CO48" s="5">
        <v>26.82</v>
      </c>
      <c r="CP48" s="5">
        <v>235.3</v>
      </c>
      <c r="CQ48" s="5">
        <v>236.05</v>
      </c>
      <c r="CR48" s="5">
        <v>4.2</v>
      </c>
      <c r="CS48" s="5">
        <v>4.2</v>
      </c>
      <c r="CT48" s="5">
        <v>23.68</v>
      </c>
      <c r="CU48" s="5">
        <v>15.65</v>
      </c>
      <c r="CV48" s="5">
        <v>101.57</v>
      </c>
      <c r="CW48" s="5">
        <v>0.84013163599999996</v>
      </c>
      <c r="CX48" s="5">
        <v>4.1250463327600002</v>
      </c>
    </row>
    <row r="49" spans="1:102" x14ac:dyDescent="0.25">
      <c r="A49" s="5">
        <v>52</v>
      </c>
      <c r="B49" s="23">
        <v>1.0346064814814815E-2</v>
      </c>
      <c r="C49" s="5">
        <v>6</v>
      </c>
      <c r="D49" s="5">
        <v>41</v>
      </c>
      <c r="E49" s="5">
        <v>337</v>
      </c>
      <c r="F49" s="5">
        <v>337</v>
      </c>
      <c r="G49" s="5">
        <v>337</v>
      </c>
      <c r="H49" s="5">
        <v>91.7</v>
      </c>
      <c r="I49" s="5">
        <v>91.7</v>
      </c>
      <c r="J49" s="5">
        <v>1800</v>
      </c>
      <c r="K49" s="5">
        <v>66</v>
      </c>
      <c r="L49" s="5">
        <v>66</v>
      </c>
      <c r="M49" s="5">
        <v>0.26</v>
      </c>
      <c r="N49" s="5">
        <v>0.26000800000000002</v>
      </c>
      <c r="O49" s="5">
        <v>1</v>
      </c>
      <c r="P49" s="5">
        <v>1.0694809999999999</v>
      </c>
      <c r="Q49" s="5">
        <v>-4.32</v>
      </c>
      <c r="R49" s="5">
        <v>-4.3176269999999999</v>
      </c>
      <c r="S49" s="5">
        <v>136</v>
      </c>
      <c r="T49" s="5">
        <v>136</v>
      </c>
      <c r="U49" s="5">
        <v>3.5</v>
      </c>
      <c r="V49" s="5">
        <v>3.5</v>
      </c>
      <c r="W49" s="5">
        <v>300</v>
      </c>
      <c r="X49" s="5">
        <v>300</v>
      </c>
      <c r="Y49" s="5">
        <v>3.5</v>
      </c>
      <c r="Z49" s="5">
        <v>3.5</v>
      </c>
      <c r="AA49" s="5">
        <v>300</v>
      </c>
      <c r="AB49" s="5">
        <v>300</v>
      </c>
      <c r="AC49" s="5">
        <v>0</v>
      </c>
      <c r="AD49" s="5">
        <v>124.5361</v>
      </c>
      <c r="AE49" s="5">
        <v>0</v>
      </c>
      <c r="AF49" s="5">
        <v>124.5361</v>
      </c>
      <c r="AG49" s="5">
        <v>39</v>
      </c>
      <c r="AH49" s="5">
        <v>0.17</v>
      </c>
      <c r="AI49" s="5">
        <v>73.13</v>
      </c>
      <c r="AJ49" s="5">
        <v>98.26</v>
      </c>
      <c r="AK49" s="5">
        <v>174.11</v>
      </c>
      <c r="AL49" s="5">
        <v>171.82</v>
      </c>
      <c r="AM49" s="5">
        <v>448.15</v>
      </c>
      <c r="AN49" s="5">
        <v>197.93799999999999</v>
      </c>
      <c r="AO49" s="5">
        <v>97.25</v>
      </c>
      <c r="AP49" s="5">
        <v>113.75</v>
      </c>
      <c r="AQ49" s="5">
        <v>109.94</v>
      </c>
      <c r="AR49" s="5">
        <v>450.39</v>
      </c>
      <c r="AS49" s="5">
        <v>76.86</v>
      </c>
      <c r="AT49" s="5">
        <v>81.91</v>
      </c>
      <c r="AU49" s="5">
        <v>138.72999999999999</v>
      </c>
      <c r="AV49" s="5">
        <v>112.72</v>
      </c>
      <c r="AW49" s="5">
        <v>1.1890000000000001</v>
      </c>
      <c r="AX49" s="5">
        <v>22.47</v>
      </c>
      <c r="AY49" s="5">
        <v>10000000000</v>
      </c>
      <c r="AZ49" s="5">
        <v>307.43</v>
      </c>
      <c r="BA49" s="5">
        <v>94.9</v>
      </c>
      <c r="BB49" s="5">
        <v>7.99</v>
      </c>
      <c r="BC49" s="5">
        <v>2.67</v>
      </c>
      <c r="BD49" s="5">
        <v>9.44</v>
      </c>
      <c r="BE49" s="5">
        <v>0.86</v>
      </c>
      <c r="BF49" s="5">
        <v>91.79</v>
      </c>
      <c r="BG49" s="5">
        <v>33.479999999999997</v>
      </c>
      <c r="BH49" s="5">
        <v>10000000000</v>
      </c>
      <c r="BI49" s="5">
        <v>263.10000000000002</v>
      </c>
      <c r="BJ49" s="5">
        <v>26.9</v>
      </c>
      <c r="BK49" s="5">
        <v>84.6</v>
      </c>
      <c r="BL49" s="5">
        <v>226.74</v>
      </c>
      <c r="BM49" s="5">
        <v>2.11</v>
      </c>
      <c r="BN49" s="5">
        <v>31.41</v>
      </c>
      <c r="BO49" s="5">
        <v>36.270000000000003</v>
      </c>
      <c r="BP49" s="5">
        <v>467.25</v>
      </c>
      <c r="BQ49" s="5">
        <v>78.499480000000005</v>
      </c>
      <c r="BR49" s="5">
        <v>263.97219999999999</v>
      </c>
      <c r="BS49" s="5">
        <v>57.597999999999999</v>
      </c>
      <c r="BT49" s="5">
        <v>61.47401</v>
      </c>
      <c r="BU49" s="5">
        <v>60.390700000000002</v>
      </c>
      <c r="BV49" s="5">
        <v>8.5542999999999994E-2</v>
      </c>
      <c r="BW49" s="5">
        <v>7.9106999999999997E-2</v>
      </c>
      <c r="BX49" s="5">
        <v>50.495159999999998</v>
      </c>
      <c r="BY49" s="5">
        <v>18.995360000000002</v>
      </c>
      <c r="BZ49" s="5">
        <v>0</v>
      </c>
      <c r="CA49" s="5">
        <v>0.93129899999999999</v>
      </c>
      <c r="CB49" s="5">
        <v>688.93939999999998</v>
      </c>
      <c r="CC49" s="5">
        <v>704.11099999999999</v>
      </c>
      <c r="CD49" s="5">
        <v>57.495260000000002</v>
      </c>
      <c r="CE49" s="5">
        <v>462.01</v>
      </c>
      <c r="CF49" s="5">
        <v>111</v>
      </c>
      <c r="CG49" s="5">
        <v>132.4</v>
      </c>
      <c r="CH49" s="5">
        <v>410.3</v>
      </c>
      <c r="CI49" s="5">
        <v>416.51</v>
      </c>
      <c r="CJ49" s="5">
        <v>423.41</v>
      </c>
      <c r="CK49" s="5">
        <v>445.44</v>
      </c>
      <c r="CL49" s="5">
        <v>448.99</v>
      </c>
      <c r="CM49" s="5">
        <v>450.92</v>
      </c>
      <c r="CN49" s="5">
        <v>326.94</v>
      </c>
      <c r="CO49" s="5">
        <v>26.4</v>
      </c>
      <c r="CP49" s="5">
        <v>334.9</v>
      </c>
      <c r="CQ49" s="5">
        <v>337.05</v>
      </c>
      <c r="CR49" s="5">
        <v>6</v>
      </c>
      <c r="CS49" s="5">
        <v>6</v>
      </c>
      <c r="CT49" s="5">
        <v>25.21</v>
      </c>
      <c r="CU49" s="5">
        <v>27.76</v>
      </c>
      <c r="CV49" s="5">
        <v>101.36</v>
      </c>
      <c r="CW49" s="5">
        <v>0.86138933600000001</v>
      </c>
      <c r="CX49" s="5">
        <v>0.74079482896000004</v>
      </c>
    </row>
    <row r="50" spans="1:102" x14ac:dyDescent="0.25">
      <c r="A50" s="5">
        <v>35</v>
      </c>
      <c r="B50" s="23">
        <v>2.958912037037037E-2</v>
      </c>
      <c r="C50" s="5">
        <v>6</v>
      </c>
      <c r="D50" s="5">
        <v>29</v>
      </c>
      <c r="E50" s="5">
        <v>297</v>
      </c>
      <c r="F50" s="5">
        <v>297</v>
      </c>
      <c r="G50" s="5">
        <v>297</v>
      </c>
      <c r="H50" s="5">
        <v>91.7</v>
      </c>
      <c r="I50" s="5">
        <v>91.7</v>
      </c>
      <c r="J50" s="5">
        <v>1800</v>
      </c>
      <c r="K50" s="5">
        <v>13</v>
      </c>
      <c r="L50" s="5">
        <v>13</v>
      </c>
      <c r="M50" s="5">
        <v>7.0000000000000007E-2</v>
      </c>
      <c r="N50" s="5">
        <v>7.0028999999999994E-2</v>
      </c>
      <c r="O50" s="5">
        <v>1</v>
      </c>
      <c r="P50" s="5">
        <v>1.0694300000000001</v>
      </c>
      <c r="Q50" s="5">
        <v>-4.29</v>
      </c>
      <c r="R50" s="5">
        <v>-4.2846679999999999</v>
      </c>
      <c r="S50" s="5">
        <v>128.84</v>
      </c>
      <c r="T50" s="5">
        <v>128.84379999999999</v>
      </c>
      <c r="U50" s="5">
        <v>3.5</v>
      </c>
      <c r="V50" s="5">
        <v>3.5</v>
      </c>
      <c r="W50" s="5">
        <v>300</v>
      </c>
      <c r="X50" s="5">
        <v>300</v>
      </c>
      <c r="Y50" s="5">
        <v>3.66</v>
      </c>
      <c r="Z50" s="5">
        <v>3.65625</v>
      </c>
      <c r="AA50" s="5">
        <v>300</v>
      </c>
      <c r="AB50" s="5">
        <v>300</v>
      </c>
      <c r="AC50" s="5">
        <v>0</v>
      </c>
      <c r="AD50" s="5">
        <v>90.514629999999997</v>
      </c>
      <c r="AE50" s="5">
        <v>0</v>
      </c>
      <c r="AF50" s="5">
        <v>90.514629999999997</v>
      </c>
      <c r="AG50" s="5">
        <v>39</v>
      </c>
      <c r="AH50" s="5">
        <v>0.17</v>
      </c>
      <c r="AI50" s="5">
        <v>50.66</v>
      </c>
      <c r="AJ50" s="5">
        <v>72.66</v>
      </c>
      <c r="AK50" s="5">
        <v>53.15</v>
      </c>
      <c r="AL50" s="5">
        <v>55.51</v>
      </c>
      <c r="AM50" s="5">
        <v>466.7</v>
      </c>
      <c r="AN50" s="5">
        <v>130.23840000000001</v>
      </c>
      <c r="AO50" s="5">
        <v>27.5</v>
      </c>
      <c r="AP50" s="5">
        <v>67.489999999999995</v>
      </c>
      <c r="AQ50" s="5">
        <v>40.65</v>
      </c>
      <c r="AR50" s="5">
        <v>436.84</v>
      </c>
      <c r="AS50" s="5">
        <v>25.64</v>
      </c>
      <c r="AT50" s="5">
        <v>46.92</v>
      </c>
      <c r="AU50" s="5">
        <v>95.21</v>
      </c>
      <c r="AV50" s="5">
        <v>114.29</v>
      </c>
      <c r="AW50" s="5">
        <v>0.23300000000000001</v>
      </c>
      <c r="AX50" s="5">
        <v>3.28</v>
      </c>
      <c r="AY50" s="5">
        <v>10000000000</v>
      </c>
      <c r="AZ50" s="5">
        <v>161.16</v>
      </c>
      <c r="BA50" s="5">
        <v>67.81</v>
      </c>
      <c r="BB50" s="5">
        <v>6.82</v>
      </c>
      <c r="BC50" s="5">
        <v>0.42</v>
      </c>
      <c r="BD50" s="5">
        <v>8.66</v>
      </c>
      <c r="BE50" s="5">
        <v>3.99</v>
      </c>
      <c r="BF50" s="5">
        <v>380.25</v>
      </c>
      <c r="BG50" s="5">
        <v>6.15</v>
      </c>
      <c r="BH50" s="5">
        <v>10000000000</v>
      </c>
      <c r="BI50" s="5">
        <v>249.3</v>
      </c>
      <c r="BJ50" s="5">
        <v>31.3</v>
      </c>
      <c r="BK50" s="5">
        <v>86.4</v>
      </c>
      <c r="BL50" s="5">
        <v>28.61</v>
      </c>
      <c r="BM50" s="5">
        <v>1.42</v>
      </c>
      <c r="BN50" s="5">
        <v>29.36</v>
      </c>
      <c r="BO50" s="5">
        <v>35.29</v>
      </c>
      <c r="BP50" s="5">
        <v>450.79</v>
      </c>
      <c r="BQ50" s="5">
        <v>49.075989999999997</v>
      </c>
      <c r="BR50" s="5">
        <v>157.2756</v>
      </c>
      <c r="BS50" s="5">
        <v>69.079769999999996</v>
      </c>
      <c r="BT50" s="5">
        <v>56.462940000000003</v>
      </c>
      <c r="BU50" s="5">
        <v>56.144010000000002</v>
      </c>
      <c r="BV50" s="5">
        <v>4.7479E-2</v>
      </c>
      <c r="BW50" s="5">
        <v>5.1678000000000002E-2</v>
      </c>
      <c r="BX50" s="5">
        <v>39.674480000000003</v>
      </c>
      <c r="BY50" s="5">
        <v>18.995360000000002</v>
      </c>
      <c r="BZ50" s="5">
        <v>0</v>
      </c>
      <c r="CA50" s="5">
        <v>0.93361899999999998</v>
      </c>
      <c r="CB50" s="5">
        <v>495.91149999999999</v>
      </c>
      <c r="CC50" s="5">
        <v>508.26229999999998</v>
      </c>
      <c r="CD50" s="5">
        <v>46.840890000000002</v>
      </c>
      <c r="CE50" s="5">
        <v>365.36</v>
      </c>
      <c r="CF50" s="5">
        <v>68.98</v>
      </c>
      <c r="CG50" s="5">
        <v>80.73</v>
      </c>
      <c r="CH50" s="5">
        <v>392.45</v>
      </c>
      <c r="CI50" s="5">
        <v>396.9</v>
      </c>
      <c r="CJ50" s="5">
        <v>413.41</v>
      </c>
      <c r="CK50" s="5">
        <v>453.86</v>
      </c>
      <c r="CL50" s="5">
        <v>437.62</v>
      </c>
      <c r="CM50" s="5">
        <v>431.02</v>
      </c>
      <c r="CN50" s="5">
        <v>394</v>
      </c>
      <c r="CO50" s="5">
        <v>26.78</v>
      </c>
      <c r="CP50" s="5">
        <v>295.60000000000002</v>
      </c>
      <c r="CQ50" s="5">
        <v>297.05</v>
      </c>
      <c r="CR50" s="5">
        <v>5.3</v>
      </c>
      <c r="CS50" s="5">
        <v>5.3</v>
      </c>
      <c r="CT50" s="5">
        <v>25.93</v>
      </c>
      <c r="CU50" s="5">
        <v>22.86</v>
      </c>
      <c r="CV50" s="5">
        <v>101.4</v>
      </c>
      <c r="CW50" s="5">
        <v>0.85365412900000004</v>
      </c>
      <c r="CX50" s="5">
        <v>3.4060799747100003</v>
      </c>
    </row>
    <row r="51" spans="1:102" x14ac:dyDescent="0.25">
      <c r="A51" s="5">
        <v>47</v>
      </c>
      <c r="B51" s="23">
        <v>2.2546296296296297E-2</v>
      </c>
      <c r="C51" s="5">
        <v>6</v>
      </c>
      <c r="D51" s="5">
        <v>40</v>
      </c>
      <c r="E51" s="5">
        <v>335</v>
      </c>
      <c r="F51" s="5">
        <v>335</v>
      </c>
      <c r="G51" s="5">
        <v>335</v>
      </c>
      <c r="H51" s="5">
        <v>91.7</v>
      </c>
      <c r="I51" s="5">
        <v>91.7</v>
      </c>
      <c r="J51" s="5">
        <v>1800</v>
      </c>
      <c r="K51" s="5">
        <v>42</v>
      </c>
      <c r="L51" s="5">
        <v>42</v>
      </c>
      <c r="M51" s="5">
        <v>0.1</v>
      </c>
      <c r="N51" s="5">
        <v>0.10004399999999999</v>
      </c>
      <c r="O51" s="5">
        <v>1</v>
      </c>
      <c r="P51" s="5">
        <v>1.069437</v>
      </c>
      <c r="Q51" s="5">
        <v>-4.32</v>
      </c>
      <c r="R51" s="5">
        <v>-4.3176269999999999</v>
      </c>
      <c r="S51" s="5">
        <v>135.63</v>
      </c>
      <c r="T51" s="5">
        <v>135.625</v>
      </c>
      <c r="U51" s="5">
        <v>3.5</v>
      </c>
      <c r="V51" s="5">
        <v>3.5</v>
      </c>
      <c r="W51" s="5">
        <v>300</v>
      </c>
      <c r="X51" s="5">
        <v>300</v>
      </c>
      <c r="Y51" s="5">
        <v>3.5</v>
      </c>
      <c r="Z51" s="5">
        <v>3.5</v>
      </c>
      <c r="AA51" s="5">
        <v>300</v>
      </c>
      <c r="AB51" s="5">
        <v>300</v>
      </c>
      <c r="AC51" s="5">
        <v>0</v>
      </c>
      <c r="AD51" s="5">
        <v>116.94029999999999</v>
      </c>
      <c r="AE51" s="5">
        <v>0</v>
      </c>
      <c r="AF51" s="5">
        <v>116.94029999999999</v>
      </c>
      <c r="AG51" s="5">
        <v>39</v>
      </c>
      <c r="AH51" s="5">
        <v>0.17</v>
      </c>
      <c r="AI51" s="5">
        <v>67.430000000000007</v>
      </c>
      <c r="AJ51" s="5">
        <v>95.59</v>
      </c>
      <c r="AK51" s="5">
        <v>115.55</v>
      </c>
      <c r="AL51" s="5">
        <v>117.37</v>
      </c>
      <c r="AM51" s="5">
        <v>426.31</v>
      </c>
      <c r="AN51" s="5">
        <v>175.53620000000001</v>
      </c>
      <c r="AO51" s="5">
        <v>73.260000000000005</v>
      </c>
      <c r="AP51" s="5">
        <v>99.41</v>
      </c>
      <c r="AQ51" s="5">
        <v>89.61</v>
      </c>
      <c r="AR51" s="5">
        <v>548.84</v>
      </c>
      <c r="AS51" s="5">
        <v>42.31</v>
      </c>
      <c r="AT51" s="5">
        <v>58.83</v>
      </c>
      <c r="AU51" s="5">
        <v>98.12</v>
      </c>
      <c r="AV51" s="5">
        <v>114.14</v>
      </c>
      <c r="AW51" s="5">
        <v>0.13600000000000001</v>
      </c>
      <c r="AX51" s="5">
        <v>1.86</v>
      </c>
      <c r="AY51" s="5">
        <v>10000000000</v>
      </c>
      <c r="AZ51" s="5">
        <v>126.01</v>
      </c>
      <c r="BA51" s="5">
        <v>57.85</v>
      </c>
      <c r="BB51" s="5">
        <v>6.14</v>
      </c>
      <c r="BC51" s="5">
        <v>0.65</v>
      </c>
      <c r="BD51" s="5">
        <v>12.05</v>
      </c>
      <c r="BE51" s="5">
        <v>3.99</v>
      </c>
      <c r="BF51" s="5">
        <v>336.13</v>
      </c>
      <c r="BG51" s="5">
        <v>10.66</v>
      </c>
      <c r="BH51" s="5">
        <v>10000000000</v>
      </c>
      <c r="BI51" s="5">
        <v>246.1</v>
      </c>
      <c r="BJ51" s="5">
        <v>35.299999999999997</v>
      </c>
      <c r="BK51" s="5">
        <v>86.7</v>
      </c>
      <c r="BL51" s="5">
        <v>65.45</v>
      </c>
      <c r="BM51" s="5">
        <v>1.87</v>
      </c>
      <c r="BN51" s="5">
        <v>29.57</v>
      </c>
      <c r="BO51" s="5">
        <v>34.590000000000003</v>
      </c>
      <c r="BP51" s="5">
        <v>564.09</v>
      </c>
      <c r="BQ51" s="5">
        <v>59.822240000000001</v>
      </c>
      <c r="BR51" s="5">
        <v>217.82089999999999</v>
      </c>
      <c r="BS51" s="5">
        <v>59.687269999999998</v>
      </c>
      <c r="BT51" s="5">
        <v>62.755409999999998</v>
      </c>
      <c r="BU51" s="5">
        <v>61.635649999999998</v>
      </c>
      <c r="BV51" s="5">
        <v>7.4897000000000005E-2</v>
      </c>
      <c r="BW51" s="5">
        <v>6.9787000000000002E-2</v>
      </c>
      <c r="BX51" s="5">
        <v>46.549169999999997</v>
      </c>
      <c r="BY51" s="5">
        <v>18.995360000000002</v>
      </c>
      <c r="BZ51" s="5">
        <v>0</v>
      </c>
      <c r="CA51" s="5">
        <v>0.93216200000000005</v>
      </c>
      <c r="CB51" s="5">
        <v>645.7527</v>
      </c>
      <c r="CC51" s="5">
        <v>659.87840000000006</v>
      </c>
      <c r="CD51" s="5">
        <v>53.54927</v>
      </c>
      <c r="CE51" s="5">
        <v>399.7</v>
      </c>
      <c r="CF51" s="5">
        <v>77.94</v>
      </c>
      <c r="CG51" s="5">
        <v>90.72</v>
      </c>
      <c r="CH51" s="5">
        <v>371.17</v>
      </c>
      <c r="CI51" s="5">
        <v>378.44</v>
      </c>
      <c r="CJ51" s="5">
        <v>391.33</v>
      </c>
      <c r="CK51" s="5">
        <v>428.59</v>
      </c>
      <c r="CL51" s="5">
        <v>408.81</v>
      </c>
      <c r="CM51" s="5">
        <v>414.3</v>
      </c>
      <c r="CN51" s="5">
        <v>325.25</v>
      </c>
      <c r="CO51" s="5">
        <v>26.01</v>
      </c>
      <c r="CP51" s="5">
        <v>333</v>
      </c>
      <c r="CQ51" s="5">
        <v>335.05</v>
      </c>
      <c r="CR51" s="5">
        <v>6</v>
      </c>
      <c r="CS51" s="5">
        <v>6</v>
      </c>
      <c r="CT51" s="5">
        <v>25.66</v>
      </c>
      <c r="CU51" s="5">
        <v>27.12</v>
      </c>
      <c r="CV51" s="5">
        <v>101.35</v>
      </c>
      <c r="CW51" s="5">
        <v>0.87219909799999995</v>
      </c>
      <c r="CX51" s="5">
        <v>3.48007440102</v>
      </c>
    </row>
    <row r="52" spans="1:102" x14ac:dyDescent="0.25">
      <c r="A52" s="5">
        <v>42</v>
      </c>
      <c r="B52" s="23">
        <v>3.1245370370370368E-2</v>
      </c>
      <c r="C52" s="5">
        <v>6</v>
      </c>
      <c r="D52" s="5">
        <v>35</v>
      </c>
      <c r="E52" s="5">
        <v>316</v>
      </c>
      <c r="F52" s="5">
        <v>316</v>
      </c>
      <c r="G52" s="5">
        <v>316</v>
      </c>
      <c r="H52" s="5">
        <v>91.7</v>
      </c>
      <c r="I52" s="5">
        <v>91.7</v>
      </c>
      <c r="J52" s="5">
        <v>1800</v>
      </c>
      <c r="K52" s="5">
        <v>6</v>
      </c>
      <c r="L52" s="5">
        <v>6</v>
      </c>
      <c r="M52" s="5">
        <v>0.24</v>
      </c>
      <c r="N52" s="5">
        <v>0.23991199999999999</v>
      </c>
      <c r="O52" s="5">
        <v>1</v>
      </c>
      <c r="P52" s="5">
        <v>1.069545</v>
      </c>
      <c r="Q52" s="5">
        <v>-4.34</v>
      </c>
      <c r="R52" s="5">
        <v>-4.3395999999999999</v>
      </c>
      <c r="S52" s="5">
        <v>132.16</v>
      </c>
      <c r="T52" s="5">
        <v>132.15629999999999</v>
      </c>
      <c r="U52" s="5">
        <v>3.5</v>
      </c>
      <c r="V52" s="5">
        <v>3.5</v>
      </c>
      <c r="W52" s="5">
        <v>300</v>
      </c>
      <c r="X52" s="5">
        <v>300</v>
      </c>
      <c r="Y52" s="5">
        <v>3.5</v>
      </c>
      <c r="Z52" s="5">
        <v>3.5</v>
      </c>
      <c r="AA52" s="5">
        <v>300</v>
      </c>
      <c r="AB52" s="5">
        <v>300</v>
      </c>
      <c r="AC52" s="5">
        <v>0</v>
      </c>
      <c r="AD52" s="5">
        <v>87.072500000000005</v>
      </c>
      <c r="AE52" s="5">
        <v>0</v>
      </c>
      <c r="AF52" s="5">
        <v>87.072500000000005</v>
      </c>
      <c r="AG52" s="5">
        <v>39</v>
      </c>
      <c r="AH52" s="5">
        <v>0.17</v>
      </c>
      <c r="AI52" s="5">
        <v>48.71</v>
      </c>
      <c r="AJ52" s="5">
        <v>64.94</v>
      </c>
      <c r="AK52" s="5">
        <v>40.82</v>
      </c>
      <c r="AL52" s="5">
        <v>41.75</v>
      </c>
      <c r="AM52" s="5">
        <v>513.66</v>
      </c>
      <c r="AN52" s="5">
        <v>124.8248</v>
      </c>
      <c r="AO52" s="5">
        <v>22.05</v>
      </c>
      <c r="AP52" s="5">
        <v>59.87</v>
      </c>
      <c r="AQ52" s="5">
        <v>32.86</v>
      </c>
      <c r="AR52" s="5">
        <v>372.39</v>
      </c>
      <c r="AS52" s="5">
        <v>18.75</v>
      </c>
      <c r="AT52" s="5">
        <v>46.46</v>
      </c>
      <c r="AU52" s="5">
        <v>101.04</v>
      </c>
      <c r="AV52" s="5">
        <v>110.71</v>
      </c>
      <c r="AW52" s="5">
        <v>0.8</v>
      </c>
      <c r="AX52" s="5">
        <v>13.43</v>
      </c>
      <c r="AY52" s="5">
        <v>10000000000</v>
      </c>
      <c r="AZ52" s="5">
        <v>299.73</v>
      </c>
      <c r="BA52" s="5">
        <v>80.94</v>
      </c>
      <c r="BB52" s="5">
        <v>8.5299999999999994</v>
      </c>
      <c r="BC52" s="5">
        <v>1.36</v>
      </c>
      <c r="BD52" s="5">
        <v>7.57</v>
      </c>
      <c r="BE52" s="5">
        <v>1.69</v>
      </c>
      <c r="BF52" s="5">
        <v>208.36</v>
      </c>
      <c r="BG52" s="5">
        <v>15.97</v>
      </c>
      <c r="BH52" s="5">
        <v>10000000000</v>
      </c>
      <c r="BI52" s="5">
        <v>250.2</v>
      </c>
      <c r="BJ52" s="5">
        <v>25</v>
      </c>
      <c r="BK52" s="5">
        <v>83.3</v>
      </c>
      <c r="BL52" s="5">
        <v>70.760000000000005</v>
      </c>
      <c r="BM52" s="5">
        <v>1.4</v>
      </c>
      <c r="BN52" s="5">
        <v>30.23</v>
      </c>
      <c r="BO52" s="5">
        <v>36.83</v>
      </c>
      <c r="BP52" s="5">
        <v>387.14</v>
      </c>
      <c r="BQ52" s="5">
        <v>48.274380000000001</v>
      </c>
      <c r="BR52" s="5">
        <v>140.1069</v>
      </c>
      <c r="BS52" s="5">
        <v>60.809089999999998</v>
      </c>
      <c r="BT52" s="5">
        <v>47.979680000000002</v>
      </c>
      <c r="BU52" s="5">
        <v>47.863880000000002</v>
      </c>
      <c r="BV52" s="5">
        <v>6.6091999999999998E-2</v>
      </c>
      <c r="BW52" s="5">
        <v>7.1990999999999999E-2</v>
      </c>
      <c r="BX52" s="5">
        <v>44.41583</v>
      </c>
      <c r="BY52" s="5">
        <v>18.995360000000002</v>
      </c>
      <c r="BZ52" s="5">
        <v>0</v>
      </c>
      <c r="CA52" s="5">
        <v>0.93262599999999996</v>
      </c>
      <c r="CB52" s="5">
        <v>475.96539999999999</v>
      </c>
      <c r="CC52" s="5">
        <v>489.5292</v>
      </c>
      <c r="CD52" s="5">
        <v>51.41583</v>
      </c>
      <c r="CE52" s="5">
        <v>475.43</v>
      </c>
      <c r="CF52" s="5">
        <v>75.260000000000005</v>
      </c>
      <c r="CG52" s="5">
        <v>90.93</v>
      </c>
      <c r="CH52" s="5">
        <v>417.39</v>
      </c>
      <c r="CI52" s="5">
        <v>430.08</v>
      </c>
      <c r="CJ52" s="5">
        <v>443.72</v>
      </c>
      <c r="CK52" s="5">
        <v>493.62</v>
      </c>
      <c r="CL52" s="5">
        <v>470.59</v>
      </c>
      <c r="CM52" s="5">
        <v>473.27</v>
      </c>
      <c r="CN52" s="5">
        <v>436.64</v>
      </c>
      <c r="CO52" s="5">
        <v>27.3</v>
      </c>
      <c r="CP52" s="5">
        <v>314.60000000000002</v>
      </c>
      <c r="CQ52" s="5">
        <v>316.05</v>
      </c>
      <c r="CR52" s="5">
        <v>5.6</v>
      </c>
      <c r="CS52" s="5">
        <v>5.7</v>
      </c>
      <c r="CT52" s="5">
        <v>26.53</v>
      </c>
      <c r="CU52" s="5">
        <v>23.2</v>
      </c>
      <c r="CV52" s="5">
        <v>101.37</v>
      </c>
      <c r="CW52" s="5">
        <v>0.84767882500000002</v>
      </c>
      <c r="CX52" s="5">
        <v>1.43257721425</v>
      </c>
    </row>
    <row r="53" spans="1:102" x14ac:dyDescent="0.25">
      <c r="A53" s="5">
        <v>33</v>
      </c>
      <c r="B53" s="23">
        <v>1.8744212962962963E-2</v>
      </c>
      <c r="C53" s="5">
        <v>6</v>
      </c>
      <c r="D53" s="5">
        <v>27</v>
      </c>
      <c r="E53" s="5">
        <v>288</v>
      </c>
      <c r="F53" s="5">
        <v>288</v>
      </c>
      <c r="G53" s="5">
        <v>288</v>
      </c>
      <c r="H53" s="5">
        <v>91.7</v>
      </c>
      <c r="I53" s="5">
        <v>91.7</v>
      </c>
      <c r="J53" s="5">
        <v>1800</v>
      </c>
      <c r="K53" s="5">
        <v>3</v>
      </c>
      <c r="L53" s="5">
        <v>3</v>
      </c>
      <c r="M53" s="5">
        <v>0.06</v>
      </c>
      <c r="N53" s="5">
        <v>5.9979999999999999E-2</v>
      </c>
      <c r="O53" s="5">
        <v>1</v>
      </c>
      <c r="P53" s="5">
        <v>1.0694490000000001</v>
      </c>
      <c r="Q53" s="5">
        <v>-4.09</v>
      </c>
      <c r="R53" s="5">
        <v>-4.0869140000000002</v>
      </c>
      <c r="S53" s="5">
        <v>127.68</v>
      </c>
      <c r="T53" s="5">
        <v>127.6875</v>
      </c>
      <c r="U53" s="5">
        <v>3.5</v>
      </c>
      <c r="V53" s="5">
        <v>3.5</v>
      </c>
      <c r="W53" s="5">
        <v>300</v>
      </c>
      <c r="X53" s="5">
        <v>300</v>
      </c>
      <c r="Y53" s="5">
        <v>3.55</v>
      </c>
      <c r="Z53" s="5">
        <v>3.5625</v>
      </c>
      <c r="AA53" s="5">
        <v>300</v>
      </c>
      <c r="AB53" s="5">
        <v>300</v>
      </c>
      <c r="AC53" s="5">
        <v>0</v>
      </c>
      <c r="AD53" s="5">
        <v>86.566670000000002</v>
      </c>
      <c r="AE53" s="5">
        <v>0</v>
      </c>
      <c r="AF53" s="5">
        <v>86.566410000000005</v>
      </c>
      <c r="AG53" s="5">
        <v>39</v>
      </c>
      <c r="AH53" s="5">
        <v>0.17</v>
      </c>
      <c r="AI53" s="5">
        <v>47.97</v>
      </c>
      <c r="AJ53" s="5">
        <v>67.66</v>
      </c>
      <c r="AK53" s="5">
        <v>45.79</v>
      </c>
      <c r="AL53" s="5">
        <v>48.1</v>
      </c>
      <c r="AM53" s="5">
        <v>473.29</v>
      </c>
      <c r="AN53" s="5">
        <v>122.9195</v>
      </c>
      <c r="AO53" s="5">
        <v>19.829999999999998</v>
      </c>
      <c r="AP53" s="5">
        <v>63.27</v>
      </c>
      <c r="AQ53" s="5">
        <v>32.36</v>
      </c>
      <c r="AR53" s="5">
        <v>421.04</v>
      </c>
      <c r="AS53" s="5">
        <v>25.95</v>
      </c>
      <c r="AT53" s="5">
        <v>42.75</v>
      </c>
      <c r="AU53" s="5">
        <v>95.08</v>
      </c>
      <c r="AV53" s="5">
        <v>119.41</v>
      </c>
      <c r="AW53" s="5">
        <v>0.255</v>
      </c>
      <c r="AX53" s="5">
        <v>3.62</v>
      </c>
      <c r="AY53" s="5">
        <v>10000000000</v>
      </c>
      <c r="AZ53" s="5">
        <v>171.83</v>
      </c>
      <c r="BA53" s="5">
        <v>69.930000000000007</v>
      </c>
      <c r="BB53" s="5">
        <v>7.03</v>
      </c>
      <c r="BC53" s="5">
        <v>0.38</v>
      </c>
      <c r="BD53" s="5">
        <v>10.98</v>
      </c>
      <c r="BE53" s="5">
        <v>4.07</v>
      </c>
      <c r="BF53" s="5">
        <v>391.43</v>
      </c>
      <c r="BG53" s="5">
        <v>5.36</v>
      </c>
      <c r="BH53" s="5">
        <v>10000000000</v>
      </c>
      <c r="BI53" s="5">
        <v>251.1</v>
      </c>
      <c r="BJ53" s="5">
        <v>30.9</v>
      </c>
      <c r="BK53" s="5">
        <v>86.8</v>
      </c>
      <c r="BL53" s="5">
        <v>23.84</v>
      </c>
      <c r="BM53" s="5">
        <v>1.35</v>
      </c>
      <c r="BN53" s="5">
        <v>29.31</v>
      </c>
      <c r="BO53" s="5">
        <v>35.369999999999997</v>
      </c>
      <c r="BP53" s="5">
        <v>434.61</v>
      </c>
      <c r="BQ53" s="5">
        <v>45.25844</v>
      </c>
      <c r="BR53" s="5">
        <v>149.9461</v>
      </c>
      <c r="BS53" s="5">
        <v>70.685839999999999</v>
      </c>
      <c r="BT53" s="5">
        <v>54.868569999999998</v>
      </c>
      <c r="BU53" s="5">
        <v>54.615569999999998</v>
      </c>
      <c r="BV53" s="5">
        <v>4.4810000000000003E-2</v>
      </c>
      <c r="BW53" s="5">
        <v>5.0152000000000002E-2</v>
      </c>
      <c r="BX53" s="5">
        <v>39.111930000000001</v>
      </c>
      <c r="BY53" s="5">
        <v>18.995360000000002</v>
      </c>
      <c r="BZ53" s="5">
        <v>0</v>
      </c>
      <c r="CA53" s="5">
        <v>0.93376599999999998</v>
      </c>
      <c r="CB53" s="5">
        <v>473.67360000000002</v>
      </c>
      <c r="CC53" s="5">
        <v>485.84480000000002</v>
      </c>
      <c r="CD53" s="5">
        <v>46.178750000000001</v>
      </c>
      <c r="CE53" s="5">
        <v>351.02</v>
      </c>
      <c r="CF53" s="5">
        <v>65.88</v>
      </c>
      <c r="CG53" s="5">
        <v>79.39</v>
      </c>
      <c r="CH53" s="5">
        <v>396.68</v>
      </c>
      <c r="CI53" s="5">
        <v>403.1</v>
      </c>
      <c r="CJ53" s="5">
        <v>420.01</v>
      </c>
      <c r="CK53" s="5">
        <v>458.36</v>
      </c>
      <c r="CL53" s="5">
        <v>441.58</v>
      </c>
      <c r="CM53" s="5">
        <v>430.49</v>
      </c>
      <c r="CN53" s="5">
        <v>406.14</v>
      </c>
      <c r="CO53" s="5">
        <v>27.07</v>
      </c>
      <c r="CP53" s="5">
        <v>287</v>
      </c>
      <c r="CQ53" s="5">
        <v>288.05</v>
      </c>
      <c r="CR53" s="5">
        <v>5.0999999999999996</v>
      </c>
      <c r="CS53" s="5">
        <v>5.2</v>
      </c>
      <c r="CT53" s="5">
        <v>24.63</v>
      </c>
      <c r="CU53" s="5">
        <v>16.78</v>
      </c>
      <c r="CV53" s="5">
        <v>101.41</v>
      </c>
      <c r="CW53" s="5">
        <v>0.83216869699999996</v>
      </c>
      <c r="CX53" s="5">
        <v>3.38692659679</v>
      </c>
    </row>
    <row r="54" spans="1:102" x14ac:dyDescent="0.25">
      <c r="A54" s="5">
        <v>17</v>
      </c>
      <c r="B54" s="23">
        <v>3.6096064814814817E-2</v>
      </c>
      <c r="C54" s="5">
        <v>6</v>
      </c>
      <c r="D54" s="5">
        <v>10</v>
      </c>
      <c r="E54" s="5">
        <v>232</v>
      </c>
      <c r="F54" s="5">
        <v>232</v>
      </c>
      <c r="G54" s="5">
        <v>232</v>
      </c>
      <c r="H54" s="5">
        <v>91.7</v>
      </c>
      <c r="I54" s="5">
        <v>91.7</v>
      </c>
      <c r="J54" s="5">
        <v>1800</v>
      </c>
      <c r="K54" s="5">
        <v>9</v>
      </c>
      <c r="L54" s="5">
        <v>9</v>
      </c>
      <c r="M54" s="5">
        <v>0.04</v>
      </c>
      <c r="N54" s="5">
        <v>4.0023000000000003E-2</v>
      </c>
      <c r="O54" s="5">
        <v>1</v>
      </c>
      <c r="P54" s="5">
        <v>1.06951</v>
      </c>
      <c r="Q54" s="5">
        <v>-2.83</v>
      </c>
      <c r="R54" s="5">
        <v>-2.834473</v>
      </c>
      <c r="S54" s="5">
        <v>120.44</v>
      </c>
      <c r="T54" s="5">
        <v>120.4375</v>
      </c>
      <c r="U54" s="5">
        <v>3.5</v>
      </c>
      <c r="V54" s="5">
        <v>3.5</v>
      </c>
      <c r="W54" s="5">
        <v>300</v>
      </c>
      <c r="X54" s="5">
        <v>300</v>
      </c>
      <c r="Y54" s="5">
        <v>3.5</v>
      </c>
      <c r="Z54" s="5">
        <v>3.5</v>
      </c>
      <c r="AA54" s="5">
        <v>300</v>
      </c>
      <c r="AB54" s="5">
        <v>300</v>
      </c>
      <c r="AC54" s="5">
        <v>0</v>
      </c>
      <c r="AD54" s="5">
        <v>82.891559999999998</v>
      </c>
      <c r="AE54" s="5">
        <v>0</v>
      </c>
      <c r="AF54" s="5">
        <v>87.562550000000002</v>
      </c>
      <c r="AG54" s="5">
        <v>39</v>
      </c>
      <c r="AH54" s="5">
        <v>0.17</v>
      </c>
      <c r="AI54" s="5">
        <v>46.61</v>
      </c>
      <c r="AJ54" s="5">
        <v>64.61</v>
      </c>
      <c r="AK54" s="5">
        <v>42.96</v>
      </c>
      <c r="AL54" s="5">
        <v>45.01</v>
      </c>
      <c r="AM54" s="5">
        <v>413.58</v>
      </c>
      <c r="AN54" s="5">
        <v>118.3938</v>
      </c>
      <c r="AO54" s="5">
        <v>15.56</v>
      </c>
      <c r="AP54" s="5">
        <v>61.21</v>
      </c>
      <c r="AQ54" s="5">
        <v>27.81</v>
      </c>
      <c r="AR54" s="5">
        <v>411.21</v>
      </c>
      <c r="AS54" s="5">
        <v>27.41</v>
      </c>
      <c r="AT54" s="5">
        <v>45.13</v>
      </c>
      <c r="AU54" s="5">
        <v>93.71</v>
      </c>
      <c r="AV54" s="5">
        <v>116.61</v>
      </c>
      <c r="AW54" s="5">
        <v>0.27900000000000003</v>
      </c>
      <c r="AX54" s="5">
        <v>3.99</v>
      </c>
      <c r="AY54" s="5">
        <v>10000000000</v>
      </c>
      <c r="AZ54" s="5">
        <v>151.99</v>
      </c>
      <c r="BA54" s="5">
        <v>75.400000000000006</v>
      </c>
      <c r="BB54" s="5">
        <v>6.12</v>
      </c>
      <c r="BC54" s="5">
        <v>0.24</v>
      </c>
      <c r="BD54" s="5">
        <v>12.29</v>
      </c>
      <c r="BE54" s="5">
        <v>5.22</v>
      </c>
      <c r="BF54" s="5">
        <v>404.38</v>
      </c>
      <c r="BG54" s="5">
        <v>3.91</v>
      </c>
      <c r="BH54" s="5">
        <v>10000000000</v>
      </c>
      <c r="BI54" s="5">
        <v>260</v>
      </c>
      <c r="BJ54" s="5">
        <v>36.200000000000003</v>
      </c>
      <c r="BK54" s="5">
        <v>87.5</v>
      </c>
      <c r="BL54" s="5">
        <v>16.739999999999998</v>
      </c>
      <c r="BM54" s="5">
        <v>1.29</v>
      </c>
      <c r="BN54" s="5">
        <v>29.18</v>
      </c>
      <c r="BO54" s="5">
        <v>34.46</v>
      </c>
      <c r="BP54" s="5">
        <v>422.63</v>
      </c>
      <c r="BQ54" s="5">
        <v>47.52458</v>
      </c>
      <c r="BR54" s="5">
        <v>147.84450000000001</v>
      </c>
      <c r="BS54" s="5">
        <v>89.201599999999999</v>
      </c>
      <c r="BT54" s="5">
        <v>68.019260000000003</v>
      </c>
      <c r="BU54" s="5">
        <v>67.123050000000006</v>
      </c>
      <c r="BV54" s="5">
        <v>1.0932000000000001E-2</v>
      </c>
      <c r="BW54" s="5">
        <v>1.2666E-2</v>
      </c>
      <c r="BX54" s="5">
        <v>30.73677</v>
      </c>
      <c r="BY54" s="5">
        <v>18.995360000000002</v>
      </c>
      <c r="BZ54" s="5">
        <v>0</v>
      </c>
      <c r="CA54" s="5">
        <v>0.93509600000000004</v>
      </c>
      <c r="CB54" s="5">
        <v>453.6771</v>
      </c>
      <c r="CC54" s="5">
        <v>463.61649999999997</v>
      </c>
      <c r="CD54" s="5">
        <v>37.743540000000003</v>
      </c>
      <c r="CE54" s="5">
        <v>275.41000000000003</v>
      </c>
      <c r="CF54" s="5">
        <v>63.75</v>
      </c>
      <c r="CG54" s="5">
        <v>75.48</v>
      </c>
      <c r="CH54" s="5">
        <v>370.51</v>
      </c>
      <c r="CI54" s="5">
        <v>366.37</v>
      </c>
      <c r="CJ54" s="5">
        <v>376.07</v>
      </c>
      <c r="CK54" s="5">
        <v>414.35</v>
      </c>
      <c r="CL54" s="5">
        <v>386.2</v>
      </c>
      <c r="CM54" s="5">
        <v>370.98</v>
      </c>
      <c r="CN54" s="5">
        <v>356.71</v>
      </c>
      <c r="CO54" s="5">
        <v>26.56</v>
      </c>
      <c r="CP54" s="5">
        <v>231.4</v>
      </c>
      <c r="CQ54" s="5">
        <v>232.05</v>
      </c>
      <c r="CR54" s="5">
        <v>4.0999999999999996</v>
      </c>
      <c r="CS54" s="5">
        <v>4.2</v>
      </c>
      <c r="CT54" s="5">
        <v>23.83</v>
      </c>
      <c r="CU54" s="5">
        <v>15.57</v>
      </c>
      <c r="CV54" s="5">
        <v>101.57</v>
      </c>
      <c r="CW54" s="5">
        <v>0.83118481600000005</v>
      </c>
      <c r="CX54" s="5">
        <v>4.3387847395200003</v>
      </c>
    </row>
    <row r="55" spans="1:102" x14ac:dyDescent="0.25">
      <c r="A55" s="5">
        <v>48</v>
      </c>
      <c r="B55" s="23">
        <v>2.9503472222222219E-2</v>
      </c>
      <c r="C55" s="5">
        <v>6</v>
      </c>
      <c r="D55" s="5">
        <v>42</v>
      </c>
      <c r="E55" s="5">
        <v>339</v>
      </c>
      <c r="F55" s="5">
        <v>339</v>
      </c>
      <c r="G55" s="5">
        <v>339</v>
      </c>
      <c r="H55" s="5">
        <v>91.7</v>
      </c>
      <c r="I55" s="5">
        <v>91.7</v>
      </c>
      <c r="J55" s="5">
        <v>1800</v>
      </c>
      <c r="K55" s="5">
        <v>2</v>
      </c>
      <c r="L55" s="5">
        <v>2</v>
      </c>
      <c r="M55" s="5">
        <v>0.09</v>
      </c>
      <c r="N55" s="5">
        <v>9.0005000000000002E-2</v>
      </c>
      <c r="O55" s="5">
        <v>1</v>
      </c>
      <c r="P55" s="5">
        <v>1.0694699999999999</v>
      </c>
      <c r="Q55" s="5">
        <v>-4.3099999999999996</v>
      </c>
      <c r="R55" s="5">
        <v>-4.3066409999999999</v>
      </c>
      <c r="S55" s="5">
        <v>136.37</v>
      </c>
      <c r="T55" s="5">
        <v>136.375</v>
      </c>
      <c r="U55" s="5">
        <v>3.5</v>
      </c>
      <c r="V55" s="5">
        <v>3.5</v>
      </c>
      <c r="W55" s="5">
        <v>300</v>
      </c>
      <c r="X55" s="5">
        <v>300</v>
      </c>
      <c r="Y55" s="5">
        <v>3.5</v>
      </c>
      <c r="Z55" s="5">
        <v>3.5</v>
      </c>
      <c r="AA55" s="5">
        <v>300</v>
      </c>
      <c r="AB55" s="5">
        <v>300</v>
      </c>
      <c r="AC55" s="5">
        <v>0</v>
      </c>
      <c r="AD55" s="5">
        <v>89.581829999999997</v>
      </c>
      <c r="AE55" s="5">
        <v>0</v>
      </c>
      <c r="AF55" s="5">
        <v>89.581829999999997</v>
      </c>
      <c r="AG55" s="5">
        <v>39</v>
      </c>
      <c r="AH55" s="5">
        <v>0.17</v>
      </c>
      <c r="AI55" s="5">
        <v>50.37</v>
      </c>
      <c r="AJ55" s="5">
        <v>70.08</v>
      </c>
      <c r="AK55" s="5">
        <v>48.99</v>
      </c>
      <c r="AL55" s="5">
        <v>51.27</v>
      </c>
      <c r="AM55" s="5">
        <v>518.99</v>
      </c>
      <c r="AN55" s="5">
        <v>128.7099</v>
      </c>
      <c r="AO55" s="5">
        <v>26.03</v>
      </c>
      <c r="AP55" s="5">
        <v>62.42</v>
      </c>
      <c r="AQ55" s="5">
        <v>38.659999999999997</v>
      </c>
      <c r="AR55" s="5">
        <v>425.11</v>
      </c>
      <c r="AS55" s="5">
        <v>22.94</v>
      </c>
      <c r="AT55" s="5">
        <v>46.62</v>
      </c>
      <c r="AU55" s="5">
        <v>96.09</v>
      </c>
      <c r="AV55" s="5">
        <v>111.19</v>
      </c>
      <c r="AW55" s="5">
        <v>0.33200000000000002</v>
      </c>
      <c r="AX55" s="5">
        <v>4.82</v>
      </c>
      <c r="AY55" s="5">
        <v>10000000000</v>
      </c>
      <c r="AZ55" s="5">
        <v>185.27</v>
      </c>
      <c r="BA55" s="5">
        <v>59.39</v>
      </c>
      <c r="BB55" s="5">
        <v>7.91</v>
      </c>
      <c r="BC55" s="5">
        <v>0.59</v>
      </c>
      <c r="BD55" s="5">
        <v>9.61</v>
      </c>
      <c r="BE55" s="5">
        <v>3.3</v>
      </c>
      <c r="BF55" s="5">
        <v>376.66</v>
      </c>
      <c r="BG55" s="5">
        <v>7.43</v>
      </c>
      <c r="BH55" s="5">
        <v>10000000000</v>
      </c>
      <c r="BI55" s="5">
        <v>245.9</v>
      </c>
      <c r="BJ55" s="5">
        <v>27.1</v>
      </c>
      <c r="BK55" s="5">
        <v>85.8</v>
      </c>
      <c r="BL55" s="5">
        <v>34.14</v>
      </c>
      <c r="BM55" s="5">
        <v>1.41</v>
      </c>
      <c r="BN55" s="5">
        <v>29.51</v>
      </c>
      <c r="BO55" s="5">
        <v>36.24</v>
      </c>
      <c r="BP55" s="5">
        <v>440.9</v>
      </c>
      <c r="BQ55" s="5">
        <v>48.782080000000001</v>
      </c>
      <c r="BR55" s="5">
        <v>152.87090000000001</v>
      </c>
      <c r="BS55" s="5">
        <v>59.258409999999998</v>
      </c>
      <c r="BT55" s="5">
        <v>45.8583</v>
      </c>
      <c r="BU55" s="5">
        <v>45.824840000000002</v>
      </c>
      <c r="BV55" s="5">
        <v>7.8279000000000001E-2</v>
      </c>
      <c r="BW55" s="5">
        <v>8.5388000000000006E-2</v>
      </c>
      <c r="BX55" s="5">
        <v>47.367759999999997</v>
      </c>
      <c r="BY55" s="5">
        <v>18.995360000000002</v>
      </c>
      <c r="BZ55" s="5">
        <v>0</v>
      </c>
      <c r="CA55" s="5">
        <v>0.93198300000000001</v>
      </c>
      <c r="CB55" s="5">
        <v>489.59710000000001</v>
      </c>
      <c r="CC55" s="5">
        <v>503.94810000000001</v>
      </c>
      <c r="CD55" s="5">
        <v>54.367759999999997</v>
      </c>
      <c r="CE55" s="5">
        <v>420.93</v>
      </c>
      <c r="CF55" s="5">
        <v>73.28</v>
      </c>
      <c r="CG55" s="5">
        <v>87.09</v>
      </c>
      <c r="CH55" s="5">
        <v>423.72</v>
      </c>
      <c r="CI55" s="5">
        <v>436.94</v>
      </c>
      <c r="CJ55" s="5">
        <v>451.71</v>
      </c>
      <c r="CK55" s="5">
        <v>493.72</v>
      </c>
      <c r="CL55" s="5">
        <v>478.71</v>
      </c>
      <c r="CM55" s="5">
        <v>473.43</v>
      </c>
      <c r="CN55" s="5">
        <v>441.86</v>
      </c>
      <c r="CO55" s="5">
        <v>26.99</v>
      </c>
      <c r="CP55" s="5">
        <v>337</v>
      </c>
      <c r="CQ55" s="5">
        <v>339.05</v>
      </c>
      <c r="CR55" s="5">
        <v>6</v>
      </c>
      <c r="CS55" s="5">
        <v>6.1</v>
      </c>
      <c r="CT55" s="5">
        <v>25.88</v>
      </c>
      <c r="CU55" s="5">
        <v>26.97</v>
      </c>
      <c r="CV55" s="5">
        <v>101.35</v>
      </c>
      <c r="CW55" s="5">
        <v>0.86144027400000001</v>
      </c>
      <c r="CX55" s="5">
        <v>2.8427529041999997</v>
      </c>
    </row>
    <row r="56" spans="1:102" x14ac:dyDescent="0.25">
      <c r="A56" s="5">
        <v>43</v>
      </c>
      <c r="B56" s="23">
        <v>3.6667824074074075E-2</v>
      </c>
      <c r="C56" s="5">
        <v>6</v>
      </c>
      <c r="D56" s="5">
        <v>36</v>
      </c>
      <c r="E56" s="5">
        <v>318</v>
      </c>
      <c r="F56" s="5">
        <v>318</v>
      </c>
      <c r="G56" s="5">
        <v>318.10000000000002</v>
      </c>
      <c r="H56" s="5">
        <v>91.7</v>
      </c>
      <c r="I56" s="5">
        <v>91.7</v>
      </c>
      <c r="J56" s="5">
        <v>1800</v>
      </c>
      <c r="K56" s="5">
        <v>24</v>
      </c>
      <c r="L56" s="5">
        <v>24</v>
      </c>
      <c r="M56" s="5">
        <v>0.09</v>
      </c>
      <c r="N56" s="5">
        <v>9.0024000000000007E-2</v>
      </c>
      <c r="O56" s="5">
        <v>1</v>
      </c>
      <c r="P56" s="5">
        <v>1.069512</v>
      </c>
      <c r="Q56" s="5">
        <v>-4.34</v>
      </c>
      <c r="R56" s="5">
        <v>-4.3395999999999999</v>
      </c>
      <c r="S56" s="5">
        <v>132.52000000000001</v>
      </c>
      <c r="T56" s="5">
        <v>132.51560000000001</v>
      </c>
      <c r="U56" s="5">
        <v>3.5</v>
      </c>
      <c r="V56" s="5">
        <v>3.5</v>
      </c>
      <c r="W56" s="5">
        <v>300</v>
      </c>
      <c r="X56" s="5">
        <v>300</v>
      </c>
      <c r="Y56" s="5">
        <v>3.5</v>
      </c>
      <c r="Z56" s="5">
        <v>3.5</v>
      </c>
      <c r="AA56" s="5">
        <v>300</v>
      </c>
      <c r="AB56" s="5">
        <v>300</v>
      </c>
      <c r="AC56" s="5">
        <v>0</v>
      </c>
      <c r="AD56" s="5">
        <v>100.57989999999999</v>
      </c>
      <c r="AE56" s="5">
        <v>0</v>
      </c>
      <c r="AF56" s="5">
        <v>100.57989999999999</v>
      </c>
      <c r="AG56" s="5">
        <v>39</v>
      </c>
      <c r="AH56" s="5">
        <v>0.17</v>
      </c>
      <c r="AI56" s="5">
        <v>56.4</v>
      </c>
      <c r="AJ56" s="5">
        <v>81.22</v>
      </c>
      <c r="AK56" s="5">
        <v>69.930000000000007</v>
      </c>
      <c r="AL56" s="5">
        <v>72.2</v>
      </c>
      <c r="AM56" s="5">
        <v>449.62</v>
      </c>
      <c r="AN56" s="5">
        <v>144.88679999999999</v>
      </c>
      <c r="AO56" s="5">
        <v>42.13</v>
      </c>
      <c r="AP56" s="5">
        <v>75.94</v>
      </c>
      <c r="AQ56" s="5">
        <v>56.31</v>
      </c>
      <c r="AR56" s="5">
        <v>470.75</v>
      </c>
      <c r="AS56" s="5">
        <v>27.83</v>
      </c>
      <c r="AT56" s="5">
        <v>46.16</v>
      </c>
      <c r="AU56" s="5">
        <v>95.81</v>
      </c>
      <c r="AV56" s="5">
        <v>119.42</v>
      </c>
      <c r="AW56" s="5">
        <v>0.19900000000000001</v>
      </c>
      <c r="AX56" s="5">
        <v>2.79</v>
      </c>
      <c r="AY56" s="5">
        <v>10000000000</v>
      </c>
      <c r="AZ56" s="5">
        <v>162.84</v>
      </c>
      <c r="BA56" s="5">
        <v>68.41</v>
      </c>
      <c r="BB56" s="5">
        <v>6.57</v>
      </c>
      <c r="BC56" s="5">
        <v>0.53</v>
      </c>
      <c r="BD56" s="5">
        <v>10.32</v>
      </c>
      <c r="BE56" s="5">
        <v>3.72</v>
      </c>
      <c r="BF56" s="5">
        <v>351.18</v>
      </c>
      <c r="BG56" s="5">
        <v>8.09</v>
      </c>
      <c r="BH56" s="5">
        <v>10000000000</v>
      </c>
      <c r="BI56" s="5">
        <v>244.7</v>
      </c>
      <c r="BJ56" s="5">
        <v>32.1</v>
      </c>
      <c r="BK56" s="5">
        <v>84.9</v>
      </c>
      <c r="BL56" s="5">
        <v>41.46</v>
      </c>
      <c r="BM56" s="5">
        <v>1.59</v>
      </c>
      <c r="BN56" s="5">
        <v>29.47</v>
      </c>
      <c r="BO56" s="5">
        <v>35.14</v>
      </c>
      <c r="BP56" s="5">
        <v>485.42</v>
      </c>
      <c r="BQ56" s="5">
        <v>48.151040000000002</v>
      </c>
      <c r="BR56" s="5">
        <v>173.077</v>
      </c>
      <c r="BS56" s="5">
        <v>61.96566</v>
      </c>
      <c r="BT56" s="5">
        <v>58.499560000000002</v>
      </c>
      <c r="BU56" s="5">
        <v>57.825099999999999</v>
      </c>
      <c r="BV56" s="5">
        <v>5.9658000000000003E-2</v>
      </c>
      <c r="BW56" s="5">
        <v>5.9457000000000003E-2</v>
      </c>
      <c r="BX56" s="5">
        <v>42.867240000000002</v>
      </c>
      <c r="BY56" s="5">
        <v>18.995360000000002</v>
      </c>
      <c r="BZ56" s="5">
        <v>0</v>
      </c>
      <c r="CA56" s="5">
        <v>0.93296199999999996</v>
      </c>
      <c r="CB56" s="5">
        <v>552.86130000000003</v>
      </c>
      <c r="CC56" s="5">
        <v>566.01080000000002</v>
      </c>
      <c r="CD56" s="5">
        <v>49.867240000000002</v>
      </c>
      <c r="CE56" s="5">
        <v>388</v>
      </c>
      <c r="CF56" s="5">
        <v>69.72</v>
      </c>
      <c r="CG56" s="5">
        <v>85.18</v>
      </c>
      <c r="CH56" s="5">
        <v>382.29</v>
      </c>
      <c r="CI56" s="5">
        <v>387.39</v>
      </c>
      <c r="CJ56" s="5">
        <v>398.87</v>
      </c>
      <c r="CK56" s="5">
        <v>436.89</v>
      </c>
      <c r="CL56" s="5">
        <v>424.66</v>
      </c>
      <c r="CM56" s="5">
        <v>423.75</v>
      </c>
      <c r="CN56" s="5">
        <v>369.25</v>
      </c>
      <c r="CO56" s="5">
        <v>25.48</v>
      </c>
      <c r="CP56" s="5">
        <v>316</v>
      </c>
      <c r="CQ56" s="5">
        <v>318.05</v>
      </c>
      <c r="CR56" s="5">
        <v>5.7</v>
      </c>
      <c r="CS56" s="5">
        <v>5.7</v>
      </c>
      <c r="CT56" s="5">
        <v>25.86</v>
      </c>
      <c r="CU56" s="5">
        <v>26.88</v>
      </c>
      <c r="CV56" s="5">
        <v>101.37</v>
      </c>
      <c r="CW56" s="5">
        <v>0.86757717499999998</v>
      </c>
      <c r="CX56" s="5">
        <v>3.2273870910000002</v>
      </c>
    </row>
    <row r="57" spans="1:102" x14ac:dyDescent="0.25">
      <c r="A57" s="5">
        <v>28</v>
      </c>
      <c r="B57" s="23">
        <v>2.675578703703704E-2</v>
      </c>
      <c r="C57" s="5">
        <v>6</v>
      </c>
      <c r="D57" s="5">
        <v>22</v>
      </c>
      <c r="E57" s="5">
        <v>274</v>
      </c>
      <c r="F57" s="5">
        <v>274</v>
      </c>
      <c r="G57" s="5">
        <v>274</v>
      </c>
      <c r="H57" s="5">
        <v>91.7</v>
      </c>
      <c r="I57" s="5">
        <v>91.7</v>
      </c>
      <c r="J57" s="5">
        <v>1800</v>
      </c>
      <c r="K57" s="5">
        <v>37</v>
      </c>
      <c r="L57" s="5">
        <v>37</v>
      </c>
      <c r="M57" s="5">
        <v>0.08</v>
      </c>
      <c r="N57" s="5">
        <v>8.0006999999999995E-2</v>
      </c>
      <c r="O57" s="5">
        <v>1</v>
      </c>
      <c r="P57" s="5">
        <v>1.069474</v>
      </c>
      <c r="Q57" s="5">
        <v>-3.77</v>
      </c>
      <c r="R57" s="5">
        <v>-3.7683110000000002</v>
      </c>
      <c r="S57" s="5">
        <v>125.87</v>
      </c>
      <c r="T57" s="5">
        <v>125.875</v>
      </c>
      <c r="U57" s="5">
        <v>3.5</v>
      </c>
      <c r="V57" s="5">
        <v>3.5</v>
      </c>
      <c r="W57" s="5">
        <v>300</v>
      </c>
      <c r="X57" s="5">
        <v>300</v>
      </c>
      <c r="Y57" s="5">
        <v>3.5</v>
      </c>
      <c r="Z57" s="5">
        <v>3.5</v>
      </c>
      <c r="AA57" s="5">
        <v>300</v>
      </c>
      <c r="AB57" s="5">
        <v>300</v>
      </c>
      <c r="AC57" s="5">
        <v>0</v>
      </c>
      <c r="AD57" s="5">
        <v>102.2526</v>
      </c>
      <c r="AE57" s="5">
        <v>0</v>
      </c>
      <c r="AF57" s="5">
        <v>102.2526</v>
      </c>
      <c r="AG57" s="5">
        <v>39</v>
      </c>
      <c r="AH57" s="5">
        <v>0.17</v>
      </c>
      <c r="AI57" s="5">
        <v>58.91</v>
      </c>
      <c r="AJ57" s="5">
        <v>86</v>
      </c>
      <c r="AK57" s="5">
        <v>87.13</v>
      </c>
      <c r="AL57" s="5">
        <v>89</v>
      </c>
      <c r="AM57" s="5">
        <v>407.69</v>
      </c>
      <c r="AN57" s="5">
        <v>152.11330000000001</v>
      </c>
      <c r="AO57" s="5">
        <v>49.8</v>
      </c>
      <c r="AP57" s="5">
        <v>89.44</v>
      </c>
      <c r="AQ57" s="5">
        <v>64.48</v>
      </c>
      <c r="AR57" s="5">
        <v>490.55</v>
      </c>
      <c r="AS57" s="5">
        <v>37.36</v>
      </c>
      <c r="AT57" s="5">
        <v>57.05</v>
      </c>
      <c r="AU57" s="5">
        <v>95.37</v>
      </c>
      <c r="AV57" s="5">
        <v>116.17</v>
      </c>
      <c r="AW57" s="5">
        <v>0.183</v>
      </c>
      <c r="AX57" s="5">
        <v>2.5499999999999998</v>
      </c>
      <c r="AY57" s="5">
        <v>10000000000</v>
      </c>
      <c r="AZ57" s="5">
        <v>126.61</v>
      </c>
      <c r="BA57" s="5">
        <v>67.98</v>
      </c>
      <c r="BB57" s="5">
        <v>5.85</v>
      </c>
      <c r="BC57" s="5">
        <v>0.49</v>
      </c>
      <c r="BD57" s="5">
        <v>12.53</v>
      </c>
      <c r="BE57" s="5">
        <v>4.59</v>
      </c>
      <c r="BF57" s="5">
        <v>350.83</v>
      </c>
      <c r="BG57" s="5">
        <v>8.34</v>
      </c>
      <c r="BH57" s="5">
        <v>10000000000</v>
      </c>
      <c r="BI57" s="5">
        <v>254.7</v>
      </c>
      <c r="BJ57" s="5">
        <v>37.299999999999997</v>
      </c>
      <c r="BK57" s="5">
        <v>87.2</v>
      </c>
      <c r="BL57" s="5">
        <v>44.68</v>
      </c>
      <c r="BM57" s="5">
        <v>1.62</v>
      </c>
      <c r="BN57" s="5">
        <v>29.41</v>
      </c>
      <c r="BO57" s="5">
        <v>34.299999999999997</v>
      </c>
      <c r="BP57" s="5">
        <v>503.97</v>
      </c>
      <c r="BQ57" s="5">
        <v>58.466410000000003</v>
      </c>
      <c r="BR57" s="5">
        <v>190.29990000000001</v>
      </c>
      <c r="BS57" s="5">
        <v>76.636020000000002</v>
      </c>
      <c r="BT57" s="5">
        <v>70.551550000000006</v>
      </c>
      <c r="BU57" s="5">
        <v>69.619950000000003</v>
      </c>
      <c r="BV57" s="5">
        <v>3.4659000000000002E-2</v>
      </c>
      <c r="BW57" s="5">
        <v>3.5465999999999998E-2</v>
      </c>
      <c r="BX57" s="5">
        <v>36.654170000000001</v>
      </c>
      <c r="BY57" s="5">
        <v>18.995360000000002</v>
      </c>
      <c r="BZ57" s="5">
        <v>0</v>
      </c>
      <c r="CA57" s="5">
        <v>0.93431699999999995</v>
      </c>
      <c r="CB57" s="5">
        <v>563.18790000000001</v>
      </c>
      <c r="CC57" s="5">
        <v>574.68899999999996</v>
      </c>
      <c r="CD57" s="5">
        <v>43.657080000000001</v>
      </c>
      <c r="CE57" s="5">
        <v>365.08</v>
      </c>
      <c r="CF57" s="5">
        <v>75.52</v>
      </c>
      <c r="CG57" s="5">
        <v>87.08</v>
      </c>
      <c r="CH57" s="5">
        <v>364.93</v>
      </c>
      <c r="CI57" s="5">
        <v>363.16</v>
      </c>
      <c r="CJ57" s="5">
        <v>376.55</v>
      </c>
      <c r="CK57" s="5">
        <v>403.57</v>
      </c>
      <c r="CL57" s="5">
        <v>392.91</v>
      </c>
      <c r="CM57" s="5">
        <v>395.78</v>
      </c>
      <c r="CN57" s="5">
        <v>324.31</v>
      </c>
      <c r="CO57" s="5">
        <v>25.85</v>
      </c>
      <c r="CP57" s="5">
        <v>273.10000000000002</v>
      </c>
      <c r="CQ57" s="5">
        <v>274.05</v>
      </c>
      <c r="CR57" s="5">
        <v>4.9000000000000004</v>
      </c>
      <c r="CS57" s="5">
        <v>4.9000000000000004</v>
      </c>
      <c r="CT57" s="5">
        <v>24.04</v>
      </c>
      <c r="CU57" s="5">
        <v>16.690000000000001</v>
      </c>
      <c r="CV57" s="5">
        <v>101.47</v>
      </c>
      <c r="CW57" s="5">
        <v>0.83792772199999999</v>
      </c>
      <c r="CX57" s="5">
        <v>3.8460882439799997</v>
      </c>
    </row>
    <row r="58" spans="1:102" x14ac:dyDescent="0.25">
      <c r="A58" s="5">
        <v>40</v>
      </c>
      <c r="B58" s="23">
        <v>41401.651661782409</v>
      </c>
      <c r="C58" s="5">
        <v>7</v>
      </c>
      <c r="D58" s="5">
        <v>41</v>
      </c>
      <c r="E58" s="5">
        <v>537</v>
      </c>
      <c r="F58" s="5">
        <v>537</v>
      </c>
      <c r="G58" s="5">
        <v>537.1</v>
      </c>
      <c r="H58" s="5">
        <v>91.7</v>
      </c>
      <c r="I58" s="5">
        <v>91.7</v>
      </c>
      <c r="J58" s="5">
        <v>1800</v>
      </c>
      <c r="K58" s="5">
        <v>51</v>
      </c>
      <c r="L58" s="5">
        <v>51</v>
      </c>
      <c r="M58" s="5">
        <v>0.28000000000000003</v>
      </c>
      <c r="N58" s="5">
        <v>0.28003099999999997</v>
      </c>
      <c r="O58" s="5">
        <v>1</v>
      </c>
      <c r="P58" s="5">
        <v>1.068892</v>
      </c>
      <c r="Q58" s="5">
        <v>-4.49</v>
      </c>
      <c r="R58" s="5">
        <v>-4.4934079999999996</v>
      </c>
      <c r="S58" s="5">
        <v>174.9</v>
      </c>
      <c r="T58" s="5">
        <v>174.90629999999999</v>
      </c>
      <c r="U58" s="5">
        <v>3.5</v>
      </c>
      <c r="V58" s="5">
        <v>3.5</v>
      </c>
      <c r="W58" s="5">
        <v>300</v>
      </c>
      <c r="X58" s="5">
        <v>300</v>
      </c>
      <c r="Y58" s="5">
        <v>0</v>
      </c>
      <c r="Z58" s="5">
        <v>0</v>
      </c>
      <c r="AA58" s="5">
        <v>300</v>
      </c>
      <c r="AB58" s="5">
        <v>300</v>
      </c>
      <c r="AC58" s="5">
        <v>0</v>
      </c>
      <c r="AD58" s="5">
        <v>147.10890000000001</v>
      </c>
      <c r="AE58" s="5">
        <v>0</v>
      </c>
      <c r="AF58" s="5">
        <v>142.5556</v>
      </c>
      <c r="AG58" s="5">
        <v>34</v>
      </c>
      <c r="AH58" s="5">
        <v>0.2</v>
      </c>
      <c r="AI58" s="5">
        <v>84.58</v>
      </c>
      <c r="AJ58" s="5">
        <v>113.61</v>
      </c>
      <c r="AK58" s="5">
        <v>175.44</v>
      </c>
      <c r="AL58" s="5">
        <v>174.3</v>
      </c>
      <c r="AM58" s="5">
        <v>519.08000000000004</v>
      </c>
      <c r="AN58" s="5">
        <v>229.24270000000001</v>
      </c>
      <c r="AO58" s="5">
        <v>128.6</v>
      </c>
      <c r="AP58" s="5">
        <v>141.94999999999999</v>
      </c>
      <c r="AQ58" s="5">
        <v>143.13</v>
      </c>
      <c r="AR58" s="5">
        <v>598.99</v>
      </c>
      <c r="AS58" s="5">
        <v>46.85</v>
      </c>
      <c r="AT58" s="5">
        <v>74.25</v>
      </c>
      <c r="AU58" s="5">
        <v>128.19</v>
      </c>
      <c r="AV58" s="5">
        <v>115</v>
      </c>
      <c r="AW58" s="5">
        <v>0.56799999999999995</v>
      </c>
      <c r="AX58" s="5">
        <v>8.8800000000000008</v>
      </c>
      <c r="AY58" s="5">
        <v>10000000000</v>
      </c>
      <c r="AZ58" s="5">
        <v>149.30000000000001</v>
      </c>
      <c r="BA58" s="5">
        <v>26.89</v>
      </c>
      <c r="BB58" s="5">
        <v>8.49</v>
      </c>
      <c r="BC58" s="5">
        <v>2</v>
      </c>
      <c r="BD58" s="5">
        <v>8.64</v>
      </c>
      <c r="BE58" s="5">
        <v>1.29</v>
      </c>
      <c r="BF58" s="5">
        <v>166.89</v>
      </c>
      <c r="BG58" s="5">
        <v>23.54</v>
      </c>
      <c r="BH58" s="5">
        <v>10000000000</v>
      </c>
      <c r="BI58" s="5">
        <v>234.4</v>
      </c>
      <c r="BJ58" s="5">
        <v>25.3</v>
      </c>
      <c r="BK58" s="5">
        <v>84.6</v>
      </c>
      <c r="BL58" s="5">
        <v>184.48</v>
      </c>
      <c r="BM58" s="5">
        <v>2.44</v>
      </c>
      <c r="BN58" s="5">
        <v>30.8</v>
      </c>
      <c r="BO58" s="5">
        <v>36.74</v>
      </c>
      <c r="BP58" s="5">
        <v>622.87</v>
      </c>
      <c r="BQ58" s="5">
        <v>73.105779999999996</v>
      </c>
      <c r="BR58" s="5">
        <v>267.59739999999999</v>
      </c>
      <c r="BS58" s="5">
        <v>46.391849999999998</v>
      </c>
      <c r="BT58" s="5">
        <v>47.31147</v>
      </c>
      <c r="BU58" s="5">
        <v>46.555909999999997</v>
      </c>
      <c r="BV58" s="5">
        <v>0.10553999999999999</v>
      </c>
      <c r="BW58" s="5">
        <v>9.9650000000000002E-2</v>
      </c>
      <c r="BX58" s="5">
        <v>81.770359999999997</v>
      </c>
      <c r="BY58" s="5">
        <v>18.995360000000002</v>
      </c>
      <c r="BZ58" s="5">
        <v>0</v>
      </c>
      <c r="CA58" s="5">
        <v>0.92905800000000005</v>
      </c>
      <c r="CB58" s="5">
        <v>808.34979999999996</v>
      </c>
      <c r="CC58" s="5">
        <v>830.89559999999994</v>
      </c>
      <c r="CD58" s="5">
        <v>85.253330000000005</v>
      </c>
      <c r="CE58" s="5">
        <v>505.51</v>
      </c>
      <c r="CF58" s="5">
        <v>103.59</v>
      </c>
      <c r="CG58" s="5">
        <v>122.58</v>
      </c>
      <c r="CH58" s="5">
        <v>436.09</v>
      </c>
      <c r="CI58" s="5">
        <v>455.35</v>
      </c>
      <c r="CJ58" s="5">
        <v>471.94</v>
      </c>
      <c r="CK58" s="5">
        <v>495.95</v>
      </c>
      <c r="CL58" s="5">
        <v>495.73</v>
      </c>
      <c r="CM58" s="5">
        <v>493.8</v>
      </c>
      <c r="CN58" s="5">
        <v>370.25</v>
      </c>
      <c r="CO58" s="5">
        <v>29.3</v>
      </c>
      <c r="CP58" s="5">
        <v>535.9</v>
      </c>
      <c r="CQ58" s="5">
        <v>537.04999999999995</v>
      </c>
      <c r="CR58" s="5">
        <v>9.6</v>
      </c>
      <c r="CS58" s="5">
        <v>9.6</v>
      </c>
      <c r="CT58" s="5">
        <v>26.05</v>
      </c>
      <c r="CU58" s="5">
        <v>29.03</v>
      </c>
      <c r="CV58" s="5">
        <v>100.65</v>
      </c>
      <c r="CW58" s="5">
        <v>0.86153623425843495</v>
      </c>
      <c r="CX58" s="70">
        <v>1.1113817421933812</v>
      </c>
    </row>
    <row r="59" spans="1:102" x14ac:dyDescent="0.25">
      <c r="A59" s="5">
        <v>38</v>
      </c>
      <c r="B59" s="23">
        <v>41401.631045856484</v>
      </c>
      <c r="C59" s="5">
        <v>7</v>
      </c>
      <c r="D59" s="5">
        <v>39</v>
      </c>
      <c r="E59" s="5">
        <v>530</v>
      </c>
      <c r="F59" s="5">
        <v>530</v>
      </c>
      <c r="G59" s="5">
        <v>530.1</v>
      </c>
      <c r="H59" s="5">
        <v>91.7</v>
      </c>
      <c r="I59" s="5">
        <v>91.7</v>
      </c>
      <c r="J59" s="5">
        <v>1800</v>
      </c>
      <c r="K59" s="5">
        <v>22</v>
      </c>
      <c r="L59" s="5">
        <v>22</v>
      </c>
      <c r="M59" s="5">
        <v>0.15</v>
      </c>
      <c r="N59" s="5">
        <v>0.15007300000000001</v>
      </c>
      <c r="O59" s="5">
        <v>1</v>
      </c>
      <c r="P59" s="5">
        <v>1.0689390000000001</v>
      </c>
      <c r="Q59" s="5">
        <v>-4.58</v>
      </c>
      <c r="R59" s="5">
        <v>-4.5812989999999996</v>
      </c>
      <c r="S59" s="5">
        <v>173.96</v>
      </c>
      <c r="T59" s="5">
        <v>173.95310000000001</v>
      </c>
      <c r="U59" s="5">
        <v>3.5</v>
      </c>
      <c r="V59" s="5">
        <v>3.5</v>
      </c>
      <c r="W59" s="5">
        <v>300</v>
      </c>
      <c r="X59" s="5">
        <v>300</v>
      </c>
      <c r="Y59" s="5">
        <v>0</v>
      </c>
      <c r="Z59" s="5">
        <v>0</v>
      </c>
      <c r="AA59" s="5">
        <v>300</v>
      </c>
      <c r="AB59" s="5">
        <v>300</v>
      </c>
      <c r="AC59" s="5">
        <v>0</v>
      </c>
      <c r="AD59" s="5">
        <v>121.4268</v>
      </c>
      <c r="AE59" s="5">
        <v>0</v>
      </c>
      <c r="AF59" s="5">
        <v>121.4268</v>
      </c>
      <c r="AG59" s="5">
        <v>34</v>
      </c>
      <c r="AH59" s="5">
        <v>0.2</v>
      </c>
      <c r="AI59" s="5">
        <v>70.13</v>
      </c>
      <c r="AJ59" s="5">
        <v>100.62</v>
      </c>
      <c r="AK59" s="5">
        <v>104.07</v>
      </c>
      <c r="AL59" s="5">
        <v>106.47</v>
      </c>
      <c r="AM59" s="5">
        <v>567.99</v>
      </c>
      <c r="AN59" s="5">
        <v>182.63149999999999</v>
      </c>
      <c r="AO59" s="5">
        <v>81.55</v>
      </c>
      <c r="AP59" s="5">
        <v>111.64</v>
      </c>
      <c r="AQ59" s="5">
        <v>97.25</v>
      </c>
      <c r="AR59" s="5">
        <v>581.44000000000005</v>
      </c>
      <c r="AS59" s="5">
        <v>22.55</v>
      </c>
      <c r="AT59" s="5">
        <v>59.12</v>
      </c>
      <c r="AU59" s="5">
        <v>99.42</v>
      </c>
      <c r="AV59" s="5">
        <v>116.93</v>
      </c>
      <c r="AW59" s="5">
        <v>0.247</v>
      </c>
      <c r="AX59" s="5">
        <v>3.5</v>
      </c>
      <c r="AY59" s="5">
        <v>10000000000</v>
      </c>
      <c r="AZ59" s="5">
        <v>132.29</v>
      </c>
      <c r="BA59" s="5">
        <v>25.24</v>
      </c>
      <c r="BB59" s="5">
        <v>8.49</v>
      </c>
      <c r="BC59" s="5">
        <v>0.81</v>
      </c>
      <c r="BD59" s="5">
        <v>8.7100000000000009</v>
      </c>
      <c r="BE59" s="5">
        <v>3.18</v>
      </c>
      <c r="BF59" s="5">
        <v>420.57</v>
      </c>
      <c r="BG59" s="5">
        <v>9.59</v>
      </c>
      <c r="BH59" s="5">
        <v>10000000000</v>
      </c>
      <c r="BI59" s="5">
        <v>230.7</v>
      </c>
      <c r="BJ59" s="5">
        <v>25.2</v>
      </c>
      <c r="BK59" s="5">
        <v>86.6</v>
      </c>
      <c r="BL59" s="5">
        <v>61.66</v>
      </c>
      <c r="BM59" s="5">
        <v>1.96</v>
      </c>
      <c r="BN59" s="5">
        <v>29.72</v>
      </c>
      <c r="BO59" s="5">
        <v>36.75</v>
      </c>
      <c r="BP59" s="5">
        <v>604.30999999999995</v>
      </c>
      <c r="BQ59" s="5">
        <v>59.976039999999998</v>
      </c>
      <c r="BR59" s="5">
        <v>205.40559999999999</v>
      </c>
      <c r="BS59" s="5">
        <v>46.97972</v>
      </c>
      <c r="BT59" s="5">
        <v>39.667340000000003</v>
      </c>
      <c r="BU59" s="5">
        <v>39.473909999999997</v>
      </c>
      <c r="BV59" s="5">
        <v>0.106726</v>
      </c>
      <c r="BW59" s="5">
        <v>0.108905</v>
      </c>
      <c r="BX59" s="5">
        <v>79.708749999999995</v>
      </c>
      <c r="BY59" s="5">
        <v>18.995360000000002</v>
      </c>
      <c r="BZ59" s="5">
        <v>0</v>
      </c>
      <c r="CA59" s="5">
        <v>0.92972299999999997</v>
      </c>
      <c r="CB59" s="5">
        <v>669.85289999999998</v>
      </c>
      <c r="CC59" s="5">
        <v>691.85209999999995</v>
      </c>
      <c r="CD59" s="5">
        <v>83.205150000000003</v>
      </c>
      <c r="CE59" s="5">
        <v>481.25</v>
      </c>
      <c r="CF59" s="5">
        <v>81.22</v>
      </c>
      <c r="CG59" s="5">
        <v>94.42</v>
      </c>
      <c r="CH59" s="5">
        <v>460.14</v>
      </c>
      <c r="CI59" s="5">
        <v>482.19</v>
      </c>
      <c r="CJ59" s="5">
        <v>495.68</v>
      </c>
      <c r="CK59" s="5">
        <v>525.26</v>
      </c>
      <c r="CL59" s="5">
        <v>517.33000000000004</v>
      </c>
      <c r="CM59" s="5">
        <v>512.57000000000005</v>
      </c>
      <c r="CN59" s="5">
        <v>448.5</v>
      </c>
      <c r="CO59" s="5">
        <v>29.5</v>
      </c>
      <c r="CP59" s="5">
        <v>528.9</v>
      </c>
      <c r="CQ59" s="5">
        <v>530.04999999999995</v>
      </c>
      <c r="CR59" s="5">
        <v>9.5</v>
      </c>
      <c r="CS59" s="5">
        <v>9.5</v>
      </c>
      <c r="CT59" s="5">
        <v>25.97</v>
      </c>
      <c r="CU59" s="5">
        <v>29.85</v>
      </c>
      <c r="CV59" s="5">
        <v>100.67</v>
      </c>
      <c r="CW59" s="5">
        <v>0.86247231606081631</v>
      </c>
      <c r="CX59" s="70">
        <v>2.7426619650733959</v>
      </c>
    </row>
    <row r="60" spans="1:102" x14ac:dyDescent="0.25">
      <c r="A60" s="5">
        <v>11</v>
      </c>
      <c r="B60" s="23">
        <v>41397.699734074071</v>
      </c>
      <c r="C60" s="5">
        <v>7</v>
      </c>
      <c r="D60" s="5">
        <v>3</v>
      </c>
      <c r="E60" s="5">
        <v>406</v>
      </c>
      <c r="F60" s="5">
        <v>406</v>
      </c>
      <c r="G60" s="5">
        <v>406</v>
      </c>
      <c r="H60" s="5">
        <v>91.7</v>
      </c>
      <c r="I60" s="5">
        <v>91.7</v>
      </c>
      <c r="J60" s="5">
        <v>1800</v>
      </c>
      <c r="K60" s="5">
        <v>11</v>
      </c>
      <c r="L60" s="5">
        <v>11</v>
      </c>
      <c r="M60" s="5">
        <v>0.25</v>
      </c>
      <c r="N60" s="5">
        <v>0.25004599999999999</v>
      </c>
      <c r="O60" s="5">
        <v>1</v>
      </c>
      <c r="P60" s="5">
        <v>1.068948</v>
      </c>
      <c r="Q60" s="5">
        <v>-4.28</v>
      </c>
      <c r="R60" s="5">
        <v>-4.2846679999999999</v>
      </c>
      <c r="S60" s="5">
        <v>148.94999999999999</v>
      </c>
      <c r="T60" s="5">
        <v>148.95310000000001</v>
      </c>
      <c r="U60" s="5">
        <v>3.5</v>
      </c>
      <c r="V60" s="5">
        <v>3.5</v>
      </c>
      <c r="W60" s="5">
        <v>300</v>
      </c>
      <c r="X60" s="5">
        <v>300</v>
      </c>
      <c r="Y60" s="5">
        <v>3.5</v>
      </c>
      <c r="Z60" s="5">
        <v>3.5</v>
      </c>
      <c r="AA60" s="5">
        <v>300</v>
      </c>
      <c r="AB60" s="5">
        <v>300</v>
      </c>
      <c r="AC60" s="5">
        <v>0</v>
      </c>
      <c r="AD60" s="5">
        <v>98.321659999999994</v>
      </c>
      <c r="AE60" s="5">
        <v>0</v>
      </c>
      <c r="AF60" s="5">
        <v>98.321659999999994</v>
      </c>
      <c r="AG60" s="5">
        <v>34</v>
      </c>
      <c r="AH60" s="5">
        <v>0.2</v>
      </c>
      <c r="AI60" s="5">
        <v>55.62</v>
      </c>
      <c r="AJ60" s="5">
        <v>77.44</v>
      </c>
      <c r="AK60" s="5">
        <v>57.74</v>
      </c>
      <c r="AL60" s="5">
        <v>58.91</v>
      </c>
      <c r="AM60" s="5">
        <v>545.27</v>
      </c>
      <c r="AN60" s="5">
        <v>143.3794</v>
      </c>
      <c r="AO60" s="5">
        <v>41.31</v>
      </c>
      <c r="AP60" s="5">
        <v>72.41</v>
      </c>
      <c r="AQ60" s="5">
        <v>51.97</v>
      </c>
      <c r="AR60" s="5">
        <v>434.01</v>
      </c>
      <c r="AS60" s="5">
        <v>16.43</v>
      </c>
      <c r="AT60" s="5">
        <v>50.81</v>
      </c>
      <c r="AU60" s="5">
        <v>100.27</v>
      </c>
      <c r="AV60" s="5">
        <v>113.17</v>
      </c>
      <c r="AW60" s="5">
        <v>0.54500000000000004</v>
      </c>
      <c r="AX60" s="5">
        <v>8.4600000000000009</v>
      </c>
      <c r="AY60" s="5">
        <v>10000000000</v>
      </c>
      <c r="AZ60" s="5">
        <v>206.02</v>
      </c>
      <c r="BA60" s="5">
        <v>46.31</v>
      </c>
      <c r="BB60" s="5">
        <v>8.89</v>
      </c>
      <c r="BC60" s="5">
        <v>1.24</v>
      </c>
      <c r="BD60" s="5">
        <v>8.2799999999999994</v>
      </c>
      <c r="BE60" s="5">
        <v>1.95</v>
      </c>
      <c r="BF60" s="5">
        <v>266.22000000000003</v>
      </c>
      <c r="BG60" s="5">
        <v>13.9</v>
      </c>
      <c r="BH60" s="5">
        <v>10000000000</v>
      </c>
      <c r="BI60" s="5">
        <v>238.2</v>
      </c>
      <c r="BJ60" s="5">
        <v>23.8</v>
      </c>
      <c r="BK60" s="5">
        <v>83.9</v>
      </c>
      <c r="BL60" s="5">
        <v>70.14</v>
      </c>
      <c r="BM60" s="5">
        <v>1.59</v>
      </c>
      <c r="BN60" s="5">
        <v>30.11</v>
      </c>
      <c r="BO60" s="5">
        <v>37.19</v>
      </c>
      <c r="BP60" s="5">
        <v>452.57</v>
      </c>
      <c r="BQ60" s="5">
        <v>52.41</v>
      </c>
      <c r="BR60" s="5">
        <v>157.79910000000001</v>
      </c>
      <c r="BS60" s="5">
        <v>55.071669999999997</v>
      </c>
      <c r="BT60" s="5">
        <v>43.153329999999997</v>
      </c>
      <c r="BU60" s="5">
        <v>43.198390000000003</v>
      </c>
      <c r="BV60" s="5">
        <v>9.3826000000000007E-2</v>
      </c>
      <c r="BW60" s="5">
        <v>0.10072</v>
      </c>
      <c r="BX60" s="5">
        <v>55.177030000000002</v>
      </c>
      <c r="BY60" s="5">
        <v>18.995360000000002</v>
      </c>
      <c r="BZ60" s="5">
        <v>0</v>
      </c>
      <c r="CA60" s="5">
        <v>0.93076000000000003</v>
      </c>
      <c r="CB60" s="5">
        <v>538.69169999999997</v>
      </c>
      <c r="CC60" s="5">
        <v>555.10749999999996</v>
      </c>
      <c r="CD60" s="5">
        <v>62.177030000000002</v>
      </c>
      <c r="CE60" s="5">
        <v>491.7</v>
      </c>
      <c r="CF60" s="5">
        <v>78.38</v>
      </c>
      <c r="CG60" s="5">
        <v>92.58</v>
      </c>
      <c r="CH60" s="5">
        <v>444.95</v>
      </c>
      <c r="CI60" s="5">
        <v>460.15</v>
      </c>
      <c r="CJ60" s="5">
        <v>470.89</v>
      </c>
      <c r="CK60" s="5">
        <v>512.16999999999996</v>
      </c>
      <c r="CL60" s="5">
        <v>489.41</v>
      </c>
      <c r="CM60" s="5">
        <v>500.76</v>
      </c>
      <c r="CN60" s="5">
        <v>456.28</v>
      </c>
      <c r="CO60" s="5">
        <v>26.58</v>
      </c>
      <c r="CP60" s="5">
        <v>404</v>
      </c>
      <c r="CQ60" s="5">
        <v>406.05</v>
      </c>
      <c r="CR60" s="5">
        <v>7.2</v>
      </c>
      <c r="CS60" s="5">
        <v>7.3</v>
      </c>
      <c r="CT60" s="5">
        <v>24.84</v>
      </c>
      <c r="CU60" s="5">
        <v>39.74</v>
      </c>
      <c r="CV60" s="5">
        <v>100.75</v>
      </c>
      <c r="CW60" s="5">
        <v>0.8662745831042945</v>
      </c>
      <c r="CX60" s="70">
        <v>1.6892354370533742</v>
      </c>
    </row>
    <row r="61" spans="1:102" x14ac:dyDescent="0.25">
      <c r="A61" s="5">
        <v>18</v>
      </c>
      <c r="B61" s="23">
        <v>41401.507419606482</v>
      </c>
      <c r="C61" s="5">
        <v>7</v>
      </c>
      <c r="D61" s="5">
        <v>22</v>
      </c>
      <c r="E61" s="5">
        <v>474</v>
      </c>
      <c r="F61" s="5">
        <v>474</v>
      </c>
      <c r="G61" s="5">
        <v>474.1</v>
      </c>
      <c r="H61" s="5">
        <v>91.7</v>
      </c>
      <c r="I61" s="5">
        <v>91.7</v>
      </c>
      <c r="J61" s="5">
        <v>1800</v>
      </c>
      <c r="K61" s="5">
        <v>32</v>
      </c>
      <c r="L61" s="5">
        <v>32</v>
      </c>
      <c r="M61" s="5">
        <v>0.1</v>
      </c>
      <c r="N61" s="5">
        <v>9.9976999999999996E-2</v>
      </c>
      <c r="O61" s="5">
        <v>1</v>
      </c>
      <c r="P61" s="5">
        <v>1.0688880000000001</v>
      </c>
      <c r="Q61" s="5">
        <v>-4.79</v>
      </c>
      <c r="R61" s="5">
        <v>-4.7900390000000002</v>
      </c>
      <c r="S61" s="5">
        <v>164.13</v>
      </c>
      <c r="T61" s="5">
        <v>164.125</v>
      </c>
      <c r="U61" s="5">
        <v>3.5</v>
      </c>
      <c r="V61" s="5">
        <v>3.5</v>
      </c>
      <c r="W61" s="5">
        <v>300</v>
      </c>
      <c r="X61" s="5">
        <v>300</v>
      </c>
      <c r="Y61" s="5">
        <v>3.5</v>
      </c>
      <c r="Z61" s="5">
        <v>3.5</v>
      </c>
      <c r="AA61" s="5">
        <v>300</v>
      </c>
      <c r="AB61" s="5">
        <v>300</v>
      </c>
      <c r="AC61" s="5">
        <v>0</v>
      </c>
      <c r="AD61" s="5">
        <v>125.43680000000001</v>
      </c>
      <c r="AE61" s="5">
        <v>0</v>
      </c>
      <c r="AF61" s="5">
        <v>125.4379</v>
      </c>
      <c r="AG61" s="5">
        <v>34</v>
      </c>
      <c r="AH61" s="5">
        <v>0.2</v>
      </c>
      <c r="AI61" s="5">
        <v>72.72</v>
      </c>
      <c r="AJ61" s="5">
        <v>103.94</v>
      </c>
      <c r="AK61" s="5">
        <v>122.07</v>
      </c>
      <c r="AL61" s="5">
        <v>124.25</v>
      </c>
      <c r="AM61" s="5">
        <v>507.71</v>
      </c>
      <c r="AN61" s="5">
        <v>188.94049999999999</v>
      </c>
      <c r="AO61" s="5">
        <v>87.92</v>
      </c>
      <c r="AP61" s="5">
        <v>116.08</v>
      </c>
      <c r="AQ61" s="5">
        <v>104.26</v>
      </c>
      <c r="AR61" s="5">
        <v>608.84</v>
      </c>
      <c r="AS61" s="5">
        <v>34.14</v>
      </c>
      <c r="AT61" s="5">
        <v>59.2</v>
      </c>
      <c r="AU61" s="5">
        <v>98.55</v>
      </c>
      <c r="AV61" s="5">
        <v>115.63</v>
      </c>
      <c r="AW61" s="5">
        <v>8.4000000000000005E-2</v>
      </c>
      <c r="AX61" s="5">
        <v>1.1399999999999999</v>
      </c>
      <c r="AY61" s="5">
        <v>10000000000</v>
      </c>
      <c r="AZ61" s="5">
        <v>101.38</v>
      </c>
      <c r="BA61" s="5">
        <v>36.19</v>
      </c>
      <c r="BB61" s="5">
        <v>7.37</v>
      </c>
      <c r="BC61" s="5">
        <v>0.66</v>
      </c>
      <c r="BD61" s="5">
        <v>10.36</v>
      </c>
      <c r="BE61" s="5">
        <v>3.73</v>
      </c>
      <c r="BF61" s="5">
        <v>410.75</v>
      </c>
      <c r="BG61" s="5">
        <v>8.9</v>
      </c>
      <c r="BH61" s="5">
        <v>10000000000</v>
      </c>
      <c r="BI61" s="5">
        <v>232.5</v>
      </c>
      <c r="BJ61" s="5">
        <v>29.3</v>
      </c>
      <c r="BK61" s="5">
        <v>87.4</v>
      </c>
      <c r="BL61" s="5">
        <v>59.45</v>
      </c>
      <c r="BM61" s="5">
        <v>2.02</v>
      </c>
      <c r="BN61" s="5">
        <v>29.57</v>
      </c>
      <c r="BO61" s="5">
        <v>35.71</v>
      </c>
      <c r="BP61" s="5">
        <v>629.52</v>
      </c>
      <c r="BQ61" s="5">
        <v>60.08099</v>
      </c>
      <c r="BR61" s="5">
        <v>224.2175</v>
      </c>
      <c r="BS61" s="5">
        <v>50.57009</v>
      </c>
      <c r="BT61" s="5">
        <v>48.680529999999997</v>
      </c>
      <c r="BU61" s="5">
        <v>48.145890000000001</v>
      </c>
      <c r="BV61" s="5">
        <v>0.10706</v>
      </c>
      <c r="BW61" s="5">
        <v>0.10431600000000001</v>
      </c>
      <c r="BX61" s="5">
        <v>63.625259999999997</v>
      </c>
      <c r="BY61" s="5">
        <v>18.995360000000002</v>
      </c>
      <c r="BZ61" s="5">
        <v>0</v>
      </c>
      <c r="CA61" s="5">
        <v>0.93075699999999995</v>
      </c>
      <c r="CB61" s="5">
        <v>693.64670000000001</v>
      </c>
      <c r="CC61" s="5">
        <v>712.3125</v>
      </c>
      <c r="CD61" s="5">
        <v>70.631559999999993</v>
      </c>
      <c r="CE61" s="5">
        <v>443.2</v>
      </c>
      <c r="CF61" s="5">
        <v>80.13</v>
      </c>
      <c r="CG61" s="5">
        <v>92.88</v>
      </c>
      <c r="CH61" s="5">
        <v>420.93</v>
      </c>
      <c r="CI61" s="5">
        <v>437.45</v>
      </c>
      <c r="CJ61" s="5">
        <v>450.33</v>
      </c>
      <c r="CK61" s="5">
        <v>486.73</v>
      </c>
      <c r="CL61" s="5">
        <v>479.31</v>
      </c>
      <c r="CM61" s="5">
        <v>475.62</v>
      </c>
      <c r="CN61" s="5">
        <v>389.63</v>
      </c>
      <c r="CO61" s="5">
        <v>28.35</v>
      </c>
      <c r="CP61" s="5">
        <v>472.8</v>
      </c>
      <c r="CQ61" s="5">
        <v>474.05</v>
      </c>
      <c r="CR61" s="5">
        <v>8.5</v>
      </c>
      <c r="CS61" s="5">
        <v>8.5</v>
      </c>
      <c r="CT61" s="5">
        <v>25.13</v>
      </c>
      <c r="CU61" s="5">
        <v>34.630000000000003</v>
      </c>
      <c r="CV61" s="5">
        <v>100.81</v>
      </c>
      <c r="CW61" s="5">
        <v>0.87437343957928459</v>
      </c>
      <c r="CX61" s="70">
        <v>3.2614129296307315</v>
      </c>
    </row>
    <row r="62" spans="1:102" x14ac:dyDescent="0.25">
      <c r="A62" s="5">
        <v>22</v>
      </c>
      <c r="B62" s="23">
        <v>41401.540336956015</v>
      </c>
      <c r="C62" s="5">
        <v>7</v>
      </c>
      <c r="D62" s="5">
        <v>25</v>
      </c>
      <c r="E62" s="5">
        <v>481</v>
      </c>
      <c r="F62" s="5">
        <v>481</v>
      </c>
      <c r="G62" s="5">
        <v>481</v>
      </c>
      <c r="H62" s="5">
        <v>91.7</v>
      </c>
      <c r="I62" s="5">
        <v>91.7</v>
      </c>
      <c r="J62" s="5">
        <v>1800</v>
      </c>
      <c r="K62" s="5">
        <v>46</v>
      </c>
      <c r="L62" s="5">
        <v>46</v>
      </c>
      <c r="M62" s="5">
        <v>0.17</v>
      </c>
      <c r="N62" s="5">
        <v>0.169985</v>
      </c>
      <c r="O62" s="5">
        <v>1</v>
      </c>
      <c r="P62" s="5">
        <v>1.0689200000000001</v>
      </c>
      <c r="Q62" s="5">
        <v>-4.8499999999999996</v>
      </c>
      <c r="R62" s="5">
        <v>-4.8449710000000001</v>
      </c>
      <c r="S62" s="5">
        <v>165.7</v>
      </c>
      <c r="T62" s="5">
        <v>165.70310000000001</v>
      </c>
      <c r="U62" s="5">
        <v>3.5</v>
      </c>
      <c r="V62" s="5">
        <v>3.5</v>
      </c>
      <c r="W62" s="5">
        <v>300</v>
      </c>
      <c r="X62" s="5">
        <v>300</v>
      </c>
      <c r="Y62" s="5">
        <v>3.5</v>
      </c>
      <c r="Z62" s="5">
        <v>3.5</v>
      </c>
      <c r="AA62" s="5">
        <v>300</v>
      </c>
      <c r="AB62" s="5">
        <v>300</v>
      </c>
      <c r="AC62" s="5">
        <v>0</v>
      </c>
      <c r="AD62" s="5">
        <v>137.9162</v>
      </c>
      <c r="AE62" s="5">
        <v>0</v>
      </c>
      <c r="AF62" s="5">
        <v>137.91540000000001</v>
      </c>
      <c r="AG62" s="5">
        <v>34</v>
      </c>
      <c r="AH62" s="5">
        <v>0.2</v>
      </c>
      <c r="AI62" s="5">
        <v>79.510000000000005</v>
      </c>
      <c r="AJ62" s="5">
        <v>110.71</v>
      </c>
      <c r="AK62" s="5">
        <v>157.66</v>
      </c>
      <c r="AL62" s="5">
        <v>158.24</v>
      </c>
      <c r="AM62" s="5">
        <v>486.71</v>
      </c>
      <c r="AN62" s="5">
        <v>211.1481</v>
      </c>
      <c r="AO62" s="5">
        <v>110.7</v>
      </c>
      <c r="AP62" s="5">
        <v>132.11000000000001</v>
      </c>
      <c r="AQ62" s="5">
        <v>127.03</v>
      </c>
      <c r="AR62" s="5">
        <v>613.23</v>
      </c>
      <c r="AS62" s="5">
        <v>46.93</v>
      </c>
      <c r="AT62" s="5">
        <v>65.23</v>
      </c>
      <c r="AU62" s="5">
        <v>110.12</v>
      </c>
      <c r="AV62" s="5">
        <v>116.99</v>
      </c>
      <c r="AW62" s="5">
        <v>0.126</v>
      </c>
      <c r="AX62" s="5">
        <v>1.72</v>
      </c>
      <c r="AY62" s="5">
        <v>10000000000</v>
      </c>
      <c r="AZ62" s="5">
        <v>132.31</v>
      </c>
      <c r="BA62" s="5">
        <v>40.82</v>
      </c>
      <c r="BB62" s="5">
        <v>7.46</v>
      </c>
      <c r="BC62" s="5">
        <v>1.24</v>
      </c>
      <c r="BD62" s="5">
        <v>10.19</v>
      </c>
      <c r="BE62" s="5">
        <v>2.4300000000000002</v>
      </c>
      <c r="BF62" s="5">
        <v>270.14</v>
      </c>
      <c r="BG62" s="5">
        <v>16.64</v>
      </c>
      <c r="BH62" s="5">
        <v>10000000000</v>
      </c>
      <c r="BI62" s="5">
        <v>234.7</v>
      </c>
      <c r="BJ62" s="5">
        <v>28.8</v>
      </c>
      <c r="BK62" s="5">
        <v>85.8</v>
      </c>
      <c r="BL62" s="5">
        <v>122.44</v>
      </c>
      <c r="BM62" s="5">
        <v>2.2599999999999998</v>
      </c>
      <c r="BN62" s="5">
        <v>30.11</v>
      </c>
      <c r="BO62" s="5">
        <v>35.81</v>
      </c>
      <c r="BP62" s="5">
        <v>634.54</v>
      </c>
      <c r="BQ62" s="5">
        <v>65.595569999999995</v>
      </c>
      <c r="BR62" s="5">
        <v>254.8417</v>
      </c>
      <c r="BS62" s="5">
        <v>49.838610000000003</v>
      </c>
      <c r="BT62" s="5">
        <v>51.879989999999999</v>
      </c>
      <c r="BU62" s="5">
        <v>51.04177</v>
      </c>
      <c r="BV62" s="5">
        <v>0.107478</v>
      </c>
      <c r="BW62" s="5">
        <v>0.100879</v>
      </c>
      <c r="BX62" s="5">
        <v>66.191770000000005</v>
      </c>
      <c r="BY62" s="5">
        <v>18.995360000000002</v>
      </c>
      <c r="BZ62" s="5">
        <v>0</v>
      </c>
      <c r="CA62" s="5">
        <v>0.93076000000000003</v>
      </c>
      <c r="CB62" s="5">
        <v>762.54520000000002</v>
      </c>
      <c r="CC62" s="5">
        <v>781.88580000000002</v>
      </c>
      <c r="CD62" s="5">
        <v>73.198700000000002</v>
      </c>
      <c r="CE62" s="5">
        <v>477.43</v>
      </c>
      <c r="CF62" s="5">
        <v>90.14</v>
      </c>
      <c r="CG62" s="5">
        <v>103.93</v>
      </c>
      <c r="CH62" s="5">
        <v>413.43</v>
      </c>
      <c r="CI62" s="5">
        <v>430</v>
      </c>
      <c r="CJ62" s="5">
        <v>440.61</v>
      </c>
      <c r="CK62" s="5">
        <v>472.98</v>
      </c>
      <c r="CL62" s="5">
        <v>469.63</v>
      </c>
      <c r="CM62" s="5">
        <v>471.32</v>
      </c>
      <c r="CN62" s="5">
        <v>354.68</v>
      </c>
      <c r="CO62" s="5">
        <v>29.17</v>
      </c>
      <c r="CP62" s="5">
        <v>480</v>
      </c>
      <c r="CQ62" s="5">
        <v>481.05</v>
      </c>
      <c r="CR62" s="5">
        <v>8.6</v>
      </c>
      <c r="CS62" s="5">
        <v>8.6</v>
      </c>
      <c r="CT62" s="5">
        <v>26.13</v>
      </c>
      <c r="CU62" s="5">
        <v>31.83</v>
      </c>
      <c r="CV62" s="5">
        <v>100.76</v>
      </c>
      <c r="CW62" s="5">
        <v>0.87184720940846694</v>
      </c>
      <c r="CX62" s="70">
        <v>2.1185887188625747</v>
      </c>
    </row>
    <row r="63" spans="1:102" x14ac:dyDescent="0.25">
      <c r="A63" s="5">
        <v>15</v>
      </c>
      <c r="B63" s="23">
        <v>41397.721434155093</v>
      </c>
      <c r="C63" s="5">
        <v>7</v>
      </c>
      <c r="D63" s="5">
        <v>7</v>
      </c>
      <c r="E63" s="5">
        <v>422</v>
      </c>
      <c r="F63" s="5">
        <v>422</v>
      </c>
      <c r="G63" s="5">
        <v>422.1</v>
      </c>
      <c r="H63" s="5">
        <v>91.7</v>
      </c>
      <c r="I63" s="5">
        <v>91.7</v>
      </c>
      <c r="J63" s="5">
        <v>1800</v>
      </c>
      <c r="K63" s="5">
        <v>58</v>
      </c>
      <c r="L63" s="5">
        <v>58</v>
      </c>
      <c r="M63" s="5">
        <v>0.2</v>
      </c>
      <c r="N63" s="5">
        <v>0.19999700000000001</v>
      </c>
      <c r="O63" s="5">
        <v>1</v>
      </c>
      <c r="P63" s="5">
        <v>1.0690249999999999</v>
      </c>
      <c r="Q63" s="5">
        <v>-4.4000000000000004</v>
      </c>
      <c r="R63" s="5">
        <v>-4.3945309999999997</v>
      </c>
      <c r="S63" s="5">
        <v>152.52000000000001</v>
      </c>
      <c r="T63" s="5">
        <v>152.51560000000001</v>
      </c>
      <c r="U63" s="5">
        <v>3.5</v>
      </c>
      <c r="V63" s="5">
        <v>3.5</v>
      </c>
      <c r="W63" s="5">
        <v>300</v>
      </c>
      <c r="X63" s="5">
        <v>300</v>
      </c>
      <c r="Y63" s="5">
        <v>3.5</v>
      </c>
      <c r="Z63" s="5">
        <v>3.5</v>
      </c>
      <c r="AA63" s="5">
        <v>300</v>
      </c>
      <c r="AB63" s="5">
        <v>300</v>
      </c>
      <c r="AC63" s="5">
        <v>0</v>
      </c>
      <c r="AD63" s="5">
        <v>140.85239999999999</v>
      </c>
      <c r="AE63" s="5">
        <v>0</v>
      </c>
      <c r="AF63" s="5">
        <v>140.85239999999999</v>
      </c>
      <c r="AG63" s="5">
        <v>34</v>
      </c>
      <c r="AH63" s="5">
        <v>0.2</v>
      </c>
      <c r="AI63" s="5">
        <v>81.59</v>
      </c>
      <c r="AJ63" s="5">
        <v>109.72</v>
      </c>
      <c r="AK63" s="5">
        <v>188.66</v>
      </c>
      <c r="AL63" s="5">
        <v>187.75</v>
      </c>
      <c r="AM63" s="5">
        <v>452.92</v>
      </c>
      <c r="AN63" s="5">
        <v>219.89769999999999</v>
      </c>
      <c r="AO63" s="5">
        <v>119.56</v>
      </c>
      <c r="AP63" s="5">
        <v>129.77000000000001</v>
      </c>
      <c r="AQ63" s="5">
        <v>133.53</v>
      </c>
      <c r="AR63" s="5">
        <v>562.79</v>
      </c>
      <c r="AS63" s="5">
        <v>69.12</v>
      </c>
      <c r="AT63" s="5">
        <v>73.400000000000006</v>
      </c>
      <c r="AU63" s="5">
        <v>123.51</v>
      </c>
      <c r="AV63" s="5">
        <v>117.05</v>
      </c>
      <c r="AW63" s="5">
        <v>0.217</v>
      </c>
      <c r="AX63" s="5">
        <v>3.05</v>
      </c>
      <c r="AY63" s="5">
        <v>10000000000</v>
      </c>
      <c r="AZ63" s="5">
        <v>150.41</v>
      </c>
      <c r="BA63" s="5">
        <v>45</v>
      </c>
      <c r="BB63" s="5">
        <v>7.32</v>
      </c>
      <c r="BC63" s="5">
        <v>1.74</v>
      </c>
      <c r="BD63" s="5">
        <v>10.5</v>
      </c>
      <c r="BE63" s="5">
        <v>1.71</v>
      </c>
      <c r="BF63" s="5">
        <v>181.69</v>
      </c>
      <c r="BG63" s="5">
        <v>23.79</v>
      </c>
      <c r="BH63" s="5">
        <v>10000000000</v>
      </c>
      <c r="BI63" s="5">
        <v>244.2</v>
      </c>
      <c r="BJ63" s="5">
        <v>29</v>
      </c>
      <c r="BK63" s="5">
        <v>83.4</v>
      </c>
      <c r="BL63" s="5">
        <v>175.75</v>
      </c>
      <c r="BM63" s="5">
        <v>2.34</v>
      </c>
      <c r="BN63" s="5">
        <v>30.59</v>
      </c>
      <c r="BO63" s="5">
        <v>35.78</v>
      </c>
      <c r="BP63" s="5">
        <v>582.5</v>
      </c>
      <c r="BQ63" s="5">
        <v>72.379369999999994</v>
      </c>
      <c r="BR63" s="5">
        <v>282.82040000000001</v>
      </c>
      <c r="BS63" s="5">
        <v>53.132080000000002</v>
      </c>
      <c r="BT63" s="5">
        <v>60.015560000000001</v>
      </c>
      <c r="BU63" s="5">
        <v>58.642600000000002</v>
      </c>
      <c r="BV63" s="5">
        <v>9.9709999999999993E-2</v>
      </c>
      <c r="BW63" s="5">
        <v>8.9124999999999996E-2</v>
      </c>
      <c r="BX63" s="5">
        <v>58.678649999999998</v>
      </c>
      <c r="BY63" s="5">
        <v>18.995360000000002</v>
      </c>
      <c r="BZ63" s="5">
        <v>0</v>
      </c>
      <c r="CA63" s="5">
        <v>0.93076300000000001</v>
      </c>
      <c r="CB63" s="5">
        <v>778.39769999999999</v>
      </c>
      <c r="CC63" s="5">
        <v>795.74770000000001</v>
      </c>
      <c r="CD63" s="5">
        <v>65.687029999999993</v>
      </c>
      <c r="CE63" s="5">
        <v>459.6</v>
      </c>
      <c r="CF63" s="5">
        <v>100.06</v>
      </c>
      <c r="CG63" s="5">
        <v>116.66</v>
      </c>
      <c r="CH63" s="5">
        <v>408.2</v>
      </c>
      <c r="CI63" s="5">
        <v>415.48</v>
      </c>
      <c r="CJ63" s="5">
        <v>425.06</v>
      </c>
      <c r="CK63" s="5">
        <v>446.95</v>
      </c>
      <c r="CL63" s="5">
        <v>445.53</v>
      </c>
      <c r="CM63" s="5">
        <v>448.63</v>
      </c>
      <c r="CN63" s="5">
        <v>320.01</v>
      </c>
      <c r="CO63" s="5">
        <v>26.96</v>
      </c>
      <c r="CP63" s="5">
        <v>420</v>
      </c>
      <c r="CQ63" s="5">
        <v>422.05</v>
      </c>
      <c r="CR63" s="5">
        <v>7.5</v>
      </c>
      <c r="CS63" s="5">
        <v>7.6</v>
      </c>
      <c r="CT63" s="5">
        <v>24.19</v>
      </c>
      <c r="CU63" s="5">
        <v>41.06</v>
      </c>
      <c r="CV63" s="5">
        <v>100.74</v>
      </c>
      <c r="CW63" s="5">
        <v>0.88032952911888485</v>
      </c>
      <c r="CX63" s="70">
        <v>1.505363494793293</v>
      </c>
    </row>
    <row r="64" spans="1:102" x14ac:dyDescent="0.25">
      <c r="A64" s="5">
        <v>29</v>
      </c>
      <c r="B64" s="23">
        <v>41401.578412199073</v>
      </c>
      <c r="C64" s="5">
        <v>7</v>
      </c>
      <c r="D64" s="5">
        <v>32</v>
      </c>
      <c r="E64" s="5">
        <v>507</v>
      </c>
      <c r="F64" s="5">
        <v>507</v>
      </c>
      <c r="G64" s="5">
        <v>507.1</v>
      </c>
      <c r="H64" s="5">
        <v>91.7</v>
      </c>
      <c r="I64" s="5">
        <v>91.7</v>
      </c>
      <c r="J64" s="5">
        <v>1800</v>
      </c>
      <c r="K64" s="5">
        <v>50</v>
      </c>
      <c r="L64" s="5">
        <v>50</v>
      </c>
      <c r="M64" s="5">
        <v>0.23</v>
      </c>
      <c r="N64" s="5">
        <v>0.229994</v>
      </c>
      <c r="O64" s="5">
        <v>1</v>
      </c>
      <c r="P64" s="5">
        <v>1.068883</v>
      </c>
      <c r="Q64" s="5">
        <v>-4.8899999999999997</v>
      </c>
      <c r="R64" s="5">
        <v>-4.888916</v>
      </c>
      <c r="S64" s="5">
        <v>170.89</v>
      </c>
      <c r="T64" s="5">
        <v>170.89060000000001</v>
      </c>
      <c r="U64" s="5">
        <v>3.5</v>
      </c>
      <c r="V64" s="5">
        <v>3.5</v>
      </c>
      <c r="W64" s="5">
        <v>300</v>
      </c>
      <c r="X64" s="5">
        <v>300</v>
      </c>
      <c r="Y64" s="5">
        <v>0</v>
      </c>
      <c r="Z64" s="5">
        <v>0</v>
      </c>
      <c r="AA64" s="5">
        <v>300</v>
      </c>
      <c r="AB64" s="5">
        <v>300</v>
      </c>
      <c r="AC64" s="5">
        <v>0</v>
      </c>
      <c r="AD64" s="5">
        <v>143.46369999999999</v>
      </c>
      <c r="AE64" s="5">
        <v>0</v>
      </c>
      <c r="AF64" s="5">
        <v>142.53530000000001</v>
      </c>
      <c r="AG64" s="5">
        <v>34</v>
      </c>
      <c r="AH64" s="5">
        <v>0.2</v>
      </c>
      <c r="AI64" s="5">
        <v>82.91</v>
      </c>
      <c r="AJ64" s="5">
        <v>112.77</v>
      </c>
      <c r="AK64" s="5">
        <v>171.32</v>
      </c>
      <c r="AL64" s="5">
        <v>170.9</v>
      </c>
      <c r="AM64" s="5">
        <v>503.54</v>
      </c>
      <c r="AN64" s="5">
        <v>221.85050000000001</v>
      </c>
      <c r="AO64" s="5">
        <v>122.01</v>
      </c>
      <c r="AP64" s="5">
        <v>139.47999999999999</v>
      </c>
      <c r="AQ64" s="5">
        <v>137.87</v>
      </c>
      <c r="AR64" s="5">
        <v>605.74</v>
      </c>
      <c r="AS64" s="5">
        <v>49.3</v>
      </c>
      <c r="AT64" s="5">
        <v>70.260000000000005</v>
      </c>
      <c r="AU64" s="5">
        <v>121.24</v>
      </c>
      <c r="AV64" s="5">
        <v>116.57</v>
      </c>
      <c r="AW64" s="5">
        <v>0.33700000000000002</v>
      </c>
      <c r="AX64" s="5">
        <v>4.91</v>
      </c>
      <c r="AY64" s="5">
        <v>10000000000</v>
      </c>
      <c r="AZ64" s="5">
        <v>120.7</v>
      </c>
      <c r="BA64" s="5">
        <v>27.46</v>
      </c>
      <c r="BB64" s="5">
        <v>8</v>
      </c>
      <c r="BC64" s="5">
        <v>1.69</v>
      </c>
      <c r="BD64" s="5">
        <v>9.4</v>
      </c>
      <c r="BE64" s="5">
        <v>1.64</v>
      </c>
      <c r="BF64" s="5">
        <v>197.22</v>
      </c>
      <c r="BG64" s="5">
        <v>21.16</v>
      </c>
      <c r="BH64" s="5">
        <v>10000000000</v>
      </c>
      <c r="BI64" s="5">
        <v>235.9</v>
      </c>
      <c r="BJ64" s="5">
        <v>26.8</v>
      </c>
      <c r="BK64" s="5">
        <v>85.1</v>
      </c>
      <c r="BL64" s="5">
        <v>162.47</v>
      </c>
      <c r="BM64" s="5">
        <v>2.38</v>
      </c>
      <c r="BN64" s="5">
        <v>30.52</v>
      </c>
      <c r="BO64" s="5">
        <v>36.299999999999997</v>
      </c>
      <c r="BP64" s="5">
        <v>627.72</v>
      </c>
      <c r="BQ64" s="5">
        <v>69.579269999999994</v>
      </c>
      <c r="BR64" s="5">
        <v>264.94260000000003</v>
      </c>
      <c r="BS64" s="5">
        <v>47.665680000000002</v>
      </c>
      <c r="BT64" s="5">
        <v>48.683570000000003</v>
      </c>
      <c r="BU64" s="5">
        <v>47.949480000000001</v>
      </c>
      <c r="BV64" s="5">
        <v>0.108112</v>
      </c>
      <c r="BW64" s="5">
        <v>0.10222000000000001</v>
      </c>
      <c r="BX64" s="5">
        <v>77.312240000000003</v>
      </c>
      <c r="BY64" s="5">
        <v>18.995360000000002</v>
      </c>
      <c r="BZ64" s="5">
        <v>0</v>
      </c>
      <c r="CA64" s="5">
        <v>0.93049499999999996</v>
      </c>
      <c r="CB64" s="5">
        <v>791.63289999999995</v>
      </c>
      <c r="CC64" s="5">
        <v>813.00210000000004</v>
      </c>
      <c r="CD64" s="5">
        <v>80.808329999999998</v>
      </c>
      <c r="CE64" s="5">
        <v>490.77</v>
      </c>
      <c r="CF64" s="5">
        <v>98.7</v>
      </c>
      <c r="CG64" s="5">
        <v>115.07</v>
      </c>
      <c r="CH64" s="5">
        <v>427.34</v>
      </c>
      <c r="CI64" s="5">
        <v>445.1</v>
      </c>
      <c r="CJ64" s="5">
        <v>459.88</v>
      </c>
      <c r="CK64" s="5">
        <v>482.18</v>
      </c>
      <c r="CL64" s="5">
        <v>482.3</v>
      </c>
      <c r="CM64" s="5">
        <v>478.16</v>
      </c>
      <c r="CN64" s="5">
        <v>360.85</v>
      </c>
      <c r="CO64" s="5">
        <v>29.27</v>
      </c>
      <c r="CP64" s="5">
        <v>506</v>
      </c>
      <c r="CQ64" s="5">
        <v>507.05</v>
      </c>
      <c r="CR64" s="5">
        <v>9.1</v>
      </c>
      <c r="CS64" s="5">
        <v>9.1</v>
      </c>
      <c r="CT64" s="5">
        <v>26.01</v>
      </c>
      <c r="CU64" s="5">
        <v>30.87</v>
      </c>
      <c r="CV64" s="5">
        <v>100.73</v>
      </c>
      <c r="CW64" s="5">
        <v>0.86681583493119929</v>
      </c>
      <c r="CX64" s="70">
        <v>1.4215779692871668</v>
      </c>
    </row>
    <row r="65" spans="1:102" x14ac:dyDescent="0.25">
      <c r="A65" s="5">
        <v>42</v>
      </c>
      <c r="B65" s="23">
        <v>41401.662503449072</v>
      </c>
      <c r="C65" s="5">
        <v>7</v>
      </c>
      <c r="D65" s="5">
        <v>43</v>
      </c>
      <c r="E65" s="5">
        <v>544</v>
      </c>
      <c r="F65" s="5">
        <v>544</v>
      </c>
      <c r="G65" s="5">
        <v>544</v>
      </c>
      <c r="H65" s="5">
        <v>91.7</v>
      </c>
      <c r="I65" s="5">
        <v>91.7</v>
      </c>
      <c r="J65" s="5">
        <v>1800</v>
      </c>
      <c r="K65" s="5">
        <v>34</v>
      </c>
      <c r="L65" s="5">
        <v>34</v>
      </c>
      <c r="M65" s="5">
        <v>0.26</v>
      </c>
      <c r="N65" s="5">
        <v>0.260015</v>
      </c>
      <c r="O65" s="5">
        <v>1</v>
      </c>
      <c r="P65" s="5">
        <v>1.068913</v>
      </c>
      <c r="Q65" s="5">
        <v>-4.3899999999999997</v>
      </c>
      <c r="R65" s="5">
        <v>-4.3945309999999997</v>
      </c>
      <c r="S65" s="5">
        <v>175.84</v>
      </c>
      <c r="T65" s="5">
        <v>175.84379999999999</v>
      </c>
      <c r="U65" s="5">
        <v>3.5</v>
      </c>
      <c r="V65" s="5">
        <v>3.5</v>
      </c>
      <c r="W65" s="5">
        <v>300</v>
      </c>
      <c r="X65" s="5">
        <v>300</v>
      </c>
      <c r="Y65" s="5">
        <v>0</v>
      </c>
      <c r="Z65" s="5">
        <v>0</v>
      </c>
      <c r="AA65" s="5">
        <v>300</v>
      </c>
      <c r="AB65" s="5">
        <v>300</v>
      </c>
      <c r="AC65" s="5">
        <v>0</v>
      </c>
      <c r="AD65" s="5">
        <v>131.1773</v>
      </c>
      <c r="AE65" s="5">
        <v>0</v>
      </c>
      <c r="AF65" s="5">
        <v>131.1773</v>
      </c>
      <c r="AG65" s="5">
        <v>34</v>
      </c>
      <c r="AH65" s="5">
        <v>0.2</v>
      </c>
      <c r="AI65" s="5">
        <v>75.819999999999993</v>
      </c>
      <c r="AJ65" s="5">
        <v>106.05</v>
      </c>
      <c r="AK65" s="5">
        <v>123.98</v>
      </c>
      <c r="AL65" s="5">
        <v>125.02</v>
      </c>
      <c r="AM65" s="5">
        <v>549.1</v>
      </c>
      <c r="AN65" s="5">
        <v>201.06049999999999</v>
      </c>
      <c r="AO65" s="5">
        <v>99.35</v>
      </c>
      <c r="AP65" s="5">
        <v>122.97</v>
      </c>
      <c r="AQ65" s="5">
        <v>113.96</v>
      </c>
      <c r="AR65" s="5">
        <v>588.97</v>
      </c>
      <c r="AS65" s="5">
        <v>24.64</v>
      </c>
      <c r="AT65" s="5">
        <v>65</v>
      </c>
      <c r="AU65" s="5">
        <v>107.96</v>
      </c>
      <c r="AV65" s="5">
        <v>115.9</v>
      </c>
      <c r="AW65" s="5">
        <v>0.32700000000000001</v>
      </c>
      <c r="AX65" s="5">
        <v>4.75</v>
      </c>
      <c r="AY65" s="5">
        <v>10000000000</v>
      </c>
      <c r="AZ65" s="5">
        <v>136.83000000000001</v>
      </c>
      <c r="BA65" s="5">
        <v>25.01</v>
      </c>
      <c r="BB65" s="5">
        <v>8.52</v>
      </c>
      <c r="BC65" s="5">
        <v>1.33</v>
      </c>
      <c r="BD65" s="5">
        <v>8.68</v>
      </c>
      <c r="BE65" s="5">
        <v>2.16</v>
      </c>
      <c r="BF65" s="5">
        <v>289.10000000000002</v>
      </c>
      <c r="BG65" s="5">
        <v>15.62</v>
      </c>
      <c r="BH65" s="5">
        <v>10000000000</v>
      </c>
      <c r="BI65" s="5">
        <v>229.3</v>
      </c>
      <c r="BJ65" s="5">
        <v>25.1</v>
      </c>
      <c r="BK65" s="5">
        <v>85.9</v>
      </c>
      <c r="BL65" s="5">
        <v>109.12</v>
      </c>
      <c r="BM65" s="5">
        <v>2.15</v>
      </c>
      <c r="BN65" s="5">
        <v>30.19</v>
      </c>
      <c r="BO65" s="5">
        <v>36.799999999999997</v>
      </c>
      <c r="BP65" s="5">
        <v>612.85</v>
      </c>
      <c r="BQ65" s="5">
        <v>65.412760000000006</v>
      </c>
      <c r="BR65" s="5">
        <v>221.86859999999999</v>
      </c>
      <c r="BS65" s="5">
        <v>46.553719999999998</v>
      </c>
      <c r="BT65" s="5">
        <v>42.431240000000003</v>
      </c>
      <c r="BU65" s="5">
        <v>42.032420000000002</v>
      </c>
      <c r="BV65" s="5">
        <v>0.105846</v>
      </c>
      <c r="BW65" s="5">
        <v>0.105171</v>
      </c>
      <c r="BX65" s="5">
        <v>81.188019999999995</v>
      </c>
      <c r="BY65" s="5">
        <v>18.995360000000002</v>
      </c>
      <c r="BZ65" s="5">
        <v>0</v>
      </c>
      <c r="CA65" s="5">
        <v>0.929257</v>
      </c>
      <c r="CB65" s="5">
        <v>725.11710000000005</v>
      </c>
      <c r="CC65" s="5">
        <v>747.50289999999995</v>
      </c>
      <c r="CD65" s="5">
        <v>84.687079999999995</v>
      </c>
      <c r="CE65" s="5">
        <v>503.67</v>
      </c>
      <c r="CF65" s="5">
        <v>88.59</v>
      </c>
      <c r="CG65" s="5">
        <v>102.46</v>
      </c>
      <c r="CH65" s="5">
        <v>447.9</v>
      </c>
      <c r="CI65" s="5">
        <v>468.37</v>
      </c>
      <c r="CJ65" s="5">
        <v>483.41</v>
      </c>
      <c r="CK65" s="5">
        <v>508.71</v>
      </c>
      <c r="CL65" s="5">
        <v>503.07</v>
      </c>
      <c r="CM65" s="5">
        <v>504.64</v>
      </c>
      <c r="CN65" s="5">
        <v>420.52</v>
      </c>
      <c r="CO65" s="5">
        <v>29.32</v>
      </c>
      <c r="CP65" s="5">
        <v>542.9</v>
      </c>
      <c r="CQ65" s="5">
        <v>544.04999999999995</v>
      </c>
      <c r="CR65" s="5">
        <v>9.6999999999999993</v>
      </c>
      <c r="CS65" s="5">
        <v>9.6999999999999993</v>
      </c>
      <c r="CT65" s="5">
        <v>26.08</v>
      </c>
      <c r="CU65" s="5">
        <v>28.9</v>
      </c>
      <c r="CV65" s="5">
        <v>100.64</v>
      </c>
      <c r="CW65" s="5">
        <v>0.86158999957888616</v>
      </c>
      <c r="CX65" s="70">
        <v>1.8610343990903941</v>
      </c>
    </row>
    <row r="66" spans="1:102" x14ac:dyDescent="0.25">
      <c r="A66" s="5">
        <v>3</v>
      </c>
      <c r="B66" s="23">
        <v>41401.418750787037</v>
      </c>
      <c r="C66" s="5">
        <v>7</v>
      </c>
      <c r="D66" s="5">
        <v>10</v>
      </c>
      <c r="E66" s="5">
        <v>432</v>
      </c>
      <c r="F66" s="5">
        <v>432</v>
      </c>
      <c r="G66" s="5">
        <v>432</v>
      </c>
      <c r="H66" s="5">
        <v>91.7</v>
      </c>
      <c r="I66" s="5">
        <v>91.7</v>
      </c>
      <c r="J66" s="5">
        <v>1800</v>
      </c>
      <c r="K66" s="5">
        <v>9</v>
      </c>
      <c r="L66" s="5">
        <v>9</v>
      </c>
      <c r="M66" s="5">
        <v>0.11</v>
      </c>
      <c r="N66" s="5">
        <v>0.110003</v>
      </c>
      <c r="O66" s="5">
        <v>1</v>
      </c>
      <c r="P66" s="5">
        <v>1.06881</v>
      </c>
      <c r="Q66" s="5">
        <v>-4.4800000000000004</v>
      </c>
      <c r="R66" s="5">
        <v>-4.4824219999999997</v>
      </c>
      <c r="S66" s="5">
        <v>154.75</v>
      </c>
      <c r="T66" s="5">
        <v>154.75</v>
      </c>
      <c r="U66" s="5">
        <v>3.5</v>
      </c>
      <c r="V66" s="5">
        <v>3.5</v>
      </c>
      <c r="W66" s="5">
        <v>300</v>
      </c>
      <c r="X66" s="5">
        <v>300</v>
      </c>
      <c r="Y66" s="5">
        <v>3.5</v>
      </c>
      <c r="Z66" s="5">
        <v>3.5</v>
      </c>
      <c r="AA66" s="5">
        <v>300</v>
      </c>
      <c r="AB66" s="5">
        <v>300</v>
      </c>
      <c r="AC66" s="5">
        <v>0</v>
      </c>
      <c r="AD66" s="5">
        <v>99.412090000000006</v>
      </c>
      <c r="AE66" s="5">
        <v>0</v>
      </c>
      <c r="AF66" s="5">
        <v>99.412090000000006</v>
      </c>
      <c r="AG66" s="5">
        <v>34</v>
      </c>
      <c r="AH66" s="5">
        <v>0.2</v>
      </c>
      <c r="AI66" s="5">
        <v>58.09</v>
      </c>
      <c r="AJ66" s="5">
        <v>83.72</v>
      </c>
      <c r="AK66" s="5">
        <v>68.040000000000006</v>
      </c>
      <c r="AL66" s="5">
        <v>70.17</v>
      </c>
      <c r="AM66" s="5">
        <v>560</v>
      </c>
      <c r="AN66" s="5">
        <v>148.32990000000001</v>
      </c>
      <c r="AO66" s="5">
        <v>48.02</v>
      </c>
      <c r="AP66" s="5">
        <v>82.59</v>
      </c>
      <c r="AQ66" s="5">
        <v>61.21</v>
      </c>
      <c r="AR66" s="5">
        <v>481.54</v>
      </c>
      <c r="AS66" s="5">
        <v>20.03</v>
      </c>
      <c r="AT66" s="5">
        <v>58.77</v>
      </c>
      <c r="AU66" s="5">
        <v>97.11</v>
      </c>
      <c r="AV66" s="5">
        <v>116.87</v>
      </c>
      <c r="AW66" s="5">
        <v>0.23100000000000001</v>
      </c>
      <c r="AX66" s="5">
        <v>3.25</v>
      </c>
      <c r="AY66" s="5">
        <v>10000000000</v>
      </c>
      <c r="AZ66" s="5">
        <v>127.06</v>
      </c>
      <c r="BA66" s="5">
        <v>35.69</v>
      </c>
      <c r="BB66" s="5">
        <v>8.61</v>
      </c>
      <c r="BC66" s="5">
        <v>0.67</v>
      </c>
      <c r="BD66" s="5">
        <v>8.67</v>
      </c>
      <c r="BE66" s="5">
        <v>3.29</v>
      </c>
      <c r="BF66" s="5">
        <v>428.65</v>
      </c>
      <c r="BG66" s="5">
        <v>7.81</v>
      </c>
      <c r="BH66" s="5">
        <v>10000000000</v>
      </c>
      <c r="BI66" s="5">
        <v>237.5</v>
      </c>
      <c r="BJ66" s="5">
        <v>24.9</v>
      </c>
      <c r="BK66" s="5">
        <v>86.4</v>
      </c>
      <c r="BL66" s="5">
        <v>40.840000000000003</v>
      </c>
      <c r="BM66" s="5">
        <v>1.6</v>
      </c>
      <c r="BN66" s="5">
        <v>29.59</v>
      </c>
      <c r="BO66" s="5">
        <v>36.85</v>
      </c>
      <c r="BP66" s="5">
        <v>501.14</v>
      </c>
      <c r="BQ66" s="5">
        <v>59.874319999999997</v>
      </c>
      <c r="BR66" s="5">
        <v>170.2363</v>
      </c>
      <c r="BS66" s="5">
        <v>53.058970000000002</v>
      </c>
      <c r="BT66" s="5">
        <v>40.874920000000003</v>
      </c>
      <c r="BU66" s="5">
        <v>40.943730000000002</v>
      </c>
      <c r="BV66" s="5">
        <v>9.9944000000000005E-2</v>
      </c>
      <c r="BW66" s="5">
        <v>0.10687199999999999</v>
      </c>
      <c r="BX66" s="5">
        <v>58.820259999999998</v>
      </c>
      <c r="BY66" s="5">
        <v>18.995360000000002</v>
      </c>
      <c r="BZ66" s="5">
        <v>0</v>
      </c>
      <c r="CA66" s="5">
        <v>0.93075699999999995</v>
      </c>
      <c r="CB66" s="5">
        <v>544.83169999999996</v>
      </c>
      <c r="CC66" s="5">
        <v>562.21939999999995</v>
      </c>
      <c r="CD66" s="5">
        <v>65.821399999999997</v>
      </c>
      <c r="CE66" s="5">
        <v>451.42</v>
      </c>
      <c r="CF66" s="5">
        <v>77.63</v>
      </c>
      <c r="CG66" s="5">
        <v>90.53</v>
      </c>
      <c r="CH66" s="5">
        <v>457.32</v>
      </c>
      <c r="CI66" s="5">
        <v>474.62</v>
      </c>
      <c r="CJ66" s="5">
        <v>487.1</v>
      </c>
      <c r="CK66" s="5">
        <v>525.87</v>
      </c>
      <c r="CL66" s="5">
        <v>512.16</v>
      </c>
      <c r="CM66" s="5">
        <v>507.42</v>
      </c>
      <c r="CN66" s="5">
        <v>467.06</v>
      </c>
      <c r="CO66" s="5">
        <v>28.32</v>
      </c>
      <c r="CP66" s="5">
        <v>430.5</v>
      </c>
      <c r="CQ66" s="5">
        <v>432.05</v>
      </c>
      <c r="CR66" s="5">
        <v>7.7</v>
      </c>
      <c r="CS66" s="5">
        <v>7.7</v>
      </c>
      <c r="CT66" s="5">
        <v>25.91</v>
      </c>
      <c r="CU66" s="5">
        <v>40.200000000000003</v>
      </c>
      <c r="CV66" s="5">
        <v>100.9</v>
      </c>
      <c r="CW66" s="5">
        <v>0.87792567850583969</v>
      </c>
      <c r="CX66" s="70">
        <v>2.8883754822842125</v>
      </c>
    </row>
    <row r="67" spans="1:102" x14ac:dyDescent="0.25">
      <c r="A67" s="5">
        <v>23</v>
      </c>
      <c r="B67" s="23">
        <v>41401.545771562502</v>
      </c>
      <c r="C67" s="5">
        <v>7</v>
      </c>
      <c r="D67" s="5">
        <v>26</v>
      </c>
      <c r="E67" s="5">
        <v>483</v>
      </c>
      <c r="F67" s="5">
        <v>483</v>
      </c>
      <c r="G67" s="5">
        <v>483</v>
      </c>
      <c r="H67" s="5">
        <v>91.7</v>
      </c>
      <c r="I67" s="5">
        <v>91.7</v>
      </c>
      <c r="J67" s="5">
        <v>1800</v>
      </c>
      <c r="K67" s="5">
        <v>29</v>
      </c>
      <c r="L67" s="5">
        <v>29</v>
      </c>
      <c r="M67" s="5">
        <v>0.2</v>
      </c>
      <c r="N67" s="5">
        <v>0.19991700000000001</v>
      </c>
      <c r="O67" s="5">
        <v>1</v>
      </c>
      <c r="P67" s="5">
        <v>1.0689040000000001</v>
      </c>
      <c r="Q67" s="5">
        <v>-4.8600000000000003</v>
      </c>
      <c r="R67" s="5">
        <v>-4.8559570000000001</v>
      </c>
      <c r="S67" s="5">
        <v>166.15</v>
      </c>
      <c r="T67" s="5">
        <v>166.15629999999999</v>
      </c>
      <c r="U67" s="5">
        <v>3.5</v>
      </c>
      <c r="V67" s="5">
        <v>3.5</v>
      </c>
      <c r="W67" s="5">
        <v>300</v>
      </c>
      <c r="X67" s="5">
        <v>300</v>
      </c>
      <c r="Y67" s="5">
        <v>3.5</v>
      </c>
      <c r="Z67" s="5">
        <v>3.5</v>
      </c>
      <c r="AA67" s="5">
        <v>300</v>
      </c>
      <c r="AB67" s="5">
        <v>300</v>
      </c>
      <c r="AC67" s="5">
        <v>0</v>
      </c>
      <c r="AD67" s="5">
        <v>118.7735</v>
      </c>
      <c r="AE67" s="5">
        <v>0</v>
      </c>
      <c r="AF67" s="5">
        <v>118.7735</v>
      </c>
      <c r="AG67" s="5">
        <v>34</v>
      </c>
      <c r="AH67" s="5">
        <v>0.2</v>
      </c>
      <c r="AI67" s="5">
        <v>68.77</v>
      </c>
      <c r="AJ67" s="5">
        <v>98.39</v>
      </c>
      <c r="AK67" s="5">
        <v>102.45</v>
      </c>
      <c r="AL67" s="5">
        <v>103.86</v>
      </c>
      <c r="AM67" s="5">
        <v>536.27</v>
      </c>
      <c r="AN67" s="5">
        <v>179.71600000000001</v>
      </c>
      <c r="AO67" s="5">
        <v>78.8</v>
      </c>
      <c r="AP67" s="5">
        <v>109.39</v>
      </c>
      <c r="AQ67" s="5">
        <v>93.62</v>
      </c>
      <c r="AR67" s="5">
        <v>551.04</v>
      </c>
      <c r="AS67" s="5">
        <v>23.67</v>
      </c>
      <c r="AT67" s="5">
        <v>61.61</v>
      </c>
      <c r="AU67" s="5">
        <v>102.8</v>
      </c>
      <c r="AV67" s="5">
        <v>116.1</v>
      </c>
      <c r="AW67" s="5">
        <v>0.19600000000000001</v>
      </c>
      <c r="AX67" s="5">
        <v>2.74</v>
      </c>
      <c r="AY67" s="5">
        <v>10000000000</v>
      </c>
      <c r="AZ67" s="5">
        <v>131.93</v>
      </c>
      <c r="BA67" s="5">
        <v>37.85</v>
      </c>
      <c r="BB67" s="5">
        <v>8.24</v>
      </c>
      <c r="BC67" s="5">
        <v>1.1000000000000001</v>
      </c>
      <c r="BD67" s="5">
        <v>9.09</v>
      </c>
      <c r="BE67" s="5">
        <v>2.4700000000000002</v>
      </c>
      <c r="BF67" s="5">
        <v>311.93</v>
      </c>
      <c r="BG67" s="5">
        <v>13.36</v>
      </c>
      <c r="BH67" s="5">
        <v>10000000000</v>
      </c>
      <c r="BI67" s="5">
        <v>232.5</v>
      </c>
      <c r="BJ67" s="5">
        <v>26</v>
      </c>
      <c r="BK67" s="5">
        <v>86.8</v>
      </c>
      <c r="BL67" s="5">
        <v>85.01</v>
      </c>
      <c r="BM67" s="5">
        <v>1.93</v>
      </c>
      <c r="BN67" s="5">
        <v>29.98</v>
      </c>
      <c r="BO67" s="5">
        <v>36.520000000000003</v>
      </c>
      <c r="BP67" s="5">
        <v>572.29999999999995</v>
      </c>
      <c r="BQ67" s="5">
        <v>62.365049999999997</v>
      </c>
      <c r="BR67" s="5">
        <v>201.54689999999999</v>
      </c>
      <c r="BS67" s="5">
        <v>50.042749999999998</v>
      </c>
      <c r="BT67" s="5">
        <v>44.564979999999998</v>
      </c>
      <c r="BU67" s="5">
        <v>44.300809999999998</v>
      </c>
      <c r="BV67" s="5">
        <v>0.10736</v>
      </c>
      <c r="BW67" s="5">
        <v>0.108422</v>
      </c>
      <c r="BX67" s="5">
        <v>65.479479999999995</v>
      </c>
      <c r="BY67" s="5">
        <v>18.995360000000002</v>
      </c>
      <c r="BZ67" s="5">
        <v>0</v>
      </c>
      <c r="CA67" s="5">
        <v>0.93075699999999995</v>
      </c>
      <c r="CB67" s="5">
        <v>655.22709999999995</v>
      </c>
      <c r="CC67" s="5">
        <v>674.38189999999997</v>
      </c>
      <c r="CD67" s="5">
        <v>72.474689999999995</v>
      </c>
      <c r="CE67" s="5">
        <v>492.72</v>
      </c>
      <c r="CF67" s="5">
        <v>83.85</v>
      </c>
      <c r="CG67" s="5">
        <v>96.63</v>
      </c>
      <c r="CH67" s="5">
        <v>439.61</v>
      </c>
      <c r="CI67" s="5">
        <v>458.03</v>
      </c>
      <c r="CJ67" s="5">
        <v>466.13</v>
      </c>
      <c r="CK67" s="5">
        <v>504.12</v>
      </c>
      <c r="CL67" s="5">
        <v>496.62</v>
      </c>
      <c r="CM67" s="5">
        <v>501.56</v>
      </c>
      <c r="CN67" s="5">
        <v>419.75</v>
      </c>
      <c r="CO67" s="5">
        <v>29.61</v>
      </c>
      <c r="CP67" s="5">
        <v>482.1</v>
      </c>
      <c r="CQ67" s="5">
        <v>483.05</v>
      </c>
      <c r="CR67" s="5">
        <v>8.6</v>
      </c>
      <c r="CS67" s="5">
        <v>8.6999999999999993</v>
      </c>
      <c r="CT67" s="5">
        <v>26.15</v>
      </c>
      <c r="CU67" s="5">
        <v>31.81</v>
      </c>
      <c r="CV67" s="5">
        <v>100.75</v>
      </c>
      <c r="CW67" s="5">
        <v>0.86606905466674033</v>
      </c>
      <c r="CX67" s="70">
        <v>2.139190565026849</v>
      </c>
    </row>
    <row r="68" spans="1:102" x14ac:dyDescent="0.25">
      <c r="A68" s="5">
        <v>17</v>
      </c>
      <c r="B68" s="23">
        <v>41402.487718993056</v>
      </c>
      <c r="C68" s="5">
        <v>8</v>
      </c>
      <c r="D68" s="5">
        <v>16</v>
      </c>
      <c r="E68" s="5">
        <v>652</v>
      </c>
      <c r="F68" s="5">
        <v>652</v>
      </c>
      <c r="G68" s="5">
        <v>652.1</v>
      </c>
      <c r="H68" s="5">
        <v>91.7</v>
      </c>
      <c r="I68" s="5">
        <v>91.7</v>
      </c>
      <c r="J68" s="5">
        <v>1800</v>
      </c>
      <c r="K68" s="5">
        <v>23</v>
      </c>
      <c r="L68" s="5">
        <v>23</v>
      </c>
      <c r="M68" s="5">
        <v>0.2</v>
      </c>
      <c r="N68" s="5">
        <v>0.20003399999999999</v>
      </c>
      <c r="O68" s="5">
        <v>1</v>
      </c>
      <c r="P68" s="5">
        <v>1.0694090000000001</v>
      </c>
      <c r="Q68" s="5">
        <v>-2.02</v>
      </c>
      <c r="R68" s="5">
        <v>-2.0214840000000001</v>
      </c>
      <c r="S68" s="5">
        <v>183.06</v>
      </c>
      <c r="T68" s="5">
        <v>183.0625</v>
      </c>
      <c r="U68" s="5">
        <v>3.5</v>
      </c>
      <c r="V68" s="5">
        <v>3.5</v>
      </c>
      <c r="W68" s="5">
        <v>300</v>
      </c>
      <c r="X68" s="5">
        <v>300</v>
      </c>
      <c r="Y68" s="5">
        <v>0</v>
      </c>
      <c r="Z68" s="5">
        <v>0</v>
      </c>
      <c r="AA68" s="5">
        <v>300</v>
      </c>
      <c r="AB68" s="5">
        <v>300</v>
      </c>
      <c r="AC68" s="5">
        <v>0</v>
      </c>
      <c r="AD68" s="5">
        <v>135.95480000000001</v>
      </c>
      <c r="AE68" s="5">
        <v>0</v>
      </c>
      <c r="AF68" s="5">
        <v>135.95480000000001</v>
      </c>
      <c r="AG68" s="5">
        <v>35</v>
      </c>
      <c r="AH68" s="5">
        <v>0.2</v>
      </c>
      <c r="AI68" s="5">
        <v>78.260000000000005</v>
      </c>
      <c r="AJ68" s="5">
        <v>109.57</v>
      </c>
      <c r="AK68" s="5">
        <v>127.29</v>
      </c>
      <c r="AL68" s="5">
        <v>129.75</v>
      </c>
      <c r="AM68" s="5">
        <v>590</v>
      </c>
      <c r="AN68" s="5">
        <v>205.76599999999999</v>
      </c>
      <c r="AO68" s="5">
        <v>105.27</v>
      </c>
      <c r="AP68" s="5">
        <v>121.8</v>
      </c>
      <c r="AQ68" s="5">
        <v>122.35</v>
      </c>
      <c r="AR68" s="5">
        <v>626.76</v>
      </c>
      <c r="AS68" s="5">
        <v>22.03</v>
      </c>
      <c r="AT68" s="5">
        <v>60.8</v>
      </c>
      <c r="AU68" s="5">
        <v>101.53</v>
      </c>
      <c r="AV68" s="5">
        <v>110.26</v>
      </c>
      <c r="AW68" s="5">
        <v>0.28999999999999998</v>
      </c>
      <c r="AX68" s="5">
        <v>4.17</v>
      </c>
      <c r="AY68" s="5">
        <v>10000000000</v>
      </c>
      <c r="AZ68" s="5">
        <v>145.66999999999999</v>
      </c>
      <c r="BA68" s="5">
        <v>19.43</v>
      </c>
      <c r="BB68" s="5">
        <v>9.26</v>
      </c>
      <c r="BC68" s="5">
        <v>1.02</v>
      </c>
      <c r="BD68" s="5">
        <v>7.72</v>
      </c>
      <c r="BE68" s="5">
        <v>2.95</v>
      </c>
      <c r="BF68" s="5">
        <v>452.68</v>
      </c>
      <c r="BG68" s="5">
        <v>11.03</v>
      </c>
      <c r="BH68" s="5">
        <v>10000000000</v>
      </c>
      <c r="BI68" s="5">
        <v>222.1</v>
      </c>
      <c r="BJ68" s="5">
        <v>23</v>
      </c>
      <c r="BK68" s="5">
        <v>84.3</v>
      </c>
      <c r="BL68" s="5">
        <v>77.62</v>
      </c>
      <c r="BM68" s="5">
        <v>2.21</v>
      </c>
      <c r="BN68" s="5">
        <v>29.91</v>
      </c>
      <c r="BO68" s="5">
        <v>37.49</v>
      </c>
      <c r="BP68" s="5">
        <v>653.70000000000005</v>
      </c>
      <c r="BQ68" s="5">
        <v>61.59187</v>
      </c>
      <c r="BR68" s="5">
        <v>227.5694</v>
      </c>
      <c r="BS68" s="5">
        <v>43.823140000000002</v>
      </c>
      <c r="BT68" s="5">
        <v>38.018569999999997</v>
      </c>
      <c r="BU68" s="5">
        <v>37.73245</v>
      </c>
      <c r="BV68" s="5">
        <v>9.9016999999999994E-2</v>
      </c>
      <c r="BW68" s="5">
        <v>9.9519999999999997E-2</v>
      </c>
      <c r="BX68" s="5">
        <v>94.527709999999999</v>
      </c>
      <c r="BY68" s="5">
        <v>18.995360000000002</v>
      </c>
      <c r="BZ68" s="5">
        <v>0</v>
      </c>
      <c r="CA68" s="5">
        <v>0.92490099999999997</v>
      </c>
      <c r="CB68" s="5">
        <v>747.21460000000002</v>
      </c>
      <c r="CC68" s="5">
        <v>773.15539999999999</v>
      </c>
      <c r="CD68" s="5">
        <v>98.026769999999999</v>
      </c>
      <c r="CE68" s="5">
        <v>519.61</v>
      </c>
      <c r="CF68" s="5">
        <v>85.13</v>
      </c>
      <c r="CG68" s="5">
        <v>97.45</v>
      </c>
      <c r="CH68" s="5">
        <v>482.62</v>
      </c>
      <c r="CI68" s="5">
        <v>504.28</v>
      </c>
      <c r="CJ68" s="5">
        <v>517.19000000000005</v>
      </c>
      <c r="CK68" s="5">
        <v>545.37</v>
      </c>
      <c r="CL68" s="5">
        <v>539.96</v>
      </c>
      <c r="CM68" s="5">
        <v>540.48</v>
      </c>
      <c r="CN68" s="5">
        <v>462.02</v>
      </c>
      <c r="CO68" s="5">
        <v>27.32</v>
      </c>
      <c r="CP68" s="5">
        <v>649.9</v>
      </c>
      <c r="CQ68" s="5">
        <v>652.04999999999995</v>
      </c>
      <c r="CR68" s="5">
        <v>11.6</v>
      </c>
      <c r="CS68" s="5">
        <v>11.7</v>
      </c>
      <c r="CT68" s="5">
        <v>23.81</v>
      </c>
      <c r="CU68" s="5">
        <v>66.67</v>
      </c>
      <c r="CV68" s="5">
        <v>99.48</v>
      </c>
      <c r="CW68" s="5">
        <v>0.93141271252974167</v>
      </c>
      <c r="CX68" s="5">
        <v>2.7476675019627379</v>
      </c>
    </row>
    <row r="69" spans="1:102" x14ac:dyDescent="0.25">
      <c r="A69" s="5">
        <v>45</v>
      </c>
      <c r="B69" s="23">
        <v>41402.67579021991</v>
      </c>
      <c r="C69" s="5">
        <v>8</v>
      </c>
      <c r="D69" s="5">
        <v>41</v>
      </c>
      <c r="E69" s="5">
        <v>742</v>
      </c>
      <c r="F69" s="5">
        <v>742</v>
      </c>
      <c r="G69" s="5">
        <v>742.1</v>
      </c>
      <c r="H69" s="5">
        <v>91.7</v>
      </c>
      <c r="I69" s="5">
        <v>91.7</v>
      </c>
      <c r="J69" s="5">
        <v>1800</v>
      </c>
      <c r="K69" s="5">
        <v>43</v>
      </c>
      <c r="L69" s="5">
        <v>43</v>
      </c>
      <c r="M69" s="5">
        <v>0.24</v>
      </c>
      <c r="N69" s="5">
        <v>0.23991899999999999</v>
      </c>
      <c r="O69" s="5">
        <v>1</v>
      </c>
      <c r="P69" s="5">
        <v>1.069388</v>
      </c>
      <c r="Q69" s="5">
        <v>0.91</v>
      </c>
      <c r="R69" s="5">
        <v>0.91186500000000004</v>
      </c>
      <c r="S69" s="5">
        <v>184.09</v>
      </c>
      <c r="T69" s="5">
        <v>184.09379999999999</v>
      </c>
      <c r="U69" s="5">
        <v>3.5</v>
      </c>
      <c r="V69" s="5">
        <v>3.5</v>
      </c>
      <c r="W69" s="5">
        <v>300</v>
      </c>
      <c r="X69" s="5">
        <v>300</v>
      </c>
      <c r="Y69" s="5">
        <v>0</v>
      </c>
      <c r="Z69" s="5">
        <v>0</v>
      </c>
      <c r="AA69" s="5">
        <v>300</v>
      </c>
      <c r="AB69" s="5">
        <v>300</v>
      </c>
      <c r="AC69" s="5">
        <v>0</v>
      </c>
      <c r="AD69" s="5">
        <v>168.03110000000001</v>
      </c>
      <c r="AE69" s="5">
        <v>0</v>
      </c>
      <c r="AF69" s="5">
        <v>142.53970000000001</v>
      </c>
      <c r="AG69" s="5">
        <v>35</v>
      </c>
      <c r="AH69" s="5">
        <v>0.2</v>
      </c>
      <c r="AI69" s="5">
        <v>96.25</v>
      </c>
      <c r="AJ69" s="5">
        <v>124.76</v>
      </c>
      <c r="AK69" s="5">
        <v>197.13</v>
      </c>
      <c r="AL69" s="5">
        <v>197.24</v>
      </c>
      <c r="AM69" s="5">
        <v>551.54999999999995</v>
      </c>
      <c r="AN69" s="5">
        <v>253.6962</v>
      </c>
      <c r="AO69" s="5">
        <v>155.13</v>
      </c>
      <c r="AP69" s="5">
        <v>158.25</v>
      </c>
      <c r="AQ69" s="5">
        <v>173.77</v>
      </c>
      <c r="AR69" s="5">
        <v>700.33</v>
      </c>
      <c r="AS69" s="5">
        <v>41.99</v>
      </c>
      <c r="AT69" s="5">
        <v>68.45</v>
      </c>
      <c r="AU69" s="5">
        <v>118.38</v>
      </c>
      <c r="AV69" s="5">
        <v>116.86</v>
      </c>
      <c r="AW69" s="5">
        <v>0.23599999999999999</v>
      </c>
      <c r="AX69" s="5">
        <v>3.33</v>
      </c>
      <c r="AY69" s="5">
        <v>10000000000</v>
      </c>
      <c r="AZ69" s="5">
        <v>70.37</v>
      </c>
      <c r="BA69" s="5">
        <v>16.899999999999999</v>
      </c>
      <c r="BB69" s="5">
        <v>9.1</v>
      </c>
      <c r="BC69" s="5">
        <v>1.65</v>
      </c>
      <c r="BD69" s="5">
        <v>7.97</v>
      </c>
      <c r="BE69" s="5">
        <v>2.29</v>
      </c>
      <c r="BF69" s="5">
        <v>355.75</v>
      </c>
      <c r="BG69" s="5">
        <v>18.170000000000002</v>
      </c>
      <c r="BH69" s="5">
        <v>10000000000</v>
      </c>
      <c r="BI69" s="5">
        <v>215.6</v>
      </c>
      <c r="BJ69" s="5">
        <v>23.2</v>
      </c>
      <c r="BK69" s="5">
        <v>82.7</v>
      </c>
      <c r="BL69" s="5">
        <v>155.47</v>
      </c>
      <c r="BM69" s="5">
        <v>2.73</v>
      </c>
      <c r="BN69" s="5">
        <v>30.5</v>
      </c>
      <c r="BO69" s="5">
        <v>37.39</v>
      </c>
      <c r="BP69" s="5">
        <v>730.55</v>
      </c>
      <c r="BQ69" s="5">
        <v>68.176410000000004</v>
      </c>
      <c r="BR69" s="5">
        <v>291.33530000000002</v>
      </c>
      <c r="BS69" s="5">
        <v>42.586930000000002</v>
      </c>
      <c r="BT69" s="5">
        <v>41.682960000000001</v>
      </c>
      <c r="BU69" s="5">
        <v>41.09534</v>
      </c>
      <c r="BV69" s="5">
        <v>9.6142000000000005E-2</v>
      </c>
      <c r="BW69" s="5">
        <v>9.3767000000000003E-2</v>
      </c>
      <c r="BX69" s="5">
        <v>105.22629999999999</v>
      </c>
      <c r="BY69" s="5">
        <v>18.995360000000002</v>
      </c>
      <c r="BZ69" s="5">
        <v>0</v>
      </c>
      <c r="CA69" s="5">
        <v>0.92074599999999995</v>
      </c>
      <c r="CB69" s="5">
        <v>899.35889999999995</v>
      </c>
      <c r="CC69" s="5">
        <v>928.12980000000005</v>
      </c>
      <c r="CD69" s="5">
        <v>108.7265</v>
      </c>
      <c r="CE69" s="5">
        <v>528.15</v>
      </c>
      <c r="CF69" s="5">
        <v>97.76</v>
      </c>
      <c r="CG69" s="5">
        <v>114.17</v>
      </c>
      <c r="CH69" s="5">
        <v>461.65</v>
      </c>
      <c r="CI69" s="5">
        <v>481.62</v>
      </c>
      <c r="CJ69" s="5">
        <v>498.62</v>
      </c>
      <c r="CK69" s="5">
        <v>526.03</v>
      </c>
      <c r="CL69" s="5">
        <v>520.25</v>
      </c>
      <c r="CM69" s="5">
        <v>520.24</v>
      </c>
      <c r="CN69" s="5">
        <v>395.69</v>
      </c>
      <c r="CO69" s="5">
        <v>29.49</v>
      </c>
      <c r="CP69" s="5">
        <v>740.3</v>
      </c>
      <c r="CQ69" s="5">
        <v>742.05</v>
      </c>
      <c r="CR69" s="5">
        <v>13.3</v>
      </c>
      <c r="CS69" s="5">
        <v>13.3</v>
      </c>
      <c r="CT69" s="5">
        <v>24.47</v>
      </c>
      <c r="CU69" s="5">
        <v>43.29</v>
      </c>
      <c r="CV69" s="5">
        <v>99.42</v>
      </c>
      <c r="CW69" s="5">
        <v>0.89264138497854484</v>
      </c>
      <c r="CX69" s="5">
        <v>2.0441487716008675</v>
      </c>
    </row>
    <row r="70" spans="1:102" x14ac:dyDescent="0.25">
      <c r="A70" s="5">
        <v>3</v>
      </c>
      <c r="B70" s="23">
        <v>41402.409465127312</v>
      </c>
      <c r="C70" s="5">
        <v>8</v>
      </c>
      <c r="D70" s="5">
        <v>3</v>
      </c>
      <c r="E70" s="5">
        <v>606</v>
      </c>
      <c r="F70" s="5">
        <v>606</v>
      </c>
      <c r="G70" s="5">
        <v>606.1</v>
      </c>
      <c r="H70" s="5">
        <v>91.7</v>
      </c>
      <c r="I70" s="5">
        <v>91.7</v>
      </c>
      <c r="J70" s="5">
        <v>1800</v>
      </c>
      <c r="K70" s="5">
        <v>22</v>
      </c>
      <c r="L70" s="5">
        <v>22</v>
      </c>
      <c r="M70" s="5">
        <v>0.28999999999999998</v>
      </c>
      <c r="N70" s="5">
        <v>0.28997899999999999</v>
      </c>
      <c r="O70" s="5">
        <v>1</v>
      </c>
      <c r="P70" s="5">
        <v>1.069898</v>
      </c>
      <c r="Q70" s="5">
        <v>-3.46</v>
      </c>
      <c r="R70" s="5">
        <v>-3.460693</v>
      </c>
      <c r="S70" s="5">
        <v>183.35</v>
      </c>
      <c r="T70" s="5">
        <v>183.34379999999999</v>
      </c>
      <c r="U70" s="5">
        <v>3.5</v>
      </c>
      <c r="V70" s="5">
        <v>3.5</v>
      </c>
      <c r="W70" s="5">
        <v>300</v>
      </c>
      <c r="X70" s="5">
        <v>300</v>
      </c>
      <c r="Y70" s="5">
        <v>0</v>
      </c>
      <c r="Z70" s="5">
        <v>0</v>
      </c>
      <c r="AA70" s="5">
        <v>300</v>
      </c>
      <c r="AB70" s="5">
        <v>300</v>
      </c>
      <c r="AC70" s="5">
        <v>0</v>
      </c>
      <c r="AD70" s="5">
        <v>128.5932</v>
      </c>
      <c r="AE70" s="5">
        <v>0</v>
      </c>
      <c r="AF70" s="5">
        <v>128.5932</v>
      </c>
      <c r="AG70" s="5">
        <v>35</v>
      </c>
      <c r="AH70" s="5">
        <v>0.2</v>
      </c>
      <c r="AI70" s="5">
        <v>74</v>
      </c>
      <c r="AJ70" s="5">
        <v>104.45</v>
      </c>
      <c r="AK70" s="5">
        <v>112.32</v>
      </c>
      <c r="AL70" s="5">
        <v>114</v>
      </c>
      <c r="AM70" s="5">
        <v>593.49</v>
      </c>
      <c r="AN70" s="5">
        <v>195.43100000000001</v>
      </c>
      <c r="AO70" s="5">
        <v>95.36</v>
      </c>
      <c r="AP70" s="5">
        <v>114.29</v>
      </c>
      <c r="AQ70" s="5">
        <v>111.33</v>
      </c>
      <c r="AR70" s="5">
        <v>584.19000000000005</v>
      </c>
      <c r="AS70" s="5">
        <v>16.940000000000001</v>
      </c>
      <c r="AT70" s="5">
        <v>61.88</v>
      </c>
      <c r="AU70" s="5">
        <v>103.37</v>
      </c>
      <c r="AV70" s="5">
        <v>123.45</v>
      </c>
      <c r="AW70" s="5">
        <v>0.45300000000000001</v>
      </c>
      <c r="AX70" s="5">
        <v>6.85</v>
      </c>
      <c r="AY70" s="5">
        <v>10000000000</v>
      </c>
      <c r="AZ70" s="5">
        <v>209.32</v>
      </c>
      <c r="BA70" s="5">
        <v>22.37</v>
      </c>
      <c r="BB70" s="5">
        <v>9.43</v>
      </c>
      <c r="BC70" s="5">
        <v>1.22</v>
      </c>
      <c r="BD70" s="5">
        <v>7.48</v>
      </c>
      <c r="BE70" s="5">
        <v>2.2999999999999998</v>
      </c>
      <c r="BF70" s="5">
        <v>352.82</v>
      </c>
      <c r="BG70" s="5">
        <v>12.96</v>
      </c>
      <c r="BH70" s="5">
        <v>10000000000</v>
      </c>
      <c r="BI70" s="5">
        <v>226.6</v>
      </c>
      <c r="BJ70" s="5">
        <v>22.6</v>
      </c>
      <c r="BK70" s="5">
        <v>84.1</v>
      </c>
      <c r="BL70" s="5">
        <v>86.95</v>
      </c>
      <c r="BM70" s="5">
        <v>2.11</v>
      </c>
      <c r="BN70" s="5">
        <v>30.09</v>
      </c>
      <c r="BO70" s="5">
        <v>37.630000000000003</v>
      </c>
      <c r="BP70" s="5">
        <v>609.94000000000005</v>
      </c>
      <c r="BQ70" s="5">
        <v>62.551769999999998</v>
      </c>
      <c r="BR70" s="5">
        <v>210.70779999999999</v>
      </c>
      <c r="BS70" s="5">
        <v>44.548439999999999</v>
      </c>
      <c r="BT70" s="5">
        <v>37.787149999999997</v>
      </c>
      <c r="BU70" s="5">
        <v>37.539380000000001</v>
      </c>
      <c r="BV70" s="5">
        <v>0.101257</v>
      </c>
      <c r="BW70" s="5">
        <v>0.102854</v>
      </c>
      <c r="BX70" s="5">
        <v>89.714110000000005</v>
      </c>
      <c r="BY70" s="5">
        <v>18.995360000000002</v>
      </c>
      <c r="BZ70" s="5">
        <v>0</v>
      </c>
      <c r="CA70" s="5">
        <v>0.92648299999999995</v>
      </c>
      <c r="CB70" s="5">
        <v>708.7</v>
      </c>
      <c r="CC70" s="5">
        <v>733.35130000000004</v>
      </c>
      <c r="CD70" s="5">
        <v>93.214110000000005</v>
      </c>
      <c r="CE70" s="5">
        <v>530.97</v>
      </c>
      <c r="CF70" s="5">
        <v>85.77</v>
      </c>
      <c r="CG70" s="5">
        <v>98.44</v>
      </c>
      <c r="CH70" s="5">
        <v>477.49</v>
      </c>
      <c r="CI70" s="5">
        <v>504.23</v>
      </c>
      <c r="CJ70" s="5">
        <v>515.75</v>
      </c>
      <c r="CK70" s="5">
        <v>544.33000000000004</v>
      </c>
      <c r="CL70" s="5">
        <v>542.23</v>
      </c>
      <c r="CM70" s="5">
        <v>544.17999999999995</v>
      </c>
      <c r="CN70" s="5">
        <v>470.84</v>
      </c>
      <c r="CO70" s="5">
        <v>27.45</v>
      </c>
      <c r="CP70" s="5">
        <v>603.9</v>
      </c>
      <c r="CQ70" s="5">
        <v>606.04999999999995</v>
      </c>
      <c r="CR70" s="5">
        <v>10.8</v>
      </c>
      <c r="CS70" s="5">
        <v>10.9</v>
      </c>
      <c r="CT70" s="5">
        <v>23.92</v>
      </c>
      <c r="CU70" s="5">
        <v>69.290000000000006</v>
      </c>
      <c r="CV70" s="5">
        <v>99.52</v>
      </c>
      <c r="CW70" s="5">
        <v>0.92843828185841026</v>
      </c>
      <c r="CX70" s="5">
        <v>2.1354080482743436</v>
      </c>
    </row>
    <row r="71" spans="1:102" x14ac:dyDescent="0.25">
      <c r="A71" s="5">
        <v>20</v>
      </c>
      <c r="B71" s="23">
        <v>41402.50401877315</v>
      </c>
      <c r="C71" s="5">
        <v>8</v>
      </c>
      <c r="D71" s="5">
        <v>19</v>
      </c>
      <c r="E71" s="5">
        <v>664</v>
      </c>
      <c r="F71" s="5">
        <v>664</v>
      </c>
      <c r="G71" s="5">
        <v>664</v>
      </c>
      <c r="H71" s="5">
        <v>91.7</v>
      </c>
      <c r="I71" s="5">
        <v>91.7</v>
      </c>
      <c r="J71" s="5">
        <v>1800</v>
      </c>
      <c r="K71" s="5">
        <v>17</v>
      </c>
      <c r="L71" s="5">
        <v>17</v>
      </c>
      <c r="M71" s="5">
        <v>0.14000000000000001</v>
      </c>
      <c r="N71" s="5">
        <v>0.14008999999999999</v>
      </c>
      <c r="O71" s="5">
        <v>1</v>
      </c>
      <c r="P71" s="5">
        <v>1.069315</v>
      </c>
      <c r="Q71" s="5">
        <v>-1.65</v>
      </c>
      <c r="R71" s="5">
        <v>-1.6479490000000001</v>
      </c>
      <c r="S71" s="5">
        <v>182.97</v>
      </c>
      <c r="T71" s="5">
        <v>182.96879999999999</v>
      </c>
      <c r="U71" s="5">
        <v>3.5</v>
      </c>
      <c r="V71" s="5">
        <v>3.5</v>
      </c>
      <c r="W71" s="5">
        <v>300</v>
      </c>
      <c r="X71" s="5">
        <v>300</v>
      </c>
      <c r="Y71" s="5">
        <v>0</v>
      </c>
      <c r="Z71" s="5">
        <v>0</v>
      </c>
      <c r="AA71" s="5">
        <v>300</v>
      </c>
      <c r="AB71" s="5">
        <v>300</v>
      </c>
      <c r="AC71" s="5">
        <v>0</v>
      </c>
      <c r="AD71" s="5">
        <v>130.80250000000001</v>
      </c>
      <c r="AE71" s="5">
        <v>0</v>
      </c>
      <c r="AF71" s="5">
        <v>130.80250000000001</v>
      </c>
      <c r="AG71" s="5">
        <v>35</v>
      </c>
      <c r="AH71" s="5">
        <v>0.2</v>
      </c>
      <c r="AI71" s="5">
        <v>75.83</v>
      </c>
      <c r="AJ71" s="5">
        <v>107.27</v>
      </c>
      <c r="AK71" s="5">
        <v>117.74</v>
      </c>
      <c r="AL71" s="5">
        <v>121.02</v>
      </c>
      <c r="AM71" s="5">
        <v>610.96</v>
      </c>
      <c r="AN71" s="5">
        <v>197.24199999999999</v>
      </c>
      <c r="AO71" s="5">
        <v>96.43</v>
      </c>
      <c r="AP71" s="5">
        <v>118.12</v>
      </c>
      <c r="AQ71" s="5">
        <v>113.52</v>
      </c>
      <c r="AR71" s="5">
        <v>627.45000000000005</v>
      </c>
      <c r="AS71" s="5">
        <v>21.32</v>
      </c>
      <c r="AT71" s="5">
        <v>59.07</v>
      </c>
      <c r="AU71" s="5">
        <v>99.06</v>
      </c>
      <c r="AV71" s="5">
        <v>117.44</v>
      </c>
      <c r="AW71" s="5">
        <v>0.255</v>
      </c>
      <c r="AX71" s="5">
        <v>3.62</v>
      </c>
      <c r="AY71" s="5">
        <v>10000000000</v>
      </c>
      <c r="AZ71" s="5">
        <v>155.56</v>
      </c>
      <c r="BA71" s="5">
        <v>17.329999999999998</v>
      </c>
      <c r="BB71" s="5">
        <v>9.48</v>
      </c>
      <c r="BC71" s="5">
        <v>0.77</v>
      </c>
      <c r="BD71" s="5">
        <v>7.33</v>
      </c>
      <c r="BE71" s="5">
        <v>3.71</v>
      </c>
      <c r="BF71" s="5">
        <v>580.14</v>
      </c>
      <c r="BG71" s="5">
        <v>8.07</v>
      </c>
      <c r="BH71" s="5">
        <v>10000000000</v>
      </c>
      <c r="BI71" s="5">
        <v>221.9</v>
      </c>
      <c r="BJ71" s="5">
        <v>22.6</v>
      </c>
      <c r="BK71" s="5">
        <v>85.6</v>
      </c>
      <c r="BL71" s="5">
        <v>55.08</v>
      </c>
      <c r="BM71" s="5">
        <v>2.1</v>
      </c>
      <c r="BN71" s="5">
        <v>29.67</v>
      </c>
      <c r="BO71" s="5">
        <v>37.619999999999997</v>
      </c>
      <c r="BP71" s="5">
        <v>655.14</v>
      </c>
      <c r="BQ71" s="5">
        <v>59.978650000000002</v>
      </c>
      <c r="BR71" s="5">
        <v>220.4794</v>
      </c>
      <c r="BS71" s="5">
        <v>43.516759999999998</v>
      </c>
      <c r="BT71" s="5">
        <v>35.837850000000003</v>
      </c>
      <c r="BU71" s="5">
        <v>35.59552</v>
      </c>
      <c r="BV71" s="5">
        <v>9.8050999999999999E-2</v>
      </c>
      <c r="BW71" s="5">
        <v>9.9798999999999999E-2</v>
      </c>
      <c r="BX71" s="5">
        <v>96.634159999999994</v>
      </c>
      <c r="BY71" s="5">
        <v>18.995360000000002</v>
      </c>
      <c r="BZ71" s="5">
        <v>0</v>
      </c>
      <c r="CA71" s="5">
        <v>0.92421500000000001</v>
      </c>
      <c r="CB71" s="5">
        <v>719.05290000000002</v>
      </c>
      <c r="CC71" s="5">
        <v>745.54269999999997</v>
      </c>
      <c r="CD71" s="5">
        <v>100.13420000000001</v>
      </c>
      <c r="CE71" s="5">
        <v>499.64</v>
      </c>
      <c r="CF71" s="5">
        <v>83.22</v>
      </c>
      <c r="CG71" s="5">
        <v>96.52</v>
      </c>
      <c r="CH71" s="5">
        <v>499.52</v>
      </c>
      <c r="CI71" s="5">
        <v>521.96</v>
      </c>
      <c r="CJ71" s="5">
        <v>536.17999999999995</v>
      </c>
      <c r="CK71" s="5">
        <v>567.85</v>
      </c>
      <c r="CL71" s="5">
        <v>559.83000000000004</v>
      </c>
      <c r="CM71" s="5">
        <v>550.34</v>
      </c>
      <c r="CN71" s="5">
        <v>486.95</v>
      </c>
      <c r="CO71" s="5">
        <v>28.1</v>
      </c>
      <c r="CP71" s="5">
        <v>662.2</v>
      </c>
      <c r="CQ71" s="5">
        <v>664.05</v>
      </c>
      <c r="CR71" s="5">
        <v>11.9</v>
      </c>
      <c r="CS71" s="5">
        <v>11.9</v>
      </c>
      <c r="CT71" s="5">
        <v>24.31</v>
      </c>
      <c r="CU71" s="5">
        <v>58.81</v>
      </c>
      <c r="CV71" s="5">
        <v>99.47</v>
      </c>
      <c r="CW71" s="5">
        <v>0.9174499218536547</v>
      </c>
      <c r="CX71" s="5">
        <v>3.4037392100770587</v>
      </c>
    </row>
    <row r="72" spans="1:102" x14ac:dyDescent="0.25">
      <c r="A72" s="5">
        <v>46</v>
      </c>
      <c r="B72" s="23">
        <v>41402.681209780094</v>
      </c>
      <c r="C72" s="5">
        <v>8</v>
      </c>
      <c r="D72" s="5">
        <v>42</v>
      </c>
      <c r="E72" s="5">
        <v>744</v>
      </c>
      <c r="F72" s="5">
        <v>744</v>
      </c>
      <c r="G72" s="5">
        <v>744</v>
      </c>
      <c r="H72" s="5">
        <v>91.7</v>
      </c>
      <c r="I72" s="5">
        <v>91.7</v>
      </c>
      <c r="J72" s="5">
        <v>1800</v>
      </c>
      <c r="K72" s="5">
        <v>15</v>
      </c>
      <c r="L72" s="5">
        <v>15</v>
      </c>
      <c r="M72" s="5">
        <v>0.12</v>
      </c>
      <c r="N72" s="5">
        <v>0.12002400000000001</v>
      </c>
      <c r="O72" s="5">
        <v>1</v>
      </c>
      <c r="P72" s="5">
        <v>1.069472</v>
      </c>
      <c r="Q72" s="5">
        <v>0.98</v>
      </c>
      <c r="R72" s="5">
        <v>0.97778299999999996</v>
      </c>
      <c r="S72" s="5">
        <v>184.15</v>
      </c>
      <c r="T72" s="5">
        <v>184.15629999999999</v>
      </c>
      <c r="U72" s="5">
        <v>3.5</v>
      </c>
      <c r="V72" s="5">
        <v>3.5</v>
      </c>
      <c r="W72" s="5">
        <v>300</v>
      </c>
      <c r="X72" s="5">
        <v>300</v>
      </c>
      <c r="Y72" s="5">
        <v>0</v>
      </c>
      <c r="Z72" s="5">
        <v>0</v>
      </c>
      <c r="AA72" s="5">
        <v>300</v>
      </c>
      <c r="AB72" s="5">
        <v>300</v>
      </c>
      <c r="AC72" s="5">
        <v>0</v>
      </c>
      <c r="AD72" s="5">
        <v>136.3887</v>
      </c>
      <c r="AE72" s="5">
        <v>0</v>
      </c>
      <c r="AF72" s="5">
        <v>136.3887</v>
      </c>
      <c r="AG72" s="5">
        <v>35</v>
      </c>
      <c r="AH72" s="5">
        <v>0.2</v>
      </c>
      <c r="AI72" s="5">
        <v>83.06</v>
      </c>
      <c r="AJ72" s="5">
        <v>111.9</v>
      </c>
      <c r="AK72" s="5">
        <v>126.66</v>
      </c>
      <c r="AL72" s="5">
        <v>130.19</v>
      </c>
      <c r="AM72" s="5">
        <v>619.16</v>
      </c>
      <c r="AN72" s="5">
        <v>205.43219999999999</v>
      </c>
      <c r="AO72" s="5">
        <v>105.63</v>
      </c>
      <c r="AP72" s="5">
        <v>126.79</v>
      </c>
      <c r="AQ72" s="5">
        <v>123.73</v>
      </c>
      <c r="AR72" s="5">
        <v>669.63</v>
      </c>
      <c r="AS72" s="5">
        <v>21.05</v>
      </c>
      <c r="AT72" s="5">
        <v>58.99</v>
      </c>
      <c r="AU72" s="5">
        <v>98.9</v>
      </c>
      <c r="AV72" s="5">
        <v>112.54</v>
      </c>
      <c r="AW72" s="5">
        <v>0.17699999999999999</v>
      </c>
      <c r="AX72" s="5">
        <v>2.4500000000000002</v>
      </c>
      <c r="AY72" s="5">
        <v>10000000000</v>
      </c>
      <c r="AZ72" s="5">
        <v>117.69</v>
      </c>
      <c r="BA72" s="5">
        <v>17.809999999999999</v>
      </c>
      <c r="BB72" s="5">
        <v>9.73</v>
      </c>
      <c r="BC72" s="5">
        <v>0.66</v>
      </c>
      <c r="BD72" s="5">
        <v>7.06</v>
      </c>
      <c r="BE72" s="5">
        <v>4.8899999999999997</v>
      </c>
      <c r="BF72" s="5">
        <v>804.91</v>
      </c>
      <c r="BG72" s="5">
        <v>6.74</v>
      </c>
      <c r="BH72" s="5">
        <v>10000000000</v>
      </c>
      <c r="BI72" s="5">
        <v>215.8</v>
      </c>
      <c r="BJ72" s="5">
        <v>22.1</v>
      </c>
      <c r="BK72" s="5">
        <v>86.3</v>
      </c>
      <c r="BL72" s="5">
        <v>48.4</v>
      </c>
      <c r="BM72" s="5">
        <v>2.2000000000000002</v>
      </c>
      <c r="BN72" s="5">
        <v>29.57</v>
      </c>
      <c r="BO72" s="5">
        <v>37.799999999999997</v>
      </c>
      <c r="BP72" s="5">
        <v>699.53</v>
      </c>
      <c r="BQ72" s="5">
        <v>59.930779999999999</v>
      </c>
      <c r="BR72" s="5">
        <v>230.489</v>
      </c>
      <c r="BS72" s="5">
        <v>42.548729999999999</v>
      </c>
      <c r="BT72" s="5">
        <v>34.212940000000003</v>
      </c>
      <c r="BU72" s="5">
        <v>33.980879999999999</v>
      </c>
      <c r="BV72" s="5">
        <v>9.6060999999999994E-2</v>
      </c>
      <c r="BW72" s="5">
        <v>9.8045999999999994E-2</v>
      </c>
      <c r="BX72" s="5">
        <v>105.5934</v>
      </c>
      <c r="BY72" s="5">
        <v>18.995360000000002</v>
      </c>
      <c r="BZ72" s="5">
        <v>0</v>
      </c>
      <c r="CA72" s="5">
        <v>0.92060200000000003</v>
      </c>
      <c r="CB72" s="5">
        <v>746.06539999999995</v>
      </c>
      <c r="CC72" s="5">
        <v>774.93290000000002</v>
      </c>
      <c r="CD72" s="5">
        <v>109.1036</v>
      </c>
      <c r="CE72" s="5">
        <v>484.73</v>
      </c>
      <c r="CF72" s="5">
        <v>83.43</v>
      </c>
      <c r="CG72" s="5">
        <v>97.25</v>
      </c>
      <c r="CH72" s="5">
        <v>506.97</v>
      </c>
      <c r="CI72" s="5">
        <v>532.53</v>
      </c>
      <c r="CJ72" s="5">
        <v>549.15</v>
      </c>
      <c r="CK72" s="5">
        <v>576.29999999999995</v>
      </c>
      <c r="CL72" s="5">
        <v>568.29999999999995</v>
      </c>
      <c r="CM72" s="5">
        <v>557.59</v>
      </c>
      <c r="CN72" s="5">
        <v>489.59</v>
      </c>
      <c r="CO72" s="5">
        <v>29.02</v>
      </c>
      <c r="CP72" s="5">
        <v>742.1</v>
      </c>
      <c r="CQ72" s="5">
        <v>744.05</v>
      </c>
      <c r="CR72" s="5">
        <v>13.3</v>
      </c>
      <c r="CS72" s="5">
        <v>13.3</v>
      </c>
      <c r="CT72" s="5">
        <v>24.52</v>
      </c>
      <c r="CU72" s="5">
        <v>45.16</v>
      </c>
      <c r="CV72" s="5">
        <v>99.43</v>
      </c>
      <c r="CW72" s="5">
        <v>0.89564812469300592</v>
      </c>
      <c r="CX72" s="5">
        <v>4.3797193297487986</v>
      </c>
    </row>
    <row r="73" spans="1:102" x14ac:dyDescent="0.25">
      <c r="A73" s="5">
        <v>16</v>
      </c>
      <c r="B73" s="23">
        <v>41402.482298275463</v>
      </c>
      <c r="C73" s="5">
        <v>8</v>
      </c>
      <c r="D73" s="5">
        <v>15</v>
      </c>
      <c r="E73" s="5">
        <v>647</v>
      </c>
      <c r="F73" s="5">
        <v>647</v>
      </c>
      <c r="G73" s="5">
        <v>647</v>
      </c>
      <c r="H73" s="5">
        <v>91.7</v>
      </c>
      <c r="I73" s="5">
        <v>91.7</v>
      </c>
      <c r="J73" s="5">
        <v>1800</v>
      </c>
      <c r="K73" s="5">
        <v>14</v>
      </c>
      <c r="L73" s="5">
        <v>14</v>
      </c>
      <c r="M73" s="5">
        <v>0.15</v>
      </c>
      <c r="N73" s="5">
        <v>0.14999699999999999</v>
      </c>
      <c r="O73" s="5">
        <v>1</v>
      </c>
      <c r="P73" s="5">
        <v>1.0695170000000001</v>
      </c>
      <c r="Q73" s="5">
        <v>-2.17</v>
      </c>
      <c r="R73" s="5">
        <v>-2.1752929999999999</v>
      </c>
      <c r="S73" s="5">
        <v>183.09</v>
      </c>
      <c r="T73" s="5">
        <v>183.09379999999999</v>
      </c>
      <c r="U73" s="5">
        <v>3.5</v>
      </c>
      <c r="V73" s="5">
        <v>3.5</v>
      </c>
      <c r="W73" s="5">
        <v>300</v>
      </c>
      <c r="X73" s="5">
        <v>300</v>
      </c>
      <c r="Y73" s="5">
        <v>0</v>
      </c>
      <c r="Z73" s="5">
        <v>0</v>
      </c>
      <c r="AA73" s="5">
        <v>300</v>
      </c>
      <c r="AB73" s="5">
        <v>300</v>
      </c>
      <c r="AC73" s="5">
        <v>0</v>
      </c>
      <c r="AD73" s="5">
        <v>126.7462</v>
      </c>
      <c r="AE73" s="5">
        <v>0</v>
      </c>
      <c r="AF73" s="5">
        <v>126.7462</v>
      </c>
      <c r="AG73" s="5">
        <v>35</v>
      </c>
      <c r="AH73" s="5">
        <v>0.2</v>
      </c>
      <c r="AI73" s="5">
        <v>72.98</v>
      </c>
      <c r="AJ73" s="5">
        <v>104.03</v>
      </c>
      <c r="AK73" s="5">
        <v>109.4</v>
      </c>
      <c r="AL73" s="5">
        <v>112.6</v>
      </c>
      <c r="AM73" s="5">
        <v>620.66</v>
      </c>
      <c r="AN73" s="5">
        <v>191.04830000000001</v>
      </c>
      <c r="AO73" s="5">
        <v>90.32</v>
      </c>
      <c r="AP73" s="5">
        <v>111.96</v>
      </c>
      <c r="AQ73" s="5">
        <v>106.88</v>
      </c>
      <c r="AR73" s="5">
        <v>606.23</v>
      </c>
      <c r="AS73" s="5">
        <v>19.09</v>
      </c>
      <c r="AT73" s="5">
        <v>59.16</v>
      </c>
      <c r="AU73" s="5">
        <v>98.82</v>
      </c>
      <c r="AV73" s="5">
        <v>115.27</v>
      </c>
      <c r="AW73" s="5">
        <v>0.36199999999999999</v>
      </c>
      <c r="AX73" s="5">
        <v>5.32</v>
      </c>
      <c r="AY73" s="5">
        <v>10000000000</v>
      </c>
      <c r="AZ73" s="5">
        <v>218.5</v>
      </c>
      <c r="BA73" s="5">
        <v>19.309999999999999</v>
      </c>
      <c r="BB73" s="5">
        <v>9.69</v>
      </c>
      <c r="BC73" s="5">
        <v>0.79</v>
      </c>
      <c r="BD73" s="5">
        <v>7.1</v>
      </c>
      <c r="BE73" s="5">
        <v>3.45</v>
      </c>
      <c r="BF73" s="5">
        <v>545.83000000000004</v>
      </c>
      <c r="BG73" s="5">
        <v>8.1199999999999992</v>
      </c>
      <c r="BH73" s="5">
        <v>10000000000</v>
      </c>
      <c r="BI73" s="5">
        <v>224.5</v>
      </c>
      <c r="BJ73" s="5">
        <v>22.1</v>
      </c>
      <c r="BK73" s="5">
        <v>85.5</v>
      </c>
      <c r="BL73" s="5">
        <v>53.61</v>
      </c>
      <c r="BM73" s="5">
        <v>2.04</v>
      </c>
      <c r="BN73" s="5">
        <v>29.69</v>
      </c>
      <c r="BO73" s="5">
        <v>37.79</v>
      </c>
      <c r="BP73" s="5">
        <v>633.83000000000004</v>
      </c>
      <c r="BQ73" s="5">
        <v>60.128590000000003</v>
      </c>
      <c r="BR73" s="5">
        <v>211.97229999999999</v>
      </c>
      <c r="BS73" s="5">
        <v>43.789450000000002</v>
      </c>
      <c r="BT73" s="5">
        <v>35.286679999999997</v>
      </c>
      <c r="BU73" s="5">
        <v>35.109270000000002</v>
      </c>
      <c r="BV73" s="5">
        <v>9.8913000000000001E-2</v>
      </c>
      <c r="BW73" s="5">
        <v>0.101342</v>
      </c>
      <c r="BX73" s="5">
        <v>94.749430000000004</v>
      </c>
      <c r="BY73" s="5">
        <v>18.995360000000002</v>
      </c>
      <c r="BZ73" s="5">
        <v>0</v>
      </c>
      <c r="CA73" s="5">
        <v>0.92482799999999998</v>
      </c>
      <c r="CB73" s="5">
        <v>696.76020000000005</v>
      </c>
      <c r="CC73" s="5">
        <v>722.75729999999999</v>
      </c>
      <c r="CD73" s="5">
        <v>98.249430000000004</v>
      </c>
      <c r="CE73" s="5">
        <v>504.5</v>
      </c>
      <c r="CF73" s="5">
        <v>84.1</v>
      </c>
      <c r="CG73" s="5">
        <v>97.1</v>
      </c>
      <c r="CH73" s="5">
        <v>504.37</v>
      </c>
      <c r="CI73" s="5">
        <v>528.69000000000005</v>
      </c>
      <c r="CJ73" s="5">
        <v>542.78</v>
      </c>
      <c r="CK73" s="5">
        <v>572.79</v>
      </c>
      <c r="CL73" s="5">
        <v>565.26</v>
      </c>
      <c r="CM73" s="5">
        <v>557.62</v>
      </c>
      <c r="CN73" s="5">
        <v>499.12</v>
      </c>
      <c r="CO73" s="5">
        <v>28.26</v>
      </c>
      <c r="CP73" s="5">
        <v>644.79999999999995</v>
      </c>
      <c r="CQ73" s="5">
        <v>647.04999999999995</v>
      </c>
      <c r="CR73" s="5">
        <v>11.6</v>
      </c>
      <c r="CS73" s="5">
        <v>11.6</v>
      </c>
      <c r="CT73" s="5">
        <v>24.42</v>
      </c>
      <c r="CU73" s="5">
        <v>66.78</v>
      </c>
      <c r="CV73" s="5">
        <v>99.48</v>
      </c>
      <c r="CW73" s="5">
        <v>0.9339538188204114</v>
      </c>
      <c r="CX73" s="5">
        <v>3.2221406749304196</v>
      </c>
    </row>
    <row r="74" spans="1:102" x14ac:dyDescent="0.25">
      <c r="A74" s="5">
        <v>4</v>
      </c>
      <c r="B74" s="23">
        <v>41402.414886770835</v>
      </c>
      <c r="C74" s="5">
        <v>8</v>
      </c>
      <c r="D74" s="5">
        <v>4</v>
      </c>
      <c r="E74" s="5">
        <v>608</v>
      </c>
      <c r="F74" s="5">
        <v>608</v>
      </c>
      <c r="G74" s="5">
        <v>608</v>
      </c>
      <c r="H74" s="5">
        <v>91.7</v>
      </c>
      <c r="I74" s="5">
        <v>91.7</v>
      </c>
      <c r="J74" s="5">
        <v>1800</v>
      </c>
      <c r="K74" s="5">
        <v>54</v>
      </c>
      <c r="L74" s="5">
        <v>54</v>
      </c>
      <c r="M74" s="5">
        <v>0.11</v>
      </c>
      <c r="N74" s="5">
        <v>0.109886</v>
      </c>
      <c r="O74" s="5">
        <v>1</v>
      </c>
      <c r="P74" s="5">
        <v>1.069507</v>
      </c>
      <c r="Q74" s="5">
        <v>-3.4</v>
      </c>
      <c r="R74" s="5">
        <v>-3.3947750000000001</v>
      </c>
      <c r="S74" s="5">
        <v>183.34</v>
      </c>
      <c r="T74" s="5">
        <v>183.34379999999999</v>
      </c>
      <c r="U74" s="5">
        <v>3.5</v>
      </c>
      <c r="V74" s="5">
        <v>3.5</v>
      </c>
      <c r="W74" s="5">
        <v>300</v>
      </c>
      <c r="X74" s="5">
        <v>300</v>
      </c>
      <c r="Y74" s="5">
        <v>0</v>
      </c>
      <c r="Z74" s="5">
        <v>0</v>
      </c>
      <c r="AA74" s="5">
        <v>300</v>
      </c>
      <c r="AB74" s="5">
        <v>300</v>
      </c>
      <c r="AC74" s="5">
        <v>0</v>
      </c>
      <c r="AD74" s="5">
        <v>182.179</v>
      </c>
      <c r="AE74" s="5">
        <v>0</v>
      </c>
      <c r="AF74" s="5">
        <v>142.54150000000001</v>
      </c>
      <c r="AG74" s="5">
        <v>35</v>
      </c>
      <c r="AH74" s="5">
        <v>0.2</v>
      </c>
      <c r="AI74" s="5">
        <v>100.43</v>
      </c>
      <c r="AJ74" s="5">
        <v>132.47</v>
      </c>
      <c r="AK74" s="5">
        <v>278.93</v>
      </c>
      <c r="AL74" s="5">
        <v>279.38</v>
      </c>
      <c r="AM74" s="5">
        <v>501.51</v>
      </c>
      <c r="AN74" s="5">
        <v>272.2432</v>
      </c>
      <c r="AO74" s="5">
        <v>172.68</v>
      </c>
      <c r="AP74" s="5">
        <v>169.25</v>
      </c>
      <c r="AQ74" s="5">
        <v>193.27</v>
      </c>
      <c r="AR74" s="5">
        <v>780.65</v>
      </c>
      <c r="AS74" s="5">
        <v>106.23</v>
      </c>
      <c r="AT74" s="5">
        <v>64.81</v>
      </c>
      <c r="AU74" s="5">
        <v>110.22</v>
      </c>
      <c r="AV74" s="5">
        <v>123.35</v>
      </c>
      <c r="AW74" s="5">
        <v>0.111</v>
      </c>
      <c r="AX74" s="5">
        <v>1.5</v>
      </c>
      <c r="AY74" s="5">
        <v>10000000000</v>
      </c>
      <c r="AZ74" s="5">
        <v>45.98</v>
      </c>
      <c r="BA74" s="5">
        <v>18.350000000000001</v>
      </c>
      <c r="BB74" s="5">
        <v>7.38</v>
      </c>
      <c r="BC74" s="5">
        <v>1.08</v>
      </c>
      <c r="BD74" s="5">
        <v>10.36</v>
      </c>
      <c r="BE74" s="5">
        <v>3.17</v>
      </c>
      <c r="BF74" s="5">
        <v>349.83</v>
      </c>
      <c r="BG74" s="5">
        <v>14.69</v>
      </c>
      <c r="BH74" s="5">
        <v>10000000000</v>
      </c>
      <c r="BI74" s="5">
        <v>234.9</v>
      </c>
      <c r="BJ74" s="5">
        <v>29</v>
      </c>
      <c r="BK74" s="5">
        <v>83.2</v>
      </c>
      <c r="BL74" s="5">
        <v>134.41</v>
      </c>
      <c r="BM74" s="5">
        <v>2.9</v>
      </c>
      <c r="BN74" s="5">
        <v>29.97</v>
      </c>
      <c r="BO74" s="5">
        <v>35.770000000000003</v>
      </c>
      <c r="BP74" s="5">
        <v>807.6</v>
      </c>
      <c r="BQ74" s="5">
        <v>65.146349999999998</v>
      </c>
      <c r="BR74" s="5">
        <v>376.99849999999998</v>
      </c>
      <c r="BS74" s="5">
        <v>44.109780000000001</v>
      </c>
      <c r="BT74" s="5">
        <v>51.619190000000003</v>
      </c>
      <c r="BU74" s="5">
        <v>50.353619999999999</v>
      </c>
      <c r="BV74" s="5">
        <v>9.9913000000000002E-2</v>
      </c>
      <c r="BW74" s="5">
        <v>8.9476E-2</v>
      </c>
      <c r="BX74" s="5">
        <v>92.627290000000002</v>
      </c>
      <c r="BY74" s="5">
        <v>18.995360000000002</v>
      </c>
      <c r="BZ74" s="5">
        <v>0</v>
      </c>
      <c r="CA74" s="5">
        <v>0.92552100000000004</v>
      </c>
      <c r="CB74" s="5">
        <v>978.87289999999996</v>
      </c>
      <c r="CC74" s="5">
        <v>1004.303</v>
      </c>
      <c r="CD74" s="5">
        <v>96.127290000000002</v>
      </c>
      <c r="CE74" s="5">
        <v>494.51</v>
      </c>
      <c r="CF74" s="5">
        <v>90.64</v>
      </c>
      <c r="CG74" s="5">
        <v>105.12</v>
      </c>
      <c r="CH74" s="5">
        <v>444.94</v>
      </c>
      <c r="CI74" s="5">
        <v>460.1</v>
      </c>
      <c r="CJ74" s="5">
        <v>474.3</v>
      </c>
      <c r="CK74" s="5">
        <v>494.53</v>
      </c>
      <c r="CL74" s="5">
        <v>493.56</v>
      </c>
      <c r="CM74" s="5">
        <v>491.41</v>
      </c>
      <c r="CN74" s="5">
        <v>336.37</v>
      </c>
      <c r="CO74" s="5">
        <v>30.74</v>
      </c>
      <c r="CP74" s="5">
        <v>606</v>
      </c>
      <c r="CQ74" s="5">
        <v>608.04999999999995</v>
      </c>
      <c r="CR74" s="5">
        <v>10.9</v>
      </c>
      <c r="CS74" s="5">
        <v>10.9</v>
      </c>
      <c r="CT74" s="5">
        <v>25.74</v>
      </c>
      <c r="CU74" s="5">
        <v>67.8</v>
      </c>
      <c r="CV74" s="5">
        <v>99.49</v>
      </c>
      <c r="CW74" s="5">
        <v>0.96369033168061236</v>
      </c>
      <c r="CX74" s="5">
        <v>3.054898351427541</v>
      </c>
    </row>
    <row r="75" spans="1:102" x14ac:dyDescent="0.25">
      <c r="A75" s="5">
        <v>43</v>
      </c>
      <c r="B75" s="23">
        <v>41402.664950046295</v>
      </c>
      <c r="C75" s="5">
        <v>8</v>
      </c>
      <c r="D75" s="5">
        <v>39</v>
      </c>
      <c r="E75" s="5">
        <v>734</v>
      </c>
      <c r="F75" s="5">
        <v>734</v>
      </c>
      <c r="G75" s="5">
        <v>734</v>
      </c>
      <c r="H75" s="5">
        <v>91.7</v>
      </c>
      <c r="I75" s="5">
        <v>91.7</v>
      </c>
      <c r="J75" s="5">
        <v>1800</v>
      </c>
      <c r="K75" s="5">
        <v>24</v>
      </c>
      <c r="L75" s="5">
        <v>24</v>
      </c>
      <c r="M75" s="5">
        <v>0.16</v>
      </c>
      <c r="N75" s="5">
        <v>0.15995599999999999</v>
      </c>
      <c r="O75" s="5">
        <v>1</v>
      </c>
      <c r="P75" s="5">
        <v>1.069393</v>
      </c>
      <c r="Q75" s="5">
        <v>0.64</v>
      </c>
      <c r="R75" s="5">
        <v>0.63720699999999997</v>
      </c>
      <c r="S75" s="5">
        <v>183.83</v>
      </c>
      <c r="T75" s="5">
        <v>183.82810000000001</v>
      </c>
      <c r="U75" s="5">
        <v>3.5</v>
      </c>
      <c r="V75" s="5">
        <v>3.5</v>
      </c>
      <c r="W75" s="5">
        <v>300</v>
      </c>
      <c r="X75" s="5">
        <v>300</v>
      </c>
      <c r="Y75" s="5">
        <v>0</v>
      </c>
      <c r="Z75" s="5">
        <v>0</v>
      </c>
      <c r="AA75" s="5">
        <v>300</v>
      </c>
      <c r="AB75" s="5">
        <v>300</v>
      </c>
      <c r="AC75" s="5">
        <v>0</v>
      </c>
      <c r="AD75" s="5">
        <v>145.47149999999999</v>
      </c>
      <c r="AE75" s="5">
        <v>0</v>
      </c>
      <c r="AF75" s="5">
        <v>142.506</v>
      </c>
      <c r="AG75" s="5">
        <v>35</v>
      </c>
      <c r="AH75" s="5">
        <v>0.2</v>
      </c>
      <c r="AI75" s="5">
        <v>85.52</v>
      </c>
      <c r="AJ75" s="5">
        <v>116.1</v>
      </c>
      <c r="AK75" s="5">
        <v>144.25</v>
      </c>
      <c r="AL75" s="5">
        <v>147.01</v>
      </c>
      <c r="AM75" s="5">
        <v>590.67999999999995</v>
      </c>
      <c r="AN75" s="5">
        <v>219.18639999999999</v>
      </c>
      <c r="AO75" s="5">
        <v>119.53</v>
      </c>
      <c r="AP75" s="5">
        <v>137.04</v>
      </c>
      <c r="AQ75" s="5">
        <v>137.99</v>
      </c>
      <c r="AR75" s="5">
        <v>684.13</v>
      </c>
      <c r="AS75" s="5">
        <v>24.71</v>
      </c>
      <c r="AT75" s="5">
        <v>60.5</v>
      </c>
      <c r="AU75" s="5">
        <v>100.67</v>
      </c>
      <c r="AV75" s="5">
        <v>110.9</v>
      </c>
      <c r="AW75" s="5">
        <v>0.158</v>
      </c>
      <c r="AX75" s="5">
        <v>2.1800000000000002</v>
      </c>
      <c r="AY75" s="5">
        <v>10000000000</v>
      </c>
      <c r="AZ75" s="5">
        <v>82.56</v>
      </c>
      <c r="BA75" s="5">
        <v>18.28</v>
      </c>
      <c r="BB75" s="5">
        <v>9.33</v>
      </c>
      <c r="BC75" s="5">
        <v>0.89</v>
      </c>
      <c r="BD75" s="5">
        <v>7.67</v>
      </c>
      <c r="BE75" s="5">
        <v>4.16</v>
      </c>
      <c r="BF75" s="5">
        <v>657.6</v>
      </c>
      <c r="BG75" s="5">
        <v>9.52</v>
      </c>
      <c r="BH75" s="5">
        <v>10000000000</v>
      </c>
      <c r="BI75" s="5">
        <v>214.9</v>
      </c>
      <c r="BJ75" s="5">
        <v>23</v>
      </c>
      <c r="BK75" s="5">
        <v>84.9</v>
      </c>
      <c r="BL75" s="5">
        <v>71.98</v>
      </c>
      <c r="BM75" s="5">
        <v>2.35</v>
      </c>
      <c r="BN75" s="5">
        <v>29.78</v>
      </c>
      <c r="BO75" s="5">
        <v>37.47</v>
      </c>
      <c r="BP75" s="5">
        <v>713.7</v>
      </c>
      <c r="BQ75" s="5">
        <v>61.287190000000002</v>
      </c>
      <c r="BR75" s="5">
        <v>245.6121</v>
      </c>
      <c r="BS75" s="5">
        <v>42.747700000000002</v>
      </c>
      <c r="BT75" s="5">
        <v>37.062049999999999</v>
      </c>
      <c r="BU75" s="5">
        <v>36.75573</v>
      </c>
      <c r="BV75" s="5">
        <v>9.6475000000000005E-2</v>
      </c>
      <c r="BW75" s="5">
        <v>9.6592999999999998E-2</v>
      </c>
      <c r="BX75" s="5">
        <v>103.7199</v>
      </c>
      <c r="BY75" s="5">
        <v>18.995360000000002</v>
      </c>
      <c r="BZ75" s="5">
        <v>0</v>
      </c>
      <c r="CA75" s="5">
        <v>0.92135100000000003</v>
      </c>
      <c r="CB75" s="5">
        <v>793.62959999999998</v>
      </c>
      <c r="CC75" s="5">
        <v>822.00400000000002</v>
      </c>
      <c r="CD75" s="5">
        <v>107.2199</v>
      </c>
      <c r="CE75" s="5">
        <v>509.34</v>
      </c>
      <c r="CF75" s="5">
        <v>84.51</v>
      </c>
      <c r="CG75" s="5">
        <v>97.35</v>
      </c>
      <c r="CH75" s="5">
        <v>482.04</v>
      </c>
      <c r="CI75" s="5">
        <v>507.47</v>
      </c>
      <c r="CJ75" s="5">
        <v>523.59</v>
      </c>
      <c r="CK75" s="5">
        <v>552.01</v>
      </c>
      <c r="CL75" s="5">
        <v>543.85</v>
      </c>
      <c r="CM75" s="5">
        <v>541.67999999999995</v>
      </c>
      <c r="CN75" s="5">
        <v>453.08</v>
      </c>
      <c r="CO75" s="5">
        <v>29.96</v>
      </c>
      <c r="CP75" s="5">
        <v>732.5</v>
      </c>
      <c r="CQ75" s="5">
        <v>734.05</v>
      </c>
      <c r="CR75" s="5">
        <v>13.1</v>
      </c>
      <c r="CS75" s="5">
        <v>13.2</v>
      </c>
      <c r="CT75" s="5">
        <v>24.85</v>
      </c>
      <c r="CU75" s="5">
        <v>41.24</v>
      </c>
      <c r="CV75" s="5">
        <v>99.42</v>
      </c>
      <c r="CW75" s="5">
        <v>0.88860735247611744</v>
      </c>
      <c r="CX75" s="5">
        <v>3.6966065863006485</v>
      </c>
    </row>
    <row r="76" spans="1:102" x14ac:dyDescent="0.25">
      <c r="A76" s="5">
        <v>8</v>
      </c>
      <c r="B76" s="23">
        <v>41402.436573935185</v>
      </c>
      <c r="C76" s="5">
        <v>8</v>
      </c>
      <c r="D76" s="5">
        <v>8</v>
      </c>
      <c r="E76" s="5">
        <v>625</v>
      </c>
      <c r="F76" s="5">
        <v>625</v>
      </c>
      <c r="G76" s="5">
        <v>625.1</v>
      </c>
      <c r="H76" s="5">
        <v>91.7</v>
      </c>
      <c r="I76" s="5">
        <v>91.7</v>
      </c>
      <c r="J76" s="5">
        <v>1800</v>
      </c>
      <c r="K76" s="5">
        <v>31</v>
      </c>
      <c r="L76" s="5">
        <v>31</v>
      </c>
      <c r="M76" s="5">
        <v>0.1</v>
      </c>
      <c r="N76" s="5">
        <v>0.10001500000000001</v>
      </c>
      <c r="O76" s="5">
        <v>1</v>
      </c>
      <c r="P76" s="5">
        <v>1.0694490000000001</v>
      </c>
      <c r="Q76" s="5">
        <v>-2.87</v>
      </c>
      <c r="R76" s="5">
        <v>-2.867432</v>
      </c>
      <c r="S76" s="5">
        <v>183.23</v>
      </c>
      <c r="T76" s="5">
        <v>183.23439999999999</v>
      </c>
      <c r="U76" s="5">
        <v>3.5</v>
      </c>
      <c r="V76" s="5">
        <v>3.5</v>
      </c>
      <c r="W76" s="5">
        <v>300</v>
      </c>
      <c r="X76" s="5">
        <v>300</v>
      </c>
      <c r="Y76" s="5">
        <v>0</v>
      </c>
      <c r="Z76" s="5">
        <v>0</v>
      </c>
      <c r="AA76" s="5">
        <v>300</v>
      </c>
      <c r="AB76" s="5">
        <v>300</v>
      </c>
      <c r="AC76" s="5">
        <v>0</v>
      </c>
      <c r="AD76" s="5">
        <v>147.68020000000001</v>
      </c>
      <c r="AE76" s="5">
        <v>0</v>
      </c>
      <c r="AF76" s="5">
        <v>142.59620000000001</v>
      </c>
      <c r="AG76" s="5">
        <v>35</v>
      </c>
      <c r="AH76" s="5">
        <v>0.2</v>
      </c>
      <c r="AI76" s="5">
        <v>83.81</v>
      </c>
      <c r="AJ76" s="5">
        <v>116.5</v>
      </c>
      <c r="AK76" s="5">
        <v>159.71</v>
      </c>
      <c r="AL76" s="5">
        <v>162.53</v>
      </c>
      <c r="AM76" s="5">
        <v>548.16</v>
      </c>
      <c r="AN76" s="5">
        <v>221.87180000000001</v>
      </c>
      <c r="AO76" s="5">
        <v>121.34</v>
      </c>
      <c r="AP76" s="5">
        <v>134.46</v>
      </c>
      <c r="AQ76" s="5">
        <v>140.22999999999999</v>
      </c>
      <c r="AR76" s="5">
        <v>692.43</v>
      </c>
      <c r="AS76" s="5">
        <v>38.33</v>
      </c>
      <c r="AT76" s="5">
        <v>59.93</v>
      </c>
      <c r="AU76" s="5">
        <v>99.61</v>
      </c>
      <c r="AV76" s="5">
        <v>122.14</v>
      </c>
      <c r="AW76" s="5">
        <v>7.6999999999999999E-2</v>
      </c>
      <c r="AX76" s="5">
        <v>1.04</v>
      </c>
      <c r="AY76" s="5">
        <v>10000000000</v>
      </c>
      <c r="AZ76" s="5">
        <v>55.47</v>
      </c>
      <c r="BA76" s="5">
        <v>21.29</v>
      </c>
      <c r="BB76" s="5">
        <v>8.02</v>
      </c>
      <c r="BC76" s="5">
        <v>0.67</v>
      </c>
      <c r="BD76" s="5">
        <v>9.42</v>
      </c>
      <c r="BE76" s="5">
        <v>4.07</v>
      </c>
      <c r="BF76" s="5">
        <v>528.33000000000004</v>
      </c>
      <c r="BG76" s="5">
        <v>8.4</v>
      </c>
      <c r="BH76" s="5">
        <v>10000000000</v>
      </c>
      <c r="BI76" s="5">
        <v>223.6</v>
      </c>
      <c r="BJ76" s="5">
        <v>26.3</v>
      </c>
      <c r="BK76" s="5">
        <v>84.6</v>
      </c>
      <c r="BL76" s="5">
        <v>63.52</v>
      </c>
      <c r="BM76" s="5">
        <v>2.36</v>
      </c>
      <c r="BN76" s="5">
        <v>29.6</v>
      </c>
      <c r="BO76" s="5">
        <v>36.450000000000003</v>
      </c>
      <c r="BP76" s="5">
        <v>718.96</v>
      </c>
      <c r="BQ76" s="5">
        <v>60.738230000000001</v>
      </c>
      <c r="BR76" s="5">
        <v>262.16070000000002</v>
      </c>
      <c r="BS76" s="5">
        <v>44.377009999999999</v>
      </c>
      <c r="BT76" s="5">
        <v>42.955489999999998</v>
      </c>
      <c r="BU76" s="5">
        <v>42.34628</v>
      </c>
      <c r="BV76" s="5">
        <v>0.10072299999999999</v>
      </c>
      <c r="BW76" s="5">
        <v>9.7104999999999997E-2</v>
      </c>
      <c r="BX76" s="5">
        <v>90.848650000000006</v>
      </c>
      <c r="BY76" s="5">
        <v>18.995360000000002</v>
      </c>
      <c r="BZ76" s="5">
        <v>0</v>
      </c>
      <c r="CA76" s="5">
        <v>0.92611399999999999</v>
      </c>
      <c r="CB76" s="5">
        <v>808.64419999999996</v>
      </c>
      <c r="CC76" s="5">
        <v>833.59540000000004</v>
      </c>
      <c r="CD76" s="5">
        <v>94.348650000000006</v>
      </c>
      <c r="CE76" s="5">
        <v>463.29</v>
      </c>
      <c r="CF76" s="5">
        <v>82.19</v>
      </c>
      <c r="CG76" s="5">
        <v>95.04</v>
      </c>
      <c r="CH76" s="5">
        <v>451.4</v>
      </c>
      <c r="CI76" s="5">
        <v>473.33</v>
      </c>
      <c r="CJ76" s="5">
        <v>488.97</v>
      </c>
      <c r="CK76" s="5">
        <v>518.02</v>
      </c>
      <c r="CL76" s="5">
        <v>511.05</v>
      </c>
      <c r="CM76" s="5">
        <v>502.41</v>
      </c>
      <c r="CN76" s="5">
        <v>410.65</v>
      </c>
      <c r="CO76" s="5">
        <v>28.47</v>
      </c>
      <c r="CP76" s="5">
        <v>622.9</v>
      </c>
      <c r="CQ76" s="5">
        <v>625.05999999999995</v>
      </c>
      <c r="CR76" s="5">
        <v>11.2</v>
      </c>
      <c r="CS76" s="5">
        <v>11.2</v>
      </c>
      <c r="CT76" s="5">
        <v>23.69</v>
      </c>
      <c r="CU76" s="5">
        <v>74.72</v>
      </c>
      <c r="CV76" s="5">
        <v>99.48</v>
      </c>
      <c r="CW76" s="5">
        <v>0.95410720082352829</v>
      </c>
      <c r="CX76" s="5">
        <v>3.8832163073517605</v>
      </c>
    </row>
    <row r="77" spans="1:102" x14ac:dyDescent="0.25">
      <c r="A77" s="5">
        <v>9</v>
      </c>
      <c r="B77" s="23">
        <v>41402.441996504633</v>
      </c>
      <c r="C77" s="5">
        <v>8</v>
      </c>
      <c r="D77" s="5">
        <v>9</v>
      </c>
      <c r="E77" s="5">
        <v>628</v>
      </c>
      <c r="F77" s="5">
        <v>628</v>
      </c>
      <c r="G77" s="5">
        <v>628</v>
      </c>
      <c r="H77" s="5">
        <v>91.7</v>
      </c>
      <c r="I77" s="5">
        <v>91.7</v>
      </c>
      <c r="J77" s="5">
        <v>1800</v>
      </c>
      <c r="K77" s="5">
        <v>27</v>
      </c>
      <c r="L77" s="5">
        <v>27</v>
      </c>
      <c r="M77" s="5">
        <v>0.3</v>
      </c>
      <c r="N77" s="5">
        <v>0.30015999999999998</v>
      </c>
      <c r="O77" s="5">
        <v>1</v>
      </c>
      <c r="P77" s="5">
        <v>1.0694300000000001</v>
      </c>
      <c r="Q77" s="5">
        <v>-2.77</v>
      </c>
      <c r="R77" s="5">
        <v>-2.7685550000000001</v>
      </c>
      <c r="S77" s="5">
        <v>183.21</v>
      </c>
      <c r="T77" s="5">
        <v>183.20310000000001</v>
      </c>
      <c r="U77" s="5">
        <v>3.5</v>
      </c>
      <c r="V77" s="5">
        <v>3.5</v>
      </c>
      <c r="W77" s="5">
        <v>300</v>
      </c>
      <c r="X77" s="5">
        <v>300</v>
      </c>
      <c r="Y77" s="5">
        <v>0</v>
      </c>
      <c r="Z77" s="5">
        <v>0</v>
      </c>
      <c r="AA77" s="5">
        <v>300</v>
      </c>
      <c r="AB77" s="5">
        <v>300</v>
      </c>
      <c r="AC77" s="5">
        <v>0</v>
      </c>
      <c r="AD77" s="5">
        <v>136.03020000000001</v>
      </c>
      <c r="AE77" s="5">
        <v>0</v>
      </c>
      <c r="AF77" s="5">
        <v>136.03020000000001</v>
      </c>
      <c r="AG77" s="5">
        <v>35</v>
      </c>
      <c r="AH77" s="5">
        <v>0.2</v>
      </c>
      <c r="AI77" s="5">
        <v>78.48</v>
      </c>
      <c r="AJ77" s="5">
        <v>108.77</v>
      </c>
      <c r="AK77" s="5">
        <v>127.15</v>
      </c>
      <c r="AL77" s="5">
        <v>128.55000000000001</v>
      </c>
      <c r="AM77" s="5">
        <v>582.22</v>
      </c>
      <c r="AN77" s="5">
        <v>207.6354</v>
      </c>
      <c r="AO77" s="5">
        <v>107.33</v>
      </c>
      <c r="AP77" s="5">
        <v>122.06</v>
      </c>
      <c r="AQ77" s="5">
        <v>123.81</v>
      </c>
      <c r="AR77" s="5">
        <v>611.35</v>
      </c>
      <c r="AS77" s="5">
        <v>19.850000000000001</v>
      </c>
      <c r="AT77" s="5">
        <v>63.78</v>
      </c>
      <c r="AU77" s="5">
        <v>105.92</v>
      </c>
      <c r="AV77" s="5">
        <v>124.37</v>
      </c>
      <c r="AW77" s="5">
        <v>0.373</v>
      </c>
      <c r="AX77" s="5">
        <v>5.49</v>
      </c>
      <c r="AY77" s="5">
        <v>10000000000</v>
      </c>
      <c r="AZ77" s="5">
        <v>159.30000000000001</v>
      </c>
      <c r="BA77" s="5">
        <v>21.54</v>
      </c>
      <c r="BB77" s="5">
        <v>9.26</v>
      </c>
      <c r="BC77" s="5">
        <v>1.32</v>
      </c>
      <c r="BD77" s="5">
        <v>7.69</v>
      </c>
      <c r="BE77" s="5">
        <v>2.2200000000000002</v>
      </c>
      <c r="BF77" s="5">
        <v>336.21</v>
      </c>
      <c r="BG77" s="5">
        <v>14.3</v>
      </c>
      <c r="BH77" s="5">
        <v>10000000000</v>
      </c>
      <c r="BI77" s="5">
        <v>224</v>
      </c>
      <c r="BJ77" s="5">
        <v>23</v>
      </c>
      <c r="BK77" s="5">
        <v>84.5</v>
      </c>
      <c r="BL77" s="5">
        <v>102.01</v>
      </c>
      <c r="BM77" s="5">
        <v>2.23</v>
      </c>
      <c r="BN77" s="5">
        <v>30.18</v>
      </c>
      <c r="BO77" s="5">
        <v>37.450000000000003</v>
      </c>
      <c r="BP77" s="5">
        <v>637.69000000000005</v>
      </c>
      <c r="BQ77" s="5">
        <v>64.306139999999999</v>
      </c>
      <c r="BR77" s="5">
        <v>224.7011</v>
      </c>
      <c r="BS77" s="5">
        <v>44.300820000000002</v>
      </c>
      <c r="BT77" s="5">
        <v>39.369819999999997</v>
      </c>
      <c r="BU77" s="5">
        <v>39.002839999999999</v>
      </c>
      <c r="BV77" s="5">
        <v>0.100493</v>
      </c>
      <c r="BW77" s="5">
        <v>0.100036</v>
      </c>
      <c r="BX77" s="5">
        <v>91.360110000000006</v>
      </c>
      <c r="BY77" s="5">
        <v>18.995360000000002</v>
      </c>
      <c r="BZ77" s="5">
        <v>0</v>
      </c>
      <c r="CA77" s="5">
        <v>0.92594100000000001</v>
      </c>
      <c r="CB77" s="5">
        <v>748.66390000000001</v>
      </c>
      <c r="CC77" s="5">
        <v>773.75120000000004</v>
      </c>
      <c r="CD77" s="5">
        <v>94.860110000000006</v>
      </c>
      <c r="CE77" s="5">
        <v>525.75</v>
      </c>
      <c r="CF77" s="5">
        <v>88.19</v>
      </c>
      <c r="CG77" s="5">
        <v>101.3</v>
      </c>
      <c r="CH77" s="5">
        <v>471.56</v>
      </c>
      <c r="CI77" s="5">
        <v>494.89</v>
      </c>
      <c r="CJ77" s="5">
        <v>510.07</v>
      </c>
      <c r="CK77" s="5">
        <v>542.11</v>
      </c>
      <c r="CL77" s="5">
        <v>530.71</v>
      </c>
      <c r="CM77" s="5">
        <v>532.03</v>
      </c>
      <c r="CN77" s="5">
        <v>451.91</v>
      </c>
      <c r="CO77" s="5">
        <v>26.96</v>
      </c>
      <c r="CP77" s="5">
        <v>625.79999999999995</v>
      </c>
      <c r="CQ77" s="5">
        <v>628.04999999999995</v>
      </c>
      <c r="CR77" s="5">
        <v>11.2</v>
      </c>
      <c r="CS77" s="5">
        <v>11.3</v>
      </c>
      <c r="CT77" s="5">
        <v>23.47</v>
      </c>
      <c r="CU77" s="5">
        <v>74.709999999999994</v>
      </c>
      <c r="CV77" s="5">
        <v>99.49</v>
      </c>
      <c r="CW77" s="5">
        <v>0.94191102758973966</v>
      </c>
      <c r="CX77" s="5">
        <v>2.0910424812492221</v>
      </c>
    </row>
    <row r="78" spans="1:102" x14ac:dyDescent="0.25">
      <c r="A78" s="5">
        <v>3</v>
      </c>
      <c r="B78" s="23">
        <v>41411.467066018522</v>
      </c>
      <c r="C78" s="5">
        <v>9</v>
      </c>
      <c r="D78" s="5">
        <v>27</v>
      </c>
      <c r="E78" s="5">
        <v>953</v>
      </c>
      <c r="F78" s="5">
        <v>953</v>
      </c>
      <c r="G78" s="5">
        <v>953</v>
      </c>
      <c r="H78" s="5">
        <v>91.7</v>
      </c>
      <c r="I78" s="5">
        <v>91.7</v>
      </c>
      <c r="J78" s="5">
        <v>1800</v>
      </c>
      <c r="K78" s="5">
        <v>15</v>
      </c>
      <c r="L78" s="5">
        <v>15</v>
      </c>
      <c r="M78" s="5">
        <v>0.1</v>
      </c>
      <c r="N78" s="5">
        <v>9.9947999999999995E-2</v>
      </c>
      <c r="O78" s="5">
        <v>1</v>
      </c>
      <c r="P78" s="5">
        <v>1.069423</v>
      </c>
      <c r="Q78" s="5">
        <v>3.61</v>
      </c>
      <c r="R78" s="5">
        <v>3.6145019999999999</v>
      </c>
      <c r="S78" s="5">
        <v>181.84</v>
      </c>
      <c r="T78" s="5">
        <v>179.3134</v>
      </c>
      <c r="U78" s="5">
        <v>5</v>
      </c>
      <c r="V78" s="5">
        <v>5</v>
      </c>
      <c r="W78" s="5">
        <v>300</v>
      </c>
      <c r="X78" s="5">
        <v>300</v>
      </c>
      <c r="Y78" s="5">
        <v>0</v>
      </c>
      <c r="Z78" s="5">
        <v>0</v>
      </c>
      <c r="AA78" s="5">
        <v>177.23</v>
      </c>
      <c r="AB78" s="5">
        <v>177</v>
      </c>
      <c r="AC78" s="5">
        <v>0</v>
      </c>
      <c r="AD78" s="5">
        <v>159.33920000000001</v>
      </c>
      <c r="AE78" s="5">
        <v>160</v>
      </c>
      <c r="AF78" s="5">
        <v>160</v>
      </c>
      <c r="AG78" s="5">
        <v>28</v>
      </c>
      <c r="AH78" s="5">
        <v>0.23</v>
      </c>
      <c r="AI78" s="5">
        <v>102.89</v>
      </c>
      <c r="AJ78" s="5">
        <v>123.67</v>
      </c>
      <c r="AK78" s="5">
        <v>164.72</v>
      </c>
      <c r="AL78" s="5">
        <v>169.07</v>
      </c>
      <c r="AM78" s="5">
        <v>683.46</v>
      </c>
      <c r="AN78" s="5">
        <v>236.54599999999999</v>
      </c>
      <c r="AO78" s="5">
        <v>136.01</v>
      </c>
      <c r="AP78" s="5">
        <v>147.41</v>
      </c>
      <c r="AQ78" s="5">
        <v>156.65</v>
      </c>
      <c r="AR78" s="5">
        <v>759.59</v>
      </c>
      <c r="AS78" s="5">
        <v>28.74</v>
      </c>
      <c r="AT78" s="5">
        <v>58.93</v>
      </c>
      <c r="AU78" s="5">
        <v>101.2</v>
      </c>
      <c r="AV78" s="5">
        <v>113.94</v>
      </c>
      <c r="AW78" s="5">
        <v>0.247</v>
      </c>
      <c r="AX78" s="5">
        <v>3.51</v>
      </c>
      <c r="AY78" s="5">
        <v>10000000000</v>
      </c>
      <c r="AZ78" s="5">
        <v>567.61</v>
      </c>
      <c r="BA78" s="5">
        <v>11.58</v>
      </c>
      <c r="BB78" s="5">
        <v>10.72</v>
      </c>
      <c r="BC78" s="5">
        <v>0.64</v>
      </c>
      <c r="BD78" s="5">
        <v>5.67</v>
      </c>
      <c r="BE78" s="5">
        <v>5.22</v>
      </c>
      <c r="BF78" s="5">
        <v>991.87</v>
      </c>
      <c r="BG78" s="5">
        <v>5.97</v>
      </c>
      <c r="BH78" s="5">
        <v>10000000000</v>
      </c>
      <c r="BI78" s="5">
        <v>214.4</v>
      </c>
      <c r="BJ78" s="5">
        <v>19.7</v>
      </c>
      <c r="BK78" s="5">
        <v>84.5</v>
      </c>
      <c r="BL78" s="5">
        <v>48.25</v>
      </c>
      <c r="BM78" s="5">
        <v>2.5299999999999998</v>
      </c>
      <c r="BN78" s="5">
        <v>29.56</v>
      </c>
      <c r="BO78" s="5">
        <v>38.82</v>
      </c>
      <c r="BP78" s="5">
        <v>798.26</v>
      </c>
      <c r="BQ78" s="5">
        <v>59.871769999999998</v>
      </c>
      <c r="BR78" s="5">
        <v>271.36759999999998</v>
      </c>
      <c r="BS78" s="5">
        <v>35.209040000000002</v>
      </c>
      <c r="BT78" s="5">
        <v>31.699000000000002</v>
      </c>
      <c r="BU78" s="5">
        <v>32.013669999999998</v>
      </c>
      <c r="BV78" s="5">
        <v>0.103921</v>
      </c>
      <c r="BW78" s="5">
        <v>6.3133999999999996E-2</v>
      </c>
      <c r="BX78" s="5">
        <v>136.9434</v>
      </c>
      <c r="BY78" s="5">
        <v>18.995360000000002</v>
      </c>
      <c r="BZ78" s="5">
        <v>0</v>
      </c>
      <c r="CA78" s="5">
        <v>0.91648799999999997</v>
      </c>
      <c r="CB78" s="5">
        <v>855.35640000000001</v>
      </c>
      <c r="CC78" s="5">
        <v>892.94090000000006</v>
      </c>
      <c r="CD78" s="5">
        <v>141.9487</v>
      </c>
      <c r="CE78" s="5">
        <v>513.49</v>
      </c>
      <c r="CF78" s="5">
        <v>85.89</v>
      </c>
      <c r="CG78" s="5">
        <v>101.77</v>
      </c>
      <c r="CH78" s="5">
        <v>566.4</v>
      </c>
      <c r="CI78" s="5">
        <v>591.14</v>
      </c>
      <c r="CJ78" s="5">
        <v>608.16</v>
      </c>
      <c r="CK78" s="5">
        <v>629.08000000000004</v>
      </c>
      <c r="CL78" s="5">
        <v>624.22</v>
      </c>
      <c r="CM78" s="5">
        <v>609.44000000000005</v>
      </c>
      <c r="CN78" s="5">
        <v>538.48</v>
      </c>
      <c r="CO78" s="5">
        <v>32.28</v>
      </c>
      <c r="CP78" s="5">
        <v>943.2</v>
      </c>
      <c r="CQ78" s="5">
        <v>953.04</v>
      </c>
      <c r="CR78" s="5">
        <v>16.899999999999999</v>
      </c>
      <c r="CS78" s="5">
        <v>17.100000000000001</v>
      </c>
      <c r="CT78" s="5">
        <v>27.26</v>
      </c>
      <c r="CU78" s="5">
        <v>49.04</v>
      </c>
      <c r="CV78" s="5">
        <v>99.91</v>
      </c>
      <c r="CW78" s="5">
        <v>0.9135739536815618</v>
      </c>
      <c r="CX78" s="5">
        <v>4.7688560382177521</v>
      </c>
    </row>
    <row r="79" spans="1:102" x14ac:dyDescent="0.25">
      <c r="A79" s="5">
        <v>10</v>
      </c>
      <c r="B79" s="23">
        <v>41410.667652060183</v>
      </c>
      <c r="C79" s="5">
        <v>9</v>
      </c>
      <c r="D79" s="5">
        <v>16</v>
      </c>
      <c r="E79" s="5">
        <v>887</v>
      </c>
      <c r="F79" s="5">
        <v>887</v>
      </c>
      <c r="G79" s="5">
        <v>887.1</v>
      </c>
      <c r="H79" s="5">
        <v>91.7</v>
      </c>
      <c r="I79" s="5">
        <v>91.7</v>
      </c>
      <c r="J79" s="5">
        <v>1800</v>
      </c>
      <c r="K79" s="5">
        <v>34</v>
      </c>
      <c r="L79" s="5">
        <v>34</v>
      </c>
      <c r="M79" s="5">
        <v>0.11</v>
      </c>
      <c r="N79" s="5">
        <v>0.109969</v>
      </c>
      <c r="O79" s="5">
        <v>1</v>
      </c>
      <c r="P79" s="5">
        <v>1.068986</v>
      </c>
      <c r="Q79" s="5">
        <v>4.91</v>
      </c>
      <c r="R79" s="5">
        <v>4.9108890000000001</v>
      </c>
      <c r="S79" s="5">
        <v>186.59</v>
      </c>
      <c r="T79" s="5">
        <v>185.22190000000001</v>
      </c>
      <c r="U79" s="5">
        <v>4.8</v>
      </c>
      <c r="V79" s="5">
        <v>4.8125</v>
      </c>
      <c r="W79" s="5">
        <v>300</v>
      </c>
      <c r="X79" s="5">
        <v>300</v>
      </c>
      <c r="Y79" s="5">
        <v>0</v>
      </c>
      <c r="Z79" s="5">
        <v>0</v>
      </c>
      <c r="AA79" s="5">
        <v>300</v>
      </c>
      <c r="AB79" s="5">
        <v>300</v>
      </c>
      <c r="AC79" s="5">
        <v>0</v>
      </c>
      <c r="AD79" s="5">
        <v>171.1996</v>
      </c>
      <c r="AE79" s="5">
        <v>160</v>
      </c>
      <c r="AF79" s="5">
        <v>160</v>
      </c>
      <c r="AG79" s="5">
        <v>28</v>
      </c>
      <c r="AH79" s="5">
        <v>0.23</v>
      </c>
      <c r="AI79" s="5">
        <v>112.63</v>
      </c>
      <c r="AJ79" s="5">
        <v>128.93</v>
      </c>
      <c r="AK79" s="5">
        <v>200.63</v>
      </c>
      <c r="AL79" s="5">
        <v>203.33</v>
      </c>
      <c r="AM79" s="5">
        <v>596.54</v>
      </c>
      <c r="AN79" s="5">
        <v>252.90369999999999</v>
      </c>
      <c r="AO79" s="5">
        <v>154.02000000000001</v>
      </c>
      <c r="AP79" s="5">
        <v>159.88</v>
      </c>
      <c r="AQ79" s="5">
        <v>174.85</v>
      </c>
      <c r="AR79" s="5">
        <v>776.24</v>
      </c>
      <c r="AS79" s="5">
        <v>46.59</v>
      </c>
      <c r="AT79" s="5">
        <v>60.74</v>
      </c>
      <c r="AU79" s="5">
        <v>102.52</v>
      </c>
      <c r="AV79" s="5">
        <v>115.39</v>
      </c>
      <c r="AW79" s="5">
        <v>0.14099999999999999</v>
      </c>
      <c r="AX79" s="5">
        <v>1.93</v>
      </c>
      <c r="AY79" s="5">
        <v>10000000000</v>
      </c>
      <c r="AZ79" s="5">
        <v>424.73</v>
      </c>
      <c r="BA79" s="5">
        <v>16.2</v>
      </c>
      <c r="BB79" s="5">
        <v>9.5299999999999994</v>
      </c>
      <c r="BC79" s="5">
        <v>0.91</v>
      </c>
      <c r="BD79" s="5">
        <v>7.44</v>
      </c>
      <c r="BE79" s="5">
        <v>5.63</v>
      </c>
      <c r="BF79" s="5">
        <v>951.76</v>
      </c>
      <c r="BG79" s="5">
        <v>9.5500000000000007</v>
      </c>
      <c r="BH79" s="5">
        <v>10000000000</v>
      </c>
      <c r="BI79" s="5">
        <v>210</v>
      </c>
      <c r="BJ79" s="5">
        <v>22.1</v>
      </c>
      <c r="BK79" s="5">
        <v>83.5</v>
      </c>
      <c r="BL79" s="5">
        <v>82.03</v>
      </c>
      <c r="BM79" s="5">
        <v>2.72</v>
      </c>
      <c r="BN79" s="5">
        <v>29.81</v>
      </c>
      <c r="BO79" s="5">
        <v>37.79</v>
      </c>
      <c r="BP79" s="5">
        <v>812.15</v>
      </c>
      <c r="BQ79" s="5">
        <v>61.513750000000002</v>
      </c>
      <c r="BR79" s="5">
        <v>301.95699999999999</v>
      </c>
      <c r="BS79" s="5">
        <v>37.98122</v>
      </c>
      <c r="BT79" s="5">
        <v>35.221690000000002</v>
      </c>
      <c r="BU79" s="5">
        <v>34.742109999999997</v>
      </c>
      <c r="BV79" s="5">
        <v>0.104548</v>
      </c>
      <c r="BW79" s="5">
        <v>0.102533</v>
      </c>
      <c r="BX79" s="5">
        <v>123.7144</v>
      </c>
      <c r="BY79" s="5">
        <v>18.995360000000002</v>
      </c>
      <c r="BZ79" s="5">
        <v>0</v>
      </c>
      <c r="CA79" s="5">
        <v>0.91478499999999996</v>
      </c>
      <c r="CB79" s="5">
        <v>908.48500000000001</v>
      </c>
      <c r="CC79" s="5">
        <v>942.51350000000002</v>
      </c>
      <c r="CD79" s="5">
        <v>128.52690000000001</v>
      </c>
      <c r="CE79" s="5">
        <v>525.92999999999995</v>
      </c>
      <c r="CF79" s="5">
        <v>85.42</v>
      </c>
      <c r="CG79" s="5">
        <v>98.31</v>
      </c>
      <c r="CH79" s="5">
        <v>502.48</v>
      </c>
      <c r="CI79" s="5">
        <v>525.47</v>
      </c>
      <c r="CJ79" s="5">
        <v>538.99</v>
      </c>
      <c r="CK79" s="5">
        <v>564.75</v>
      </c>
      <c r="CL79" s="5">
        <v>560.79999999999995</v>
      </c>
      <c r="CM79" s="5">
        <v>557.78</v>
      </c>
      <c r="CN79" s="5">
        <v>441.33</v>
      </c>
      <c r="CO79" s="5">
        <v>28.13</v>
      </c>
      <c r="CP79" s="5">
        <v>883.6</v>
      </c>
      <c r="CQ79" s="5">
        <v>887.05</v>
      </c>
      <c r="CR79" s="5">
        <v>15.8</v>
      </c>
      <c r="CS79" s="5">
        <v>15.9</v>
      </c>
      <c r="CT79" s="5">
        <v>23.81</v>
      </c>
      <c r="CU79" s="5">
        <v>36.22</v>
      </c>
      <c r="CV79" s="5">
        <v>99.01</v>
      </c>
      <c r="CW79" s="5">
        <v>0.84720545692357885</v>
      </c>
      <c r="CX79" s="5">
        <v>4.7697667224797486</v>
      </c>
    </row>
    <row r="80" spans="1:102" x14ac:dyDescent="0.25">
      <c r="A80" s="5">
        <v>36</v>
      </c>
      <c r="B80" s="23">
        <v>41409.703591064812</v>
      </c>
      <c r="C80" s="5">
        <v>9</v>
      </c>
      <c r="D80" s="5">
        <v>2</v>
      </c>
      <c r="E80" s="5">
        <v>812</v>
      </c>
      <c r="F80" s="5">
        <v>812</v>
      </c>
      <c r="G80" s="5">
        <v>812</v>
      </c>
      <c r="H80" s="5">
        <v>91.7</v>
      </c>
      <c r="I80" s="5">
        <v>91.7</v>
      </c>
      <c r="J80" s="5">
        <v>1800</v>
      </c>
      <c r="K80" s="5">
        <v>20</v>
      </c>
      <c r="L80" s="5">
        <v>20</v>
      </c>
      <c r="M80" s="5">
        <v>0.24</v>
      </c>
      <c r="N80" s="5">
        <v>0.23994499999999999</v>
      </c>
      <c r="O80" s="5">
        <v>1</v>
      </c>
      <c r="P80" s="5">
        <v>1.0689979999999999</v>
      </c>
      <c r="Q80" s="5">
        <v>3.21</v>
      </c>
      <c r="R80" s="5">
        <v>3.208008</v>
      </c>
      <c r="S80" s="5">
        <v>186.09</v>
      </c>
      <c r="T80" s="5">
        <v>186.09379999999999</v>
      </c>
      <c r="U80" s="5">
        <v>3.68</v>
      </c>
      <c r="V80" s="5">
        <v>3.6875</v>
      </c>
      <c r="W80" s="5">
        <v>300</v>
      </c>
      <c r="X80" s="5">
        <v>300</v>
      </c>
      <c r="Y80" s="5">
        <v>0</v>
      </c>
      <c r="Z80" s="5">
        <v>0</v>
      </c>
      <c r="AA80" s="5">
        <v>300</v>
      </c>
      <c r="AB80" s="5">
        <v>300</v>
      </c>
      <c r="AC80" s="5">
        <v>0</v>
      </c>
      <c r="AD80" s="5">
        <v>143.64689999999999</v>
      </c>
      <c r="AE80" s="5">
        <v>160</v>
      </c>
      <c r="AF80" s="5">
        <v>160</v>
      </c>
      <c r="AG80" s="5">
        <v>28</v>
      </c>
      <c r="AH80" s="5">
        <v>0.23</v>
      </c>
      <c r="AI80" s="5">
        <v>94.01</v>
      </c>
      <c r="AJ80" s="5">
        <v>114.52</v>
      </c>
      <c r="AK80" s="5">
        <v>137.02000000000001</v>
      </c>
      <c r="AL80" s="5">
        <v>139.96</v>
      </c>
      <c r="AM80" s="5">
        <v>622.49</v>
      </c>
      <c r="AN80" s="5">
        <v>217.1189</v>
      </c>
      <c r="AO80" s="5">
        <v>119.12</v>
      </c>
      <c r="AP80" s="5">
        <v>130.9</v>
      </c>
      <c r="AQ80" s="5">
        <v>137.32</v>
      </c>
      <c r="AR80" s="5">
        <v>666.44</v>
      </c>
      <c r="AS80" s="5">
        <v>17.88</v>
      </c>
      <c r="AT80" s="5">
        <v>61.2</v>
      </c>
      <c r="AU80" s="5">
        <v>100.96</v>
      </c>
      <c r="AV80" s="5">
        <v>114.16</v>
      </c>
      <c r="AW80" s="5">
        <v>0.27700000000000002</v>
      </c>
      <c r="AX80" s="5">
        <v>3.96</v>
      </c>
      <c r="AY80" s="5">
        <v>10000000000</v>
      </c>
      <c r="AZ80" s="5">
        <v>496.65</v>
      </c>
      <c r="BA80" s="5">
        <v>17.170000000000002</v>
      </c>
      <c r="BB80" s="5">
        <v>10.34</v>
      </c>
      <c r="BC80" s="5">
        <v>1.1200000000000001</v>
      </c>
      <c r="BD80" s="5">
        <v>6.35</v>
      </c>
      <c r="BE80" s="5">
        <v>4.0199999999999996</v>
      </c>
      <c r="BF80" s="5">
        <v>736.57</v>
      </c>
      <c r="BG80" s="5">
        <v>10.86</v>
      </c>
      <c r="BH80" s="5">
        <v>10000000000</v>
      </c>
      <c r="BI80" s="5">
        <v>211.8</v>
      </c>
      <c r="BJ80" s="5">
        <v>20.5</v>
      </c>
      <c r="BK80" s="5">
        <v>83.9</v>
      </c>
      <c r="BL80" s="5">
        <v>81.11</v>
      </c>
      <c r="BM80" s="5">
        <v>2.35</v>
      </c>
      <c r="BN80" s="5">
        <v>30</v>
      </c>
      <c r="BO80" s="5">
        <v>38.44</v>
      </c>
      <c r="BP80" s="5">
        <v>698.38</v>
      </c>
      <c r="BQ80" s="5">
        <v>61.908180000000002</v>
      </c>
      <c r="BR80" s="5">
        <v>236.67150000000001</v>
      </c>
      <c r="BS80" s="5">
        <v>40.953960000000002</v>
      </c>
      <c r="BT80" s="5">
        <v>32.708010000000002</v>
      </c>
      <c r="BU80" s="5">
        <v>32.511879999999998</v>
      </c>
      <c r="BV80" s="5">
        <v>0.107118</v>
      </c>
      <c r="BW80" s="5">
        <v>0.107096</v>
      </c>
      <c r="BX80" s="5">
        <v>114.4877</v>
      </c>
      <c r="BY80" s="5">
        <v>18.995360000000002</v>
      </c>
      <c r="BZ80" s="5">
        <v>0</v>
      </c>
      <c r="CA80" s="5">
        <v>0.91833500000000001</v>
      </c>
      <c r="CB80" s="5">
        <v>781.9067</v>
      </c>
      <c r="CC80" s="5">
        <v>813.18520000000001</v>
      </c>
      <c r="CD80" s="5">
        <v>118.1752</v>
      </c>
      <c r="CE80" s="5">
        <v>548.05999999999995</v>
      </c>
      <c r="CF80" s="5">
        <v>86.65</v>
      </c>
      <c r="CG80" s="5">
        <v>98.81</v>
      </c>
      <c r="CH80" s="5">
        <v>513.46</v>
      </c>
      <c r="CI80" s="5">
        <v>536.61</v>
      </c>
      <c r="CJ80" s="5">
        <v>552.09</v>
      </c>
      <c r="CK80" s="5">
        <v>577.13</v>
      </c>
      <c r="CL80" s="5">
        <v>570.45000000000005</v>
      </c>
      <c r="CM80" s="5">
        <v>574.67999999999995</v>
      </c>
      <c r="CN80" s="5">
        <v>489.55</v>
      </c>
      <c r="CO80" s="5">
        <v>30.11</v>
      </c>
      <c r="CP80" s="5">
        <v>808.5</v>
      </c>
      <c r="CQ80" s="5">
        <v>812.05</v>
      </c>
      <c r="CR80" s="5">
        <v>14.5</v>
      </c>
      <c r="CS80" s="5">
        <v>14.5</v>
      </c>
      <c r="CT80" s="5">
        <v>25.45</v>
      </c>
      <c r="CU80" s="5">
        <v>44.74</v>
      </c>
      <c r="CV80" s="5">
        <v>98.72</v>
      </c>
      <c r="CW80" s="5">
        <v>0.86164335418417015</v>
      </c>
      <c r="CX80" s="5">
        <v>3.4638062838203636</v>
      </c>
    </row>
    <row r="81" spans="1:102" x14ac:dyDescent="0.25">
      <c r="A81" s="5">
        <v>13</v>
      </c>
      <c r="B81" s="23">
        <v>41410.683946041667</v>
      </c>
      <c r="C81" s="5">
        <v>9</v>
      </c>
      <c r="D81" s="5">
        <v>19</v>
      </c>
      <c r="E81" s="5">
        <v>906</v>
      </c>
      <c r="F81" s="5">
        <v>906</v>
      </c>
      <c r="G81" s="5">
        <v>906</v>
      </c>
      <c r="H81" s="5">
        <v>91.7</v>
      </c>
      <c r="I81" s="5">
        <v>91.7</v>
      </c>
      <c r="J81" s="5">
        <v>1800</v>
      </c>
      <c r="K81" s="5">
        <v>23</v>
      </c>
      <c r="L81" s="5">
        <v>23</v>
      </c>
      <c r="M81" s="5">
        <v>0.33</v>
      </c>
      <c r="N81" s="5">
        <v>0.330036</v>
      </c>
      <c r="O81" s="5">
        <v>1</v>
      </c>
      <c r="P81" s="5">
        <v>1.0690299999999999</v>
      </c>
      <c r="Q81" s="5">
        <v>5.0199999999999996</v>
      </c>
      <c r="R81" s="5">
        <v>5.0207519999999999</v>
      </c>
      <c r="S81" s="5">
        <v>186.17</v>
      </c>
      <c r="T81" s="5">
        <v>183.36779999999999</v>
      </c>
      <c r="U81" s="5">
        <v>5</v>
      </c>
      <c r="V81" s="5">
        <v>5</v>
      </c>
      <c r="W81" s="5">
        <v>300</v>
      </c>
      <c r="X81" s="5">
        <v>300</v>
      </c>
      <c r="Y81" s="5">
        <v>0</v>
      </c>
      <c r="Z81" s="5">
        <v>0</v>
      </c>
      <c r="AA81" s="5">
        <v>284.27</v>
      </c>
      <c r="AB81" s="5">
        <v>284</v>
      </c>
      <c r="AC81" s="5">
        <v>0</v>
      </c>
      <c r="AD81" s="5">
        <v>155.39019999999999</v>
      </c>
      <c r="AE81" s="5">
        <v>160</v>
      </c>
      <c r="AF81" s="5">
        <v>160</v>
      </c>
      <c r="AG81" s="5">
        <v>28</v>
      </c>
      <c r="AH81" s="5">
        <v>0.23</v>
      </c>
      <c r="AI81" s="5">
        <v>105.96</v>
      </c>
      <c r="AJ81" s="5">
        <v>120.29</v>
      </c>
      <c r="AK81" s="5">
        <v>154.47</v>
      </c>
      <c r="AL81" s="5">
        <v>156.16</v>
      </c>
      <c r="AM81" s="5">
        <v>650.24</v>
      </c>
      <c r="AN81" s="5">
        <v>234.67500000000001</v>
      </c>
      <c r="AO81" s="5">
        <v>136.08000000000001</v>
      </c>
      <c r="AP81" s="5">
        <v>143.09</v>
      </c>
      <c r="AQ81" s="5">
        <v>154.65</v>
      </c>
      <c r="AR81" s="5">
        <v>693.28</v>
      </c>
      <c r="AS81" s="5">
        <v>18.41</v>
      </c>
      <c r="AT81" s="5">
        <v>63.84</v>
      </c>
      <c r="AU81" s="5">
        <v>106.93</v>
      </c>
      <c r="AV81" s="5">
        <v>111.32</v>
      </c>
      <c r="AW81" s="5">
        <v>0.74099999999999999</v>
      </c>
      <c r="AX81" s="5">
        <v>12.22</v>
      </c>
      <c r="AY81" s="5">
        <v>10000000000</v>
      </c>
      <c r="AZ81" s="5">
        <v>664.13</v>
      </c>
      <c r="BA81" s="5">
        <v>12.71</v>
      </c>
      <c r="BB81" s="5">
        <v>11.12</v>
      </c>
      <c r="BC81" s="5">
        <v>1.51</v>
      </c>
      <c r="BD81" s="5">
        <v>5.25</v>
      </c>
      <c r="BE81" s="5">
        <v>3.12</v>
      </c>
      <c r="BF81" s="5">
        <v>620.32000000000005</v>
      </c>
      <c r="BG81" s="5">
        <v>13.58</v>
      </c>
      <c r="BH81" s="5">
        <v>10000000000</v>
      </c>
      <c r="BI81" s="5">
        <v>211.4</v>
      </c>
      <c r="BJ81" s="5">
        <v>19.2</v>
      </c>
      <c r="BK81" s="5">
        <v>83.2</v>
      </c>
      <c r="BL81" s="5">
        <v>108.92</v>
      </c>
      <c r="BM81" s="5">
        <v>2.5499999999999998</v>
      </c>
      <c r="BN81" s="5">
        <v>30.34</v>
      </c>
      <c r="BO81" s="5">
        <v>39.07</v>
      </c>
      <c r="BP81" s="5">
        <v>729.11</v>
      </c>
      <c r="BQ81" s="5">
        <v>64.240160000000003</v>
      </c>
      <c r="BR81" s="5">
        <v>252.21860000000001</v>
      </c>
      <c r="BS81" s="5">
        <v>36.857410000000002</v>
      </c>
      <c r="BT81" s="5">
        <v>32.14376</v>
      </c>
      <c r="BU81" s="5">
        <v>32.14208</v>
      </c>
      <c r="BV81" s="5">
        <v>0.103994</v>
      </c>
      <c r="BW81" s="5">
        <v>8.4458000000000005E-2</v>
      </c>
      <c r="BX81" s="5">
        <v>127.7761</v>
      </c>
      <c r="BY81" s="5">
        <v>18.995360000000002</v>
      </c>
      <c r="BZ81" s="5">
        <v>0</v>
      </c>
      <c r="CA81" s="5">
        <v>0.91460799999999998</v>
      </c>
      <c r="CB81" s="5">
        <v>835.98379999999997</v>
      </c>
      <c r="CC81" s="5">
        <v>871.12959999999998</v>
      </c>
      <c r="CD81" s="5">
        <v>132.73939999999999</v>
      </c>
      <c r="CE81" s="5">
        <v>590.12</v>
      </c>
      <c r="CF81" s="5">
        <v>91.48</v>
      </c>
      <c r="CG81" s="5">
        <v>104.7</v>
      </c>
      <c r="CH81" s="5">
        <v>535.25</v>
      </c>
      <c r="CI81" s="5">
        <v>559.88</v>
      </c>
      <c r="CJ81" s="5">
        <v>576.86</v>
      </c>
      <c r="CK81" s="5">
        <v>603.76</v>
      </c>
      <c r="CL81" s="5">
        <v>597.04999999999995</v>
      </c>
      <c r="CM81" s="5">
        <v>601.45000000000005</v>
      </c>
      <c r="CN81" s="5">
        <v>506.02</v>
      </c>
      <c r="CO81" s="5">
        <v>28.04</v>
      </c>
      <c r="CP81" s="5">
        <v>900.9</v>
      </c>
      <c r="CQ81" s="5">
        <v>906.05</v>
      </c>
      <c r="CR81" s="5">
        <v>16.100000000000001</v>
      </c>
      <c r="CS81" s="5">
        <v>16.2</v>
      </c>
      <c r="CT81" s="5">
        <v>22.96</v>
      </c>
      <c r="CU81" s="5">
        <v>44.25</v>
      </c>
      <c r="CV81" s="5">
        <v>99.04</v>
      </c>
      <c r="CW81" s="5">
        <v>0.86248296017971238</v>
      </c>
      <c r="CX81" s="5">
        <v>2.6909468357607027</v>
      </c>
    </row>
    <row r="82" spans="1:102" x14ac:dyDescent="0.25">
      <c r="A82" s="5">
        <v>32</v>
      </c>
      <c r="B82" s="23">
        <v>41411.657821458335</v>
      </c>
      <c r="C82" s="5">
        <v>10</v>
      </c>
      <c r="D82" s="5">
        <v>27</v>
      </c>
      <c r="E82" s="5">
        <v>795</v>
      </c>
      <c r="F82" s="5">
        <v>795</v>
      </c>
      <c r="G82" s="5">
        <v>795</v>
      </c>
      <c r="H82" s="5">
        <v>100</v>
      </c>
      <c r="I82" s="5">
        <v>100</v>
      </c>
      <c r="J82" s="5">
        <v>1890</v>
      </c>
      <c r="K82" s="5">
        <v>12</v>
      </c>
      <c r="L82" s="5">
        <v>12</v>
      </c>
      <c r="M82" s="5">
        <v>0.1</v>
      </c>
      <c r="N82" s="5">
        <v>0.10002800000000001</v>
      </c>
      <c r="O82" s="5">
        <v>1</v>
      </c>
      <c r="P82" s="5">
        <v>1.0693250000000001</v>
      </c>
      <c r="Q82" s="5">
        <v>3.84</v>
      </c>
      <c r="R82" s="5">
        <v>3.845215</v>
      </c>
      <c r="S82" s="5">
        <v>191.65</v>
      </c>
      <c r="T82" s="5">
        <v>191.65629999999999</v>
      </c>
      <c r="U82" s="5">
        <v>3.5</v>
      </c>
      <c r="V82" s="5">
        <v>3.5</v>
      </c>
      <c r="W82" s="5">
        <v>300</v>
      </c>
      <c r="X82" s="5">
        <v>300</v>
      </c>
      <c r="Y82" s="5">
        <v>0</v>
      </c>
      <c r="Z82" s="5">
        <v>0</v>
      </c>
      <c r="AA82" s="5">
        <v>300</v>
      </c>
      <c r="AB82" s="5">
        <v>300</v>
      </c>
      <c r="AC82" s="5">
        <v>0</v>
      </c>
      <c r="AD82" s="5">
        <v>139.14320000000001</v>
      </c>
      <c r="AE82" s="5">
        <v>150</v>
      </c>
      <c r="AF82" s="5">
        <v>150</v>
      </c>
      <c r="AG82" s="5">
        <v>34</v>
      </c>
      <c r="AH82" s="5">
        <v>0.16</v>
      </c>
      <c r="AI82" s="5">
        <v>92.14</v>
      </c>
      <c r="AJ82" s="5">
        <v>114.46</v>
      </c>
      <c r="AK82" s="5">
        <v>139.08000000000001</v>
      </c>
      <c r="AL82" s="5">
        <v>143.21</v>
      </c>
      <c r="AM82" s="5">
        <v>642.29999999999995</v>
      </c>
      <c r="AN82" s="5">
        <v>210.22909999999999</v>
      </c>
      <c r="AO82" s="5">
        <v>109.66</v>
      </c>
      <c r="AP82" s="5">
        <v>127.61</v>
      </c>
      <c r="AQ82" s="5">
        <v>129.63</v>
      </c>
      <c r="AR82" s="5">
        <v>705.2</v>
      </c>
      <c r="AS82" s="5">
        <v>29.42</v>
      </c>
      <c r="AT82" s="5">
        <v>58.91</v>
      </c>
      <c r="AU82" s="5">
        <v>99.37</v>
      </c>
      <c r="AV82" s="5">
        <v>116.55</v>
      </c>
      <c r="AW82" s="5">
        <v>0.28100000000000003</v>
      </c>
      <c r="AX82" s="5">
        <v>4.0199999999999996</v>
      </c>
      <c r="AY82" s="5">
        <v>10000000000</v>
      </c>
      <c r="AZ82" s="5">
        <v>480.44</v>
      </c>
      <c r="BA82" s="5">
        <v>16.440000000000001</v>
      </c>
      <c r="BB82" s="5">
        <v>10.18</v>
      </c>
      <c r="BC82" s="5">
        <v>0.67</v>
      </c>
      <c r="BD82" s="5">
        <v>6.49</v>
      </c>
      <c r="BE82" s="5">
        <v>5.31</v>
      </c>
      <c r="BF82" s="5">
        <v>943.18</v>
      </c>
      <c r="BG82" s="5">
        <v>6.63</v>
      </c>
      <c r="BH82" s="5">
        <v>10000000000</v>
      </c>
      <c r="BI82" s="5">
        <v>215.9</v>
      </c>
      <c r="BJ82" s="5">
        <v>20.7</v>
      </c>
      <c r="BK82" s="5">
        <v>84.5</v>
      </c>
      <c r="BL82" s="5">
        <v>50.05</v>
      </c>
      <c r="BM82" s="5">
        <v>2.25</v>
      </c>
      <c r="BN82" s="5">
        <v>29.59</v>
      </c>
      <c r="BO82" s="5">
        <v>38.35</v>
      </c>
      <c r="BP82" s="5">
        <v>738.8</v>
      </c>
      <c r="BQ82" s="5">
        <v>59.906410000000001</v>
      </c>
      <c r="BR82" s="5">
        <v>245.20099999999999</v>
      </c>
      <c r="BS82" s="5">
        <v>40.594639999999998</v>
      </c>
      <c r="BT82" s="5">
        <v>32.41939</v>
      </c>
      <c r="BU82" s="5">
        <v>32.474769999999999</v>
      </c>
      <c r="BV82" s="5">
        <v>0.107548</v>
      </c>
      <c r="BW82" s="5">
        <v>9.5734E-2</v>
      </c>
      <c r="BX82" s="5">
        <v>114.1101</v>
      </c>
      <c r="BY82" s="5">
        <v>18.995360000000002</v>
      </c>
      <c r="BZ82" s="5">
        <v>0</v>
      </c>
      <c r="CA82" s="5">
        <v>0.91531899999999999</v>
      </c>
      <c r="CB82" s="5">
        <v>797.02670000000001</v>
      </c>
      <c r="CC82" s="5">
        <v>829.71119999999996</v>
      </c>
      <c r="CD82" s="5">
        <v>117.62139999999999</v>
      </c>
      <c r="CE82" s="5">
        <v>503.28</v>
      </c>
      <c r="CF82" s="5">
        <v>82.99</v>
      </c>
      <c r="CG82" s="5">
        <v>97.53</v>
      </c>
      <c r="CH82" s="5">
        <v>531.41</v>
      </c>
      <c r="CI82" s="5">
        <v>553.80999999999995</v>
      </c>
      <c r="CJ82" s="5">
        <v>572.78</v>
      </c>
      <c r="CK82" s="5">
        <v>601.9</v>
      </c>
      <c r="CL82" s="5">
        <v>593.5</v>
      </c>
      <c r="CM82" s="5">
        <v>582.05999999999995</v>
      </c>
      <c r="CN82" s="5">
        <v>511.81</v>
      </c>
      <c r="CO82" s="5">
        <v>28.48</v>
      </c>
      <c r="CP82" s="5">
        <v>788.8</v>
      </c>
      <c r="CQ82" s="5">
        <v>795.04</v>
      </c>
      <c r="CR82" s="5">
        <v>14.1</v>
      </c>
      <c r="CS82" s="5">
        <v>14.2</v>
      </c>
      <c r="CT82" s="5">
        <v>23.77</v>
      </c>
      <c r="CU82" s="5">
        <v>48.06</v>
      </c>
      <c r="CV82" s="5">
        <v>99.93</v>
      </c>
      <c r="CW82" s="5">
        <v>0.87929203833247349</v>
      </c>
      <c r="CX82" s="5">
        <v>4.6690407235454341</v>
      </c>
    </row>
    <row r="83" spans="1:102" x14ac:dyDescent="0.25">
      <c r="A83" s="5">
        <v>7</v>
      </c>
      <c r="B83" s="23">
        <v>41411.492750914353</v>
      </c>
      <c r="C83" s="5">
        <v>10</v>
      </c>
      <c r="D83" s="5">
        <v>3</v>
      </c>
      <c r="E83" s="5">
        <v>523</v>
      </c>
      <c r="F83" s="5">
        <v>523</v>
      </c>
      <c r="G83" s="5">
        <v>523.1</v>
      </c>
      <c r="H83" s="5">
        <v>100</v>
      </c>
      <c r="I83" s="5">
        <v>100</v>
      </c>
      <c r="J83" s="5">
        <v>1890</v>
      </c>
      <c r="K83" s="5">
        <v>8</v>
      </c>
      <c r="L83" s="5">
        <v>8</v>
      </c>
      <c r="M83" s="5">
        <v>0.13</v>
      </c>
      <c r="N83" s="5">
        <v>0.129941</v>
      </c>
      <c r="O83" s="5">
        <v>1</v>
      </c>
      <c r="P83" s="5">
        <v>1.0693459999999999</v>
      </c>
      <c r="Q83" s="5">
        <v>-4.49</v>
      </c>
      <c r="R83" s="5">
        <v>-4.4934079999999996</v>
      </c>
      <c r="S83" s="5">
        <v>176.13</v>
      </c>
      <c r="T83" s="5">
        <v>176.125</v>
      </c>
      <c r="U83" s="5">
        <v>3.5</v>
      </c>
      <c r="V83" s="5">
        <v>3.5</v>
      </c>
      <c r="W83" s="5">
        <v>300</v>
      </c>
      <c r="X83" s="5">
        <v>300</v>
      </c>
      <c r="Y83" s="5">
        <v>0</v>
      </c>
      <c r="Z83" s="5">
        <v>0</v>
      </c>
      <c r="AA83" s="5">
        <v>300</v>
      </c>
      <c r="AB83" s="5">
        <v>300</v>
      </c>
      <c r="AC83" s="5">
        <v>0</v>
      </c>
      <c r="AD83" s="5">
        <v>114.31910000000001</v>
      </c>
      <c r="AE83" s="5">
        <v>150</v>
      </c>
      <c r="AF83" s="5">
        <v>150</v>
      </c>
      <c r="AG83" s="5">
        <v>34</v>
      </c>
      <c r="AH83" s="5">
        <v>0.16</v>
      </c>
      <c r="AI83" s="5">
        <v>66.41</v>
      </c>
      <c r="AJ83" s="5">
        <v>96.8</v>
      </c>
      <c r="AK83" s="5">
        <v>94.45</v>
      </c>
      <c r="AL83" s="5">
        <v>97.48</v>
      </c>
      <c r="AM83" s="5">
        <v>607.94000000000005</v>
      </c>
      <c r="AN83" s="5">
        <v>171.47970000000001</v>
      </c>
      <c r="AO83" s="5">
        <v>70.849999999999994</v>
      </c>
      <c r="AP83" s="5">
        <v>97.64</v>
      </c>
      <c r="AQ83" s="5">
        <v>87.34</v>
      </c>
      <c r="AR83" s="5">
        <v>576.87</v>
      </c>
      <c r="AS83" s="5">
        <v>23.59</v>
      </c>
      <c r="AT83" s="5">
        <v>57.86</v>
      </c>
      <c r="AU83" s="5">
        <v>97.68</v>
      </c>
      <c r="AV83" s="5">
        <v>113.03</v>
      </c>
      <c r="AW83" s="5">
        <v>0.51800000000000002</v>
      </c>
      <c r="AX83" s="5">
        <v>7.98</v>
      </c>
      <c r="AY83" s="5">
        <v>10000000000</v>
      </c>
      <c r="AZ83" s="5">
        <v>607.41</v>
      </c>
      <c r="BA83" s="5">
        <v>18.2</v>
      </c>
      <c r="BB83" s="5">
        <v>9.09</v>
      </c>
      <c r="BC83" s="5">
        <v>0.75</v>
      </c>
      <c r="BD83" s="5">
        <v>7.91</v>
      </c>
      <c r="BE83" s="5">
        <v>3.11</v>
      </c>
      <c r="BF83" s="5">
        <v>433.59</v>
      </c>
      <c r="BG83" s="5">
        <v>8.26</v>
      </c>
      <c r="BH83" s="5">
        <v>10000000000</v>
      </c>
      <c r="BI83" s="5">
        <v>237.7</v>
      </c>
      <c r="BJ83" s="5">
        <v>23.5</v>
      </c>
      <c r="BK83" s="5">
        <v>86</v>
      </c>
      <c r="BL83" s="5">
        <v>51.95</v>
      </c>
      <c r="BM83" s="5">
        <v>1.84</v>
      </c>
      <c r="BN83" s="5">
        <v>29.66</v>
      </c>
      <c r="BO83" s="5">
        <v>37.31</v>
      </c>
      <c r="BP83" s="5">
        <v>601.67999999999995</v>
      </c>
      <c r="BQ83" s="5">
        <v>59.025419999999997</v>
      </c>
      <c r="BR83" s="5">
        <v>197.62360000000001</v>
      </c>
      <c r="BS83" s="5">
        <v>47.440480000000001</v>
      </c>
      <c r="BT83" s="5">
        <v>36.171770000000002</v>
      </c>
      <c r="BU83" s="5">
        <v>36.187240000000003</v>
      </c>
      <c r="BV83" s="5">
        <v>0.111597</v>
      </c>
      <c r="BW83" s="5">
        <v>0.11740200000000001</v>
      </c>
      <c r="BX83" s="5">
        <v>81.001199999999997</v>
      </c>
      <c r="BY83" s="5">
        <v>18.995360000000002</v>
      </c>
      <c r="BZ83" s="5">
        <v>0</v>
      </c>
      <c r="CA83" s="5">
        <v>0.92485700000000004</v>
      </c>
      <c r="CB83" s="5">
        <v>658.60770000000002</v>
      </c>
      <c r="CC83" s="5">
        <v>682.05290000000002</v>
      </c>
      <c r="CD83" s="5">
        <v>84.509839999999997</v>
      </c>
      <c r="CE83" s="5">
        <v>490.06</v>
      </c>
      <c r="CF83" s="5">
        <v>80.55</v>
      </c>
      <c r="CG83" s="5">
        <v>94.14</v>
      </c>
      <c r="CH83" s="5">
        <v>492.84</v>
      </c>
      <c r="CI83" s="5">
        <v>515.83000000000004</v>
      </c>
      <c r="CJ83" s="5">
        <v>529.6</v>
      </c>
      <c r="CK83" s="5">
        <v>551.96</v>
      </c>
      <c r="CL83" s="5">
        <v>549.20000000000005</v>
      </c>
      <c r="CM83" s="5">
        <v>541.84</v>
      </c>
      <c r="CN83" s="5">
        <v>495.98</v>
      </c>
      <c r="CO83" s="5">
        <v>27.82</v>
      </c>
      <c r="CP83" s="5">
        <v>520.4</v>
      </c>
      <c r="CQ83" s="5">
        <v>523.04999999999995</v>
      </c>
      <c r="CR83" s="5">
        <v>9.3000000000000007</v>
      </c>
      <c r="CS83" s="5">
        <v>9.4</v>
      </c>
      <c r="CT83" s="5">
        <v>26.77</v>
      </c>
      <c r="CU83" s="5">
        <v>47.91</v>
      </c>
      <c r="CV83" s="5">
        <v>99.91</v>
      </c>
      <c r="CW83" s="5">
        <v>0.90078305502611788</v>
      </c>
      <c r="CX83" s="5">
        <v>2.8014353011312263</v>
      </c>
    </row>
    <row r="84" spans="1:102" x14ac:dyDescent="0.25">
      <c r="A84" s="5">
        <v>26</v>
      </c>
      <c r="B84" s="23">
        <v>41411.624278553238</v>
      </c>
      <c r="C84" s="5">
        <v>10</v>
      </c>
      <c r="D84" s="5">
        <v>20</v>
      </c>
      <c r="E84" s="5">
        <v>711</v>
      </c>
      <c r="F84" s="5">
        <v>711</v>
      </c>
      <c r="G84" s="5">
        <v>711</v>
      </c>
      <c r="H84" s="5">
        <v>100</v>
      </c>
      <c r="I84" s="5">
        <v>100</v>
      </c>
      <c r="J84" s="5">
        <v>1890</v>
      </c>
      <c r="K84" s="5">
        <v>6</v>
      </c>
      <c r="L84" s="5">
        <v>6</v>
      </c>
      <c r="M84" s="5">
        <v>0.11</v>
      </c>
      <c r="N84" s="5">
        <v>0.10994</v>
      </c>
      <c r="O84" s="5">
        <v>1</v>
      </c>
      <c r="P84" s="5">
        <v>1.069383</v>
      </c>
      <c r="Q84" s="5">
        <v>1.19</v>
      </c>
      <c r="R84" s="5">
        <v>1.186523</v>
      </c>
      <c r="S84" s="5">
        <v>188.7</v>
      </c>
      <c r="T84" s="5">
        <v>188.70310000000001</v>
      </c>
      <c r="U84" s="5">
        <v>3.5</v>
      </c>
      <c r="V84" s="5">
        <v>3.5</v>
      </c>
      <c r="W84" s="5">
        <v>300</v>
      </c>
      <c r="X84" s="5">
        <v>300</v>
      </c>
      <c r="Y84" s="5">
        <v>0</v>
      </c>
      <c r="Z84" s="5">
        <v>0</v>
      </c>
      <c r="AA84" s="5">
        <v>300</v>
      </c>
      <c r="AB84" s="5">
        <v>300</v>
      </c>
      <c r="AC84" s="5">
        <v>0</v>
      </c>
      <c r="AD84" s="5">
        <v>125.9087</v>
      </c>
      <c r="AE84" s="5">
        <v>150</v>
      </c>
      <c r="AF84" s="5">
        <v>150</v>
      </c>
      <c r="AG84" s="5">
        <v>34</v>
      </c>
      <c r="AH84" s="5">
        <v>0.16</v>
      </c>
      <c r="AI84" s="5">
        <v>77.06</v>
      </c>
      <c r="AJ84" s="5">
        <v>106.85</v>
      </c>
      <c r="AK84" s="5">
        <v>115.76</v>
      </c>
      <c r="AL84" s="5">
        <v>119.66</v>
      </c>
      <c r="AM84" s="5">
        <v>654.41</v>
      </c>
      <c r="AN84" s="5">
        <v>190.81780000000001</v>
      </c>
      <c r="AO84" s="5">
        <v>89.95</v>
      </c>
      <c r="AP84" s="5">
        <v>117.16</v>
      </c>
      <c r="AQ84" s="5">
        <v>108.34</v>
      </c>
      <c r="AR84" s="5">
        <v>648.88</v>
      </c>
      <c r="AS84" s="5">
        <v>25.8</v>
      </c>
      <c r="AT84" s="5">
        <v>60.03</v>
      </c>
      <c r="AU84" s="5">
        <v>98.94</v>
      </c>
      <c r="AV84" s="5">
        <v>115.83</v>
      </c>
      <c r="AW84" s="5">
        <v>0.40899999999999997</v>
      </c>
      <c r="AX84" s="5">
        <v>6.09</v>
      </c>
      <c r="AY84" s="5">
        <v>10000000000</v>
      </c>
      <c r="AZ84" s="5">
        <v>585.52</v>
      </c>
      <c r="BA84" s="5">
        <v>16.420000000000002</v>
      </c>
      <c r="BB84" s="5">
        <v>10.43</v>
      </c>
      <c r="BC84" s="5">
        <v>0.74</v>
      </c>
      <c r="BD84" s="5">
        <v>6.26</v>
      </c>
      <c r="BE84" s="5">
        <v>4.29</v>
      </c>
      <c r="BF84" s="5">
        <v>740.06</v>
      </c>
      <c r="BG84" s="5">
        <v>7.06</v>
      </c>
      <c r="BH84" s="5">
        <v>10000000000</v>
      </c>
      <c r="BI84" s="5">
        <v>222</v>
      </c>
      <c r="BJ84" s="5">
        <v>20.8</v>
      </c>
      <c r="BK84" s="5">
        <v>86.5</v>
      </c>
      <c r="BL84" s="5">
        <v>49.33</v>
      </c>
      <c r="BM84" s="5">
        <v>2.0299999999999998</v>
      </c>
      <c r="BN84" s="5">
        <v>29.63</v>
      </c>
      <c r="BO84" s="5">
        <v>38.340000000000003</v>
      </c>
      <c r="BP84" s="5">
        <v>680.12</v>
      </c>
      <c r="BQ84" s="5">
        <v>60.971980000000002</v>
      </c>
      <c r="BR84" s="5">
        <v>220.70400000000001</v>
      </c>
      <c r="BS84" s="5">
        <v>42.408540000000002</v>
      </c>
      <c r="BT84" s="5">
        <v>32.363120000000002</v>
      </c>
      <c r="BU84" s="5">
        <v>32.420699999999997</v>
      </c>
      <c r="BV84" s="5">
        <v>9.9527000000000004E-2</v>
      </c>
      <c r="BW84" s="5">
        <v>9.1382000000000005E-2</v>
      </c>
      <c r="BX84" s="5">
        <v>104.0868</v>
      </c>
      <c r="BY84" s="5">
        <v>18.995360000000002</v>
      </c>
      <c r="BZ84" s="5">
        <v>0</v>
      </c>
      <c r="CA84" s="5">
        <v>0.91959199999999996</v>
      </c>
      <c r="CB84" s="5">
        <v>724.48270000000002</v>
      </c>
      <c r="CC84" s="5">
        <v>754.37339999999995</v>
      </c>
      <c r="CD84" s="5">
        <v>107.59950000000001</v>
      </c>
      <c r="CE84" s="5">
        <v>508.94</v>
      </c>
      <c r="CF84" s="5">
        <v>79.55</v>
      </c>
      <c r="CG84" s="5">
        <v>95.18</v>
      </c>
      <c r="CH84" s="5">
        <v>539.30999999999995</v>
      </c>
      <c r="CI84" s="5">
        <v>562.36</v>
      </c>
      <c r="CJ84" s="5">
        <v>580.54</v>
      </c>
      <c r="CK84" s="5">
        <v>601.35</v>
      </c>
      <c r="CL84" s="5">
        <v>600.20000000000005</v>
      </c>
      <c r="CM84" s="5">
        <v>586.23</v>
      </c>
      <c r="CN84" s="5">
        <v>530.83000000000004</v>
      </c>
      <c r="CO84" s="5">
        <v>33.24</v>
      </c>
      <c r="CP84" s="5">
        <v>707.6</v>
      </c>
      <c r="CQ84" s="5">
        <v>711.05</v>
      </c>
      <c r="CR84" s="5">
        <v>12.7</v>
      </c>
      <c r="CS84" s="5">
        <v>12.7</v>
      </c>
      <c r="CT84" s="5">
        <v>27.99</v>
      </c>
      <c r="CU84" s="5">
        <v>39.049999999999997</v>
      </c>
      <c r="CV84" s="5">
        <v>99.93</v>
      </c>
      <c r="CW84" s="5">
        <v>0.88021738400130345</v>
      </c>
      <c r="CX84" s="5">
        <v>3.7761325773655918</v>
      </c>
    </row>
    <row r="85" spans="1:102" x14ac:dyDescent="0.25">
      <c r="A85" s="5">
        <v>8</v>
      </c>
      <c r="B85" s="23">
        <v>41411.498174537039</v>
      </c>
      <c r="C85" s="5">
        <v>10</v>
      </c>
      <c r="D85" s="5">
        <v>4</v>
      </c>
      <c r="E85" s="5">
        <v>533</v>
      </c>
      <c r="F85" s="5">
        <v>533</v>
      </c>
      <c r="G85" s="5">
        <v>533</v>
      </c>
      <c r="H85" s="5">
        <v>100</v>
      </c>
      <c r="I85" s="5">
        <v>100</v>
      </c>
      <c r="J85" s="5">
        <v>1890</v>
      </c>
      <c r="K85" s="5">
        <v>44</v>
      </c>
      <c r="L85" s="5">
        <v>44</v>
      </c>
      <c r="M85" s="5">
        <v>0.12</v>
      </c>
      <c r="N85" s="5">
        <v>0.119937</v>
      </c>
      <c r="O85" s="5">
        <v>1</v>
      </c>
      <c r="P85" s="5">
        <v>1.069407</v>
      </c>
      <c r="Q85" s="5">
        <v>-4.29</v>
      </c>
      <c r="R85" s="5">
        <v>-4.2846679999999999</v>
      </c>
      <c r="S85" s="5">
        <v>177.46</v>
      </c>
      <c r="T85" s="5">
        <v>177.45310000000001</v>
      </c>
      <c r="U85" s="5">
        <v>3.5</v>
      </c>
      <c r="V85" s="5">
        <v>3.5</v>
      </c>
      <c r="W85" s="5">
        <v>300</v>
      </c>
      <c r="X85" s="5">
        <v>300</v>
      </c>
      <c r="Y85" s="5">
        <v>0</v>
      </c>
      <c r="Z85" s="5">
        <v>0</v>
      </c>
      <c r="AA85" s="5">
        <v>300</v>
      </c>
      <c r="AB85" s="5">
        <v>300</v>
      </c>
      <c r="AC85" s="5">
        <v>0</v>
      </c>
      <c r="AD85" s="5">
        <v>156.87979999999999</v>
      </c>
      <c r="AE85" s="5">
        <v>150</v>
      </c>
      <c r="AF85" s="5">
        <v>150</v>
      </c>
      <c r="AG85" s="5">
        <v>34</v>
      </c>
      <c r="AH85" s="5">
        <v>0.16</v>
      </c>
      <c r="AI85" s="5">
        <v>88.57</v>
      </c>
      <c r="AJ85" s="5">
        <v>122.52</v>
      </c>
      <c r="AK85" s="5">
        <v>202.53</v>
      </c>
      <c r="AL85" s="5">
        <v>204.33</v>
      </c>
      <c r="AM85" s="5">
        <v>498.56</v>
      </c>
      <c r="AN85" s="5">
        <v>236.0573</v>
      </c>
      <c r="AO85" s="5">
        <v>136.03</v>
      </c>
      <c r="AP85" s="5">
        <v>144.88999999999999</v>
      </c>
      <c r="AQ85" s="5">
        <v>156.78</v>
      </c>
      <c r="AR85" s="5">
        <v>736.94</v>
      </c>
      <c r="AS85" s="5">
        <v>66.5</v>
      </c>
      <c r="AT85" s="5">
        <v>62.42</v>
      </c>
      <c r="AU85" s="5">
        <v>102.07</v>
      </c>
      <c r="AV85" s="5">
        <v>115.82</v>
      </c>
      <c r="AW85" s="5">
        <v>9.4E-2</v>
      </c>
      <c r="AX85" s="5">
        <v>1.27</v>
      </c>
      <c r="AY85" s="5">
        <v>10000000000</v>
      </c>
      <c r="AZ85" s="5">
        <v>403.68</v>
      </c>
      <c r="BA85" s="5">
        <v>20.47</v>
      </c>
      <c r="BB85" s="5">
        <v>7.11</v>
      </c>
      <c r="BC85" s="5">
        <v>0.9</v>
      </c>
      <c r="BD85" s="5">
        <v>10.68</v>
      </c>
      <c r="BE85" s="5">
        <v>3.41</v>
      </c>
      <c r="BF85" s="5">
        <v>365.31</v>
      </c>
      <c r="BG85" s="5">
        <v>12.64</v>
      </c>
      <c r="BH85" s="5">
        <v>10000000000</v>
      </c>
      <c r="BI85" s="5">
        <v>236.4</v>
      </c>
      <c r="BJ85" s="5">
        <v>29.6</v>
      </c>
      <c r="BK85" s="5">
        <v>84.2</v>
      </c>
      <c r="BL85" s="5">
        <v>106.66</v>
      </c>
      <c r="BM85" s="5">
        <v>2.52</v>
      </c>
      <c r="BN85" s="5">
        <v>29.81</v>
      </c>
      <c r="BO85" s="5">
        <v>35.65</v>
      </c>
      <c r="BP85" s="5">
        <v>762.04</v>
      </c>
      <c r="BQ85" s="5">
        <v>63.036200000000001</v>
      </c>
      <c r="BR85" s="5">
        <v>303.12639999999999</v>
      </c>
      <c r="BS85" s="5">
        <v>47.303800000000003</v>
      </c>
      <c r="BT85" s="5">
        <v>49.842379999999999</v>
      </c>
      <c r="BU85" s="5">
        <v>48.942160000000001</v>
      </c>
      <c r="BV85" s="5">
        <v>0.11150500000000001</v>
      </c>
      <c r="BW85" s="5">
        <v>0.10523</v>
      </c>
      <c r="BX85" s="5">
        <v>81.472080000000005</v>
      </c>
      <c r="BY85" s="5">
        <v>18.995360000000002</v>
      </c>
      <c r="BZ85" s="5">
        <v>0</v>
      </c>
      <c r="CA85" s="5">
        <v>0.92472900000000002</v>
      </c>
      <c r="CB85" s="5">
        <v>895.74040000000002</v>
      </c>
      <c r="CC85" s="5">
        <v>919.33309999999994</v>
      </c>
      <c r="CD85" s="5">
        <v>84.983069999999998</v>
      </c>
      <c r="CE85" s="5">
        <v>468.3</v>
      </c>
      <c r="CF85" s="5">
        <v>84.32</v>
      </c>
      <c r="CG85" s="5">
        <v>97.19</v>
      </c>
      <c r="CH85" s="5">
        <v>429.3</v>
      </c>
      <c r="CI85" s="5">
        <v>446.11</v>
      </c>
      <c r="CJ85" s="5">
        <v>460.23</v>
      </c>
      <c r="CK85" s="5">
        <v>483.64</v>
      </c>
      <c r="CL85" s="5">
        <v>476.53</v>
      </c>
      <c r="CM85" s="5">
        <v>474.55</v>
      </c>
      <c r="CN85" s="5">
        <v>356.74</v>
      </c>
      <c r="CO85" s="5">
        <v>28.51</v>
      </c>
      <c r="CP85" s="5">
        <v>530.20000000000005</v>
      </c>
      <c r="CQ85" s="5">
        <v>533.04999999999995</v>
      </c>
      <c r="CR85" s="5">
        <v>9.5</v>
      </c>
      <c r="CS85" s="5">
        <v>9.6</v>
      </c>
      <c r="CT85" s="5">
        <v>26.08</v>
      </c>
      <c r="CU85" s="5">
        <v>46.72</v>
      </c>
      <c r="CV85" s="5">
        <v>99.9</v>
      </c>
      <c r="CW85" s="5">
        <v>0.9099262928217331</v>
      </c>
      <c r="CX85" s="5">
        <v>3.10284865852211</v>
      </c>
    </row>
    <row r="86" spans="1:102" x14ac:dyDescent="0.25">
      <c r="A86" s="5">
        <v>9</v>
      </c>
      <c r="B86" s="23">
        <v>41411.503597453702</v>
      </c>
      <c r="C86" s="5">
        <v>10</v>
      </c>
      <c r="D86" s="5">
        <v>5</v>
      </c>
      <c r="E86" s="5">
        <v>542</v>
      </c>
      <c r="F86" s="5">
        <v>542</v>
      </c>
      <c r="G86" s="5">
        <v>542</v>
      </c>
      <c r="H86" s="5">
        <v>100</v>
      </c>
      <c r="I86" s="5">
        <v>100</v>
      </c>
      <c r="J86" s="5">
        <v>1890</v>
      </c>
      <c r="K86" s="5">
        <v>21</v>
      </c>
      <c r="L86" s="5">
        <v>21</v>
      </c>
      <c r="M86" s="5">
        <v>0.11</v>
      </c>
      <c r="N86" s="5">
        <v>0.10993700000000001</v>
      </c>
      <c r="O86" s="5">
        <v>1</v>
      </c>
      <c r="P86" s="5">
        <v>1.0693950000000001</v>
      </c>
      <c r="Q86" s="5">
        <v>-4.12</v>
      </c>
      <c r="R86" s="5">
        <v>-4.1198730000000001</v>
      </c>
      <c r="S86" s="5">
        <v>178.66</v>
      </c>
      <c r="T86" s="5">
        <v>178.65629999999999</v>
      </c>
      <c r="U86" s="5">
        <v>3.5</v>
      </c>
      <c r="V86" s="5">
        <v>3.5</v>
      </c>
      <c r="W86" s="5">
        <v>300</v>
      </c>
      <c r="X86" s="5">
        <v>300</v>
      </c>
      <c r="Y86" s="5">
        <v>0</v>
      </c>
      <c r="Z86" s="5">
        <v>0</v>
      </c>
      <c r="AA86" s="5">
        <v>300</v>
      </c>
      <c r="AB86" s="5">
        <v>300</v>
      </c>
      <c r="AC86" s="5">
        <v>0</v>
      </c>
      <c r="AD86" s="5">
        <v>127.31440000000001</v>
      </c>
      <c r="AE86" s="5">
        <v>150</v>
      </c>
      <c r="AF86" s="5">
        <v>150</v>
      </c>
      <c r="AG86" s="5">
        <v>34</v>
      </c>
      <c r="AH86" s="5">
        <v>0.16</v>
      </c>
      <c r="AI86" s="5">
        <v>74.02</v>
      </c>
      <c r="AJ86" s="5">
        <v>106.74</v>
      </c>
      <c r="AK86" s="5">
        <v>122.24</v>
      </c>
      <c r="AL86" s="5">
        <v>125.45</v>
      </c>
      <c r="AM86" s="5">
        <v>567.36</v>
      </c>
      <c r="AN86" s="5">
        <v>192.4315</v>
      </c>
      <c r="AO86" s="5">
        <v>91.81</v>
      </c>
      <c r="AP86" s="5">
        <v>114.84</v>
      </c>
      <c r="AQ86" s="5">
        <v>110.23</v>
      </c>
      <c r="AR86" s="5">
        <v>643.29999999999995</v>
      </c>
      <c r="AS86" s="5">
        <v>30.43</v>
      </c>
      <c r="AT86" s="5">
        <v>59.08</v>
      </c>
      <c r="AU86" s="5">
        <v>97.87</v>
      </c>
      <c r="AV86" s="5">
        <v>112.45</v>
      </c>
      <c r="AW86" s="5">
        <v>0.18099999999999999</v>
      </c>
      <c r="AX86" s="5">
        <v>2.5099999999999998</v>
      </c>
      <c r="AY86" s="5">
        <v>10000000000</v>
      </c>
      <c r="AZ86" s="5">
        <v>449.71</v>
      </c>
      <c r="BA86" s="5">
        <v>22.05</v>
      </c>
      <c r="BB86" s="5">
        <v>8.24</v>
      </c>
      <c r="BC86" s="5">
        <v>0.66</v>
      </c>
      <c r="BD86" s="5">
        <v>9.1</v>
      </c>
      <c r="BE86" s="5">
        <v>3.77</v>
      </c>
      <c r="BF86" s="5">
        <v>481.49</v>
      </c>
      <c r="BG86" s="5">
        <v>8.02</v>
      </c>
      <c r="BH86" s="5">
        <v>10000000000</v>
      </c>
      <c r="BI86" s="5">
        <v>232.8</v>
      </c>
      <c r="BJ86" s="5">
        <v>25.8</v>
      </c>
      <c r="BK86" s="5">
        <v>85.7</v>
      </c>
      <c r="BL86" s="5">
        <v>56.13</v>
      </c>
      <c r="BM86" s="5">
        <v>2.0499999999999998</v>
      </c>
      <c r="BN86" s="5">
        <v>29.58</v>
      </c>
      <c r="BO86" s="5">
        <v>36.590000000000003</v>
      </c>
      <c r="BP86" s="5">
        <v>668.62</v>
      </c>
      <c r="BQ86" s="5">
        <v>59.999899999999997</v>
      </c>
      <c r="BR86" s="5">
        <v>225.7398</v>
      </c>
      <c r="BS86" s="5">
        <v>47.198140000000002</v>
      </c>
      <c r="BT86" s="5">
        <v>40.2956</v>
      </c>
      <c r="BU86" s="5">
        <v>40.088439999999999</v>
      </c>
      <c r="BV86" s="5">
        <v>0.11143500000000001</v>
      </c>
      <c r="BW86" s="5">
        <v>0.113362</v>
      </c>
      <c r="BX86" s="5">
        <v>81.834689999999995</v>
      </c>
      <c r="BY86" s="5">
        <v>18.995360000000002</v>
      </c>
      <c r="BZ86" s="5">
        <v>0</v>
      </c>
      <c r="CA86" s="5">
        <v>0.92463200000000001</v>
      </c>
      <c r="CB86" s="5">
        <v>736.76369999999997</v>
      </c>
      <c r="CC86" s="5">
        <v>760.45830000000001</v>
      </c>
      <c r="CD86" s="5">
        <v>85.345780000000005</v>
      </c>
      <c r="CE86" s="5">
        <v>464.94</v>
      </c>
      <c r="CF86" s="5">
        <v>80.44</v>
      </c>
      <c r="CG86" s="5">
        <v>93.46</v>
      </c>
      <c r="CH86" s="5">
        <v>462.14</v>
      </c>
      <c r="CI86" s="5">
        <v>484.8</v>
      </c>
      <c r="CJ86" s="5">
        <v>499.15</v>
      </c>
      <c r="CK86" s="5">
        <v>527.47</v>
      </c>
      <c r="CL86" s="5">
        <v>519.47</v>
      </c>
      <c r="CM86" s="5">
        <v>510.62</v>
      </c>
      <c r="CN86" s="5">
        <v>445.02</v>
      </c>
      <c r="CO86" s="5">
        <v>27.6</v>
      </c>
      <c r="CP86" s="5">
        <v>539.29999999999995</v>
      </c>
      <c r="CQ86" s="5">
        <v>542.04999999999995</v>
      </c>
      <c r="CR86" s="5">
        <v>9.6999999999999993</v>
      </c>
      <c r="CS86" s="5">
        <v>9.6999999999999993</v>
      </c>
      <c r="CT86" s="5">
        <v>26.86</v>
      </c>
      <c r="CU86" s="5">
        <v>45.34</v>
      </c>
      <c r="CV86" s="5">
        <v>99.92</v>
      </c>
      <c r="CW86" s="5">
        <v>0.90190864035704343</v>
      </c>
      <c r="CX86" s="5">
        <v>3.4001955741460539</v>
      </c>
    </row>
    <row r="87" spans="1:102" x14ac:dyDescent="0.25">
      <c r="A87" s="5">
        <v>15</v>
      </c>
      <c r="B87" s="23">
        <v>2.8221064814814817E-2</v>
      </c>
      <c r="C87" s="5">
        <v>11</v>
      </c>
      <c r="D87" s="5">
        <v>14</v>
      </c>
      <c r="E87" s="5">
        <v>272</v>
      </c>
      <c r="F87" s="5">
        <v>272</v>
      </c>
      <c r="G87" s="5">
        <v>272.10000000000002</v>
      </c>
      <c r="H87" s="5">
        <v>100</v>
      </c>
      <c r="I87" s="5">
        <v>100</v>
      </c>
      <c r="J87" s="5">
        <v>1890</v>
      </c>
      <c r="K87" s="5">
        <v>66</v>
      </c>
      <c r="L87" s="5">
        <v>66</v>
      </c>
      <c r="M87" s="5">
        <v>0.23</v>
      </c>
      <c r="N87" s="5">
        <v>0.22997699999999999</v>
      </c>
      <c r="O87" s="5">
        <v>1</v>
      </c>
      <c r="P87" s="5">
        <v>1.069526</v>
      </c>
      <c r="Q87" s="5">
        <v>-4.01</v>
      </c>
      <c r="R87" s="5">
        <v>-4.0100100000000003</v>
      </c>
      <c r="S87" s="5">
        <v>130.93</v>
      </c>
      <c r="T87" s="5">
        <v>130.9375</v>
      </c>
      <c r="U87" s="5">
        <v>3.5</v>
      </c>
      <c r="V87" s="5">
        <v>3.5</v>
      </c>
      <c r="W87" s="5">
        <v>300</v>
      </c>
      <c r="X87" s="5">
        <v>300</v>
      </c>
      <c r="Y87" s="5">
        <v>3.5</v>
      </c>
      <c r="Z87" s="5">
        <v>3.5</v>
      </c>
      <c r="AA87" s="5">
        <v>300</v>
      </c>
      <c r="AB87" s="5">
        <v>300</v>
      </c>
      <c r="AC87" s="5">
        <v>0</v>
      </c>
      <c r="AD87" s="5">
        <v>123.07729999999999</v>
      </c>
      <c r="AE87" s="5">
        <v>0</v>
      </c>
      <c r="AF87" s="5">
        <v>122.46639999999999</v>
      </c>
      <c r="AG87" s="5">
        <v>37</v>
      </c>
      <c r="AH87" s="5">
        <v>0.17</v>
      </c>
      <c r="AI87" s="5">
        <v>72.569999999999993</v>
      </c>
      <c r="AJ87" s="5">
        <v>99.16</v>
      </c>
      <c r="AK87" s="5">
        <v>179.63</v>
      </c>
      <c r="AL87" s="5">
        <v>177.88</v>
      </c>
      <c r="AM87" s="5">
        <v>407.67</v>
      </c>
      <c r="AN87" s="5">
        <v>195.3853</v>
      </c>
      <c r="AO87" s="5">
        <v>94.36</v>
      </c>
      <c r="AP87" s="5">
        <v>116.21</v>
      </c>
      <c r="AQ87" s="5">
        <v>107.79</v>
      </c>
      <c r="AR87" s="5">
        <v>479.78</v>
      </c>
      <c r="AS87" s="5">
        <v>85.27</v>
      </c>
      <c r="AT87" s="5">
        <v>79.73</v>
      </c>
      <c r="AU87" s="5">
        <v>130.13</v>
      </c>
      <c r="AV87" s="5">
        <v>116.21</v>
      </c>
      <c r="AW87" s="5">
        <v>0.59699999999999998</v>
      </c>
      <c r="AX87" s="5">
        <v>9.42</v>
      </c>
      <c r="AY87" s="5">
        <v>10000000000</v>
      </c>
      <c r="AZ87" s="5">
        <v>253.12</v>
      </c>
      <c r="BA87" s="5">
        <v>117.28</v>
      </c>
      <c r="BB87" s="5">
        <v>6.78</v>
      </c>
      <c r="BC87" s="5">
        <v>2.12</v>
      </c>
      <c r="BD87" s="5">
        <v>11.29</v>
      </c>
      <c r="BE87" s="5">
        <v>1.36</v>
      </c>
      <c r="BF87" s="5">
        <v>113.67</v>
      </c>
      <c r="BG87" s="5">
        <v>31.32</v>
      </c>
      <c r="BH87" s="5">
        <v>10000000000</v>
      </c>
      <c r="BI87" s="5">
        <v>281.7</v>
      </c>
      <c r="BJ87" s="5">
        <v>31.6</v>
      </c>
      <c r="BK87" s="5">
        <v>85</v>
      </c>
      <c r="BL87" s="5">
        <v>218.63</v>
      </c>
      <c r="BM87" s="5">
        <v>2.06</v>
      </c>
      <c r="BN87" s="5">
        <v>30.93</v>
      </c>
      <c r="BO87" s="5">
        <v>35.229999999999997</v>
      </c>
      <c r="BP87" s="5">
        <v>494.68</v>
      </c>
      <c r="BQ87" s="5">
        <v>77.20729</v>
      </c>
      <c r="BR87" s="5">
        <v>268.9984</v>
      </c>
      <c r="BS87" s="5">
        <v>64.037790000000001</v>
      </c>
      <c r="BT87" s="5">
        <v>73.284099999999995</v>
      </c>
      <c r="BU87" s="5">
        <v>71.612660000000005</v>
      </c>
      <c r="BV87" s="5">
        <v>8.4964999999999999E-2</v>
      </c>
      <c r="BW87" s="5">
        <v>7.5358999999999995E-2</v>
      </c>
      <c r="BX87" s="5">
        <v>41.15437</v>
      </c>
      <c r="BY87" s="5">
        <v>18.995360000000002</v>
      </c>
      <c r="BZ87" s="5">
        <v>0</v>
      </c>
      <c r="CA87" s="5">
        <v>0.93256300000000003</v>
      </c>
      <c r="CB87" s="5">
        <v>717.43309999999997</v>
      </c>
      <c r="CC87" s="5">
        <v>730.76419999999996</v>
      </c>
      <c r="CD87" s="5">
        <v>48.147970000000001</v>
      </c>
      <c r="CE87" s="5">
        <v>417.82</v>
      </c>
      <c r="CF87" s="5">
        <v>105.86</v>
      </c>
      <c r="CG87" s="5">
        <v>123.89</v>
      </c>
      <c r="CH87" s="5">
        <v>384.27</v>
      </c>
      <c r="CI87" s="5">
        <v>377.89</v>
      </c>
      <c r="CJ87" s="5">
        <v>388.98</v>
      </c>
      <c r="CK87" s="5">
        <v>405.78</v>
      </c>
      <c r="CL87" s="5">
        <v>403.39</v>
      </c>
      <c r="CM87" s="5">
        <v>417.45</v>
      </c>
      <c r="CN87" s="5">
        <v>294.57</v>
      </c>
      <c r="CO87" s="5">
        <v>27.8</v>
      </c>
      <c r="CP87" s="5">
        <v>270.7</v>
      </c>
      <c r="CQ87" s="5">
        <v>272.04000000000002</v>
      </c>
      <c r="CR87" s="5">
        <v>4.9000000000000004</v>
      </c>
      <c r="CS87" s="5">
        <v>4.9000000000000004</v>
      </c>
      <c r="CT87" s="5">
        <v>25.93</v>
      </c>
      <c r="CU87" s="5">
        <v>27.69</v>
      </c>
      <c r="CV87" s="5">
        <v>101.52</v>
      </c>
      <c r="CW87" s="5">
        <v>0.86204652476753352</v>
      </c>
      <c r="CX87" s="5">
        <v>1.1723832736838458</v>
      </c>
    </row>
    <row r="88" spans="1:102" x14ac:dyDescent="0.25">
      <c r="A88" s="5">
        <v>14</v>
      </c>
      <c r="B88" s="23">
        <v>2.2784722222222224E-2</v>
      </c>
      <c r="C88" s="5">
        <v>11</v>
      </c>
      <c r="D88" s="5">
        <v>13</v>
      </c>
      <c r="E88" s="5">
        <v>268</v>
      </c>
      <c r="F88" s="5">
        <v>268</v>
      </c>
      <c r="G88" s="5">
        <v>268</v>
      </c>
      <c r="H88" s="5">
        <v>100</v>
      </c>
      <c r="I88" s="5">
        <v>100</v>
      </c>
      <c r="J88" s="5">
        <v>1890</v>
      </c>
      <c r="K88" s="5">
        <v>51</v>
      </c>
      <c r="L88" s="5">
        <v>51</v>
      </c>
      <c r="M88" s="5">
        <v>0.1</v>
      </c>
      <c r="N88" s="5">
        <v>9.9895999999999999E-2</v>
      </c>
      <c r="O88" s="5">
        <v>1</v>
      </c>
      <c r="P88" s="5">
        <v>1.0694729999999999</v>
      </c>
      <c r="Q88" s="5">
        <v>-3.91</v>
      </c>
      <c r="R88" s="5">
        <v>-3.911133</v>
      </c>
      <c r="S88" s="5">
        <v>130.35</v>
      </c>
      <c r="T88" s="5">
        <v>130.34379999999999</v>
      </c>
      <c r="U88" s="5">
        <v>3.5</v>
      </c>
      <c r="V88" s="5">
        <v>3.5</v>
      </c>
      <c r="W88" s="5">
        <v>300</v>
      </c>
      <c r="X88" s="5">
        <v>300</v>
      </c>
      <c r="Y88" s="5">
        <v>3.5</v>
      </c>
      <c r="Z88" s="5">
        <v>3.5</v>
      </c>
      <c r="AA88" s="5">
        <v>300</v>
      </c>
      <c r="AB88" s="5">
        <v>300</v>
      </c>
      <c r="AC88" s="5">
        <v>0</v>
      </c>
      <c r="AD88" s="5">
        <v>122.6992</v>
      </c>
      <c r="AE88" s="5">
        <v>0</v>
      </c>
      <c r="AF88" s="5">
        <v>122.4254</v>
      </c>
      <c r="AG88" s="5">
        <v>37</v>
      </c>
      <c r="AH88" s="5">
        <v>0.17</v>
      </c>
      <c r="AI88" s="5">
        <v>70.75</v>
      </c>
      <c r="AJ88" s="5">
        <v>101.89</v>
      </c>
      <c r="AK88" s="5">
        <v>151.34</v>
      </c>
      <c r="AL88" s="5">
        <v>152.88999999999999</v>
      </c>
      <c r="AM88" s="5">
        <v>379.91</v>
      </c>
      <c r="AN88" s="5">
        <v>186.32140000000001</v>
      </c>
      <c r="AO88" s="5">
        <v>84.07</v>
      </c>
      <c r="AP88" s="5">
        <v>113.35</v>
      </c>
      <c r="AQ88" s="5">
        <v>101.03</v>
      </c>
      <c r="AR88" s="5">
        <v>594.58000000000004</v>
      </c>
      <c r="AS88" s="5">
        <v>67.27</v>
      </c>
      <c r="AT88" s="5">
        <v>61.24</v>
      </c>
      <c r="AU88" s="5">
        <v>99.96</v>
      </c>
      <c r="AV88" s="5">
        <v>116.87</v>
      </c>
      <c r="AW88" s="5">
        <v>0.13900000000000001</v>
      </c>
      <c r="AX88" s="5">
        <v>1.91</v>
      </c>
      <c r="AY88" s="5">
        <v>10000000000</v>
      </c>
      <c r="AZ88" s="5">
        <v>124.76</v>
      </c>
      <c r="BA88" s="5">
        <v>78.41</v>
      </c>
      <c r="BB88" s="5">
        <v>5.24</v>
      </c>
      <c r="BC88" s="5">
        <v>0.69</v>
      </c>
      <c r="BD88" s="5">
        <v>13.44</v>
      </c>
      <c r="BE88" s="5">
        <v>4.03</v>
      </c>
      <c r="BF88" s="5">
        <v>257.95</v>
      </c>
      <c r="BG88" s="5">
        <v>13.25</v>
      </c>
      <c r="BH88" s="5">
        <v>10000000000</v>
      </c>
      <c r="BI88" s="5">
        <v>270.89999999999998</v>
      </c>
      <c r="BJ88" s="5">
        <v>41.4</v>
      </c>
      <c r="BK88" s="5">
        <v>87.2</v>
      </c>
      <c r="BL88" s="5">
        <v>90.78</v>
      </c>
      <c r="BM88" s="5">
        <v>1.98</v>
      </c>
      <c r="BN88" s="5">
        <v>29.61</v>
      </c>
      <c r="BO88" s="5">
        <v>33.78</v>
      </c>
      <c r="BP88" s="5">
        <v>608.79999999999995</v>
      </c>
      <c r="BQ88" s="5">
        <v>62.030729999999998</v>
      </c>
      <c r="BR88" s="5">
        <v>251.67590000000001</v>
      </c>
      <c r="BS88" s="5">
        <v>70.966980000000007</v>
      </c>
      <c r="BT88" s="5">
        <v>79.608019999999996</v>
      </c>
      <c r="BU88" s="5">
        <v>77.92456</v>
      </c>
      <c r="BV88" s="5">
        <v>7.3687000000000002E-2</v>
      </c>
      <c r="BW88" s="5">
        <v>6.6125000000000003E-2</v>
      </c>
      <c r="BX88" s="5">
        <v>37.797710000000002</v>
      </c>
      <c r="BY88" s="5">
        <v>18.995360000000002</v>
      </c>
      <c r="BZ88" s="5">
        <v>0</v>
      </c>
      <c r="CA88" s="5">
        <v>0.93320800000000004</v>
      </c>
      <c r="CB88" s="5">
        <v>715.62249999999995</v>
      </c>
      <c r="CC88" s="5">
        <v>728.01099999999997</v>
      </c>
      <c r="CD88" s="5">
        <v>44.792969999999997</v>
      </c>
      <c r="CE88" s="5">
        <v>379.77</v>
      </c>
      <c r="CF88" s="5">
        <v>81.05</v>
      </c>
      <c r="CG88" s="5">
        <v>92.57</v>
      </c>
      <c r="CH88" s="5">
        <v>358.04</v>
      </c>
      <c r="CI88" s="5">
        <v>349.64</v>
      </c>
      <c r="CJ88" s="5">
        <v>361.99</v>
      </c>
      <c r="CK88" s="5">
        <v>378.69</v>
      </c>
      <c r="CL88" s="5">
        <v>370.29</v>
      </c>
      <c r="CM88" s="5">
        <v>389.66</v>
      </c>
      <c r="CN88" s="5">
        <v>275.97000000000003</v>
      </c>
      <c r="CO88" s="5">
        <v>27.27</v>
      </c>
      <c r="CP88" s="5">
        <v>266.89999999999998</v>
      </c>
      <c r="CQ88" s="5">
        <v>268.04000000000002</v>
      </c>
      <c r="CR88" s="5">
        <v>4.8</v>
      </c>
      <c r="CS88" s="5">
        <v>4.8</v>
      </c>
      <c r="CT88" s="5">
        <v>24.1</v>
      </c>
      <c r="CU88" s="5">
        <v>23.91</v>
      </c>
      <c r="CV88" s="5">
        <v>101.53</v>
      </c>
      <c r="CW88" s="5">
        <v>0.85818422633979863</v>
      </c>
      <c r="CX88" s="5">
        <v>3.4584824321493888</v>
      </c>
    </row>
    <row r="89" spans="1:102" x14ac:dyDescent="0.25">
      <c r="A89" s="5">
        <v>10</v>
      </c>
      <c r="B89" s="23">
        <v>3.7439814814814815E-2</v>
      </c>
      <c r="C89" s="5">
        <v>11</v>
      </c>
      <c r="D89" s="5">
        <v>10</v>
      </c>
      <c r="E89" s="5">
        <v>253</v>
      </c>
      <c r="F89" s="5">
        <v>253</v>
      </c>
      <c r="G89" s="5">
        <v>253.1</v>
      </c>
      <c r="H89" s="5">
        <v>100</v>
      </c>
      <c r="I89" s="5">
        <v>100</v>
      </c>
      <c r="J89" s="5">
        <v>1890</v>
      </c>
      <c r="K89" s="5">
        <v>9</v>
      </c>
      <c r="L89" s="5">
        <v>9</v>
      </c>
      <c r="M89" s="5">
        <v>0.05</v>
      </c>
      <c r="N89" s="5">
        <v>4.9997E-2</v>
      </c>
      <c r="O89" s="5">
        <v>1</v>
      </c>
      <c r="P89" s="5">
        <v>1.0694330000000001</v>
      </c>
      <c r="Q89" s="5">
        <v>-3.57</v>
      </c>
      <c r="R89" s="5">
        <v>-3.570557</v>
      </c>
      <c r="S89" s="5">
        <v>128.18</v>
      </c>
      <c r="T89" s="5">
        <v>128.1875</v>
      </c>
      <c r="U89" s="5">
        <v>3.5</v>
      </c>
      <c r="V89" s="5">
        <v>3.5</v>
      </c>
      <c r="W89" s="5">
        <v>300</v>
      </c>
      <c r="X89" s="5">
        <v>300</v>
      </c>
      <c r="Y89" s="5">
        <v>3.5</v>
      </c>
      <c r="Z89" s="5">
        <v>3.5</v>
      </c>
      <c r="AA89" s="5">
        <v>300</v>
      </c>
      <c r="AB89" s="5">
        <v>300</v>
      </c>
      <c r="AC89" s="5">
        <v>0</v>
      </c>
      <c r="AD89" s="5">
        <v>87.523330000000001</v>
      </c>
      <c r="AE89" s="5">
        <v>0</v>
      </c>
      <c r="AF89" s="5">
        <v>87.523589999999999</v>
      </c>
      <c r="AG89" s="5">
        <v>37</v>
      </c>
      <c r="AH89" s="5">
        <v>0.17</v>
      </c>
      <c r="AI89" s="5">
        <v>49.32</v>
      </c>
      <c r="AJ89" s="5">
        <v>71.599999999999994</v>
      </c>
      <c r="AK89" s="5">
        <v>52.54</v>
      </c>
      <c r="AL89" s="5">
        <v>54.99</v>
      </c>
      <c r="AM89" s="5">
        <v>434.09</v>
      </c>
      <c r="AN89" s="5">
        <v>126.5102</v>
      </c>
      <c r="AO89" s="5">
        <v>23.27</v>
      </c>
      <c r="AP89" s="5">
        <v>67.569999999999993</v>
      </c>
      <c r="AQ89" s="5">
        <v>36.29</v>
      </c>
      <c r="AR89" s="5">
        <v>457.35</v>
      </c>
      <c r="AS89" s="5">
        <v>29.27</v>
      </c>
      <c r="AT89" s="5">
        <v>47.21</v>
      </c>
      <c r="AU89" s="5">
        <v>94.12</v>
      </c>
      <c r="AV89" s="5">
        <v>118.95</v>
      </c>
      <c r="AW89" s="5">
        <v>0.23300000000000001</v>
      </c>
      <c r="AX89" s="5">
        <v>3.28</v>
      </c>
      <c r="AY89" s="5">
        <v>10000000000</v>
      </c>
      <c r="AZ89" s="5">
        <v>163.52000000000001</v>
      </c>
      <c r="BA89" s="5">
        <v>84.43</v>
      </c>
      <c r="BB89" s="5">
        <v>6.33</v>
      </c>
      <c r="BC89" s="5">
        <v>0.3</v>
      </c>
      <c r="BD89" s="5">
        <v>12.11</v>
      </c>
      <c r="BE89" s="5">
        <v>4.58</v>
      </c>
      <c r="BF89" s="5">
        <v>366.94</v>
      </c>
      <c r="BG89" s="5">
        <v>4.68</v>
      </c>
      <c r="BH89" s="5">
        <v>10000000000</v>
      </c>
      <c r="BI89" s="5">
        <v>260.10000000000002</v>
      </c>
      <c r="BJ89" s="5">
        <v>35.1</v>
      </c>
      <c r="BK89" s="5">
        <v>88.1</v>
      </c>
      <c r="BL89" s="5">
        <v>22.47</v>
      </c>
      <c r="BM89" s="5">
        <v>1.37</v>
      </c>
      <c r="BN89" s="5">
        <v>29.23</v>
      </c>
      <c r="BO89" s="5">
        <v>34.619999999999997</v>
      </c>
      <c r="BP89" s="5">
        <v>470.27</v>
      </c>
      <c r="BQ89" s="5">
        <v>49.306719999999999</v>
      </c>
      <c r="BR89" s="5">
        <v>155.8081</v>
      </c>
      <c r="BS89" s="5">
        <v>77.201980000000006</v>
      </c>
      <c r="BT89" s="5">
        <v>59.780569999999997</v>
      </c>
      <c r="BU89" s="5">
        <v>59.800699999999999</v>
      </c>
      <c r="BV89" s="5">
        <v>6.3529000000000002E-2</v>
      </c>
      <c r="BW89" s="5">
        <v>7.1762000000000006E-2</v>
      </c>
      <c r="BX89" s="5">
        <v>34.782600000000002</v>
      </c>
      <c r="BY89" s="5">
        <v>18.995360000000002</v>
      </c>
      <c r="BZ89" s="5">
        <v>0</v>
      </c>
      <c r="CA89" s="5">
        <v>0.933786</v>
      </c>
      <c r="CB89" s="5">
        <v>505.3648</v>
      </c>
      <c r="CC89" s="5">
        <v>516.91690000000006</v>
      </c>
      <c r="CD89" s="5">
        <v>41.777239999999999</v>
      </c>
      <c r="CE89" s="5">
        <v>322.68</v>
      </c>
      <c r="CF89" s="5">
        <v>66.13</v>
      </c>
      <c r="CG89" s="5">
        <v>78.73</v>
      </c>
      <c r="CH89" s="5">
        <v>380.96</v>
      </c>
      <c r="CI89" s="5">
        <v>378.36</v>
      </c>
      <c r="CJ89" s="5">
        <v>392.75</v>
      </c>
      <c r="CK89" s="5">
        <v>422.89</v>
      </c>
      <c r="CL89" s="5">
        <v>407.1</v>
      </c>
      <c r="CM89" s="5">
        <v>403.83</v>
      </c>
      <c r="CN89" s="5">
        <v>369.69</v>
      </c>
      <c r="CO89" s="5">
        <v>25.53</v>
      </c>
      <c r="CP89" s="5">
        <v>252.3</v>
      </c>
      <c r="CQ89" s="5">
        <v>253.05</v>
      </c>
      <c r="CR89" s="5">
        <v>4.5</v>
      </c>
      <c r="CS89" s="5">
        <v>4.5</v>
      </c>
      <c r="CT89" s="5">
        <v>22.65</v>
      </c>
      <c r="CU89" s="5">
        <v>22.46</v>
      </c>
      <c r="CV89" s="5">
        <v>101.57</v>
      </c>
      <c r="CW89" s="5">
        <v>0.84116941063770767</v>
      </c>
      <c r="CX89" s="5">
        <v>3.8525559007207013</v>
      </c>
    </row>
    <row r="90" spans="1:102" x14ac:dyDescent="0.25">
      <c r="A90" s="5">
        <v>9</v>
      </c>
      <c r="B90" s="23">
        <v>3.2001157407407409E-2</v>
      </c>
      <c r="C90" s="5">
        <v>11</v>
      </c>
      <c r="D90" s="5">
        <v>9</v>
      </c>
      <c r="E90" s="5">
        <v>245</v>
      </c>
      <c r="F90" s="5">
        <v>245</v>
      </c>
      <c r="G90" s="5">
        <v>245</v>
      </c>
      <c r="H90" s="5">
        <v>100</v>
      </c>
      <c r="I90" s="5">
        <v>100</v>
      </c>
      <c r="J90" s="5">
        <v>1890</v>
      </c>
      <c r="K90" s="5">
        <v>17</v>
      </c>
      <c r="L90" s="5">
        <v>17</v>
      </c>
      <c r="M90" s="5">
        <v>0.28999999999999998</v>
      </c>
      <c r="N90" s="5">
        <v>0.28996899999999998</v>
      </c>
      <c r="O90" s="5">
        <v>1</v>
      </c>
      <c r="P90" s="5">
        <v>1.069428</v>
      </c>
      <c r="Q90" s="5">
        <v>-3.38</v>
      </c>
      <c r="R90" s="5">
        <v>-3.3837890000000002</v>
      </c>
      <c r="S90" s="5">
        <v>127.02</v>
      </c>
      <c r="T90" s="5">
        <v>127.01560000000001</v>
      </c>
      <c r="U90" s="5">
        <v>3.5</v>
      </c>
      <c r="V90" s="5">
        <v>3.5</v>
      </c>
      <c r="W90" s="5">
        <v>300</v>
      </c>
      <c r="X90" s="5">
        <v>300</v>
      </c>
      <c r="Y90" s="5">
        <v>3.5</v>
      </c>
      <c r="Z90" s="5">
        <v>3.5</v>
      </c>
      <c r="AA90" s="5">
        <v>300</v>
      </c>
      <c r="AB90" s="5">
        <v>300</v>
      </c>
      <c r="AC90" s="5">
        <v>0</v>
      </c>
      <c r="AD90" s="5">
        <v>82.749849999999995</v>
      </c>
      <c r="AE90" s="5">
        <v>0</v>
      </c>
      <c r="AF90" s="5">
        <v>82.749849999999995</v>
      </c>
      <c r="AG90" s="5">
        <v>37</v>
      </c>
      <c r="AH90" s="5">
        <v>0.17</v>
      </c>
      <c r="AI90" s="5">
        <v>47.54</v>
      </c>
      <c r="AJ90" s="5">
        <v>63.57</v>
      </c>
      <c r="AK90" s="5">
        <v>40.61</v>
      </c>
      <c r="AL90" s="5">
        <v>40.86</v>
      </c>
      <c r="AM90" s="5">
        <v>442.78</v>
      </c>
      <c r="AN90" s="5">
        <v>122.8259</v>
      </c>
      <c r="AO90" s="5">
        <v>20.46</v>
      </c>
      <c r="AP90" s="5">
        <v>62.7</v>
      </c>
      <c r="AQ90" s="5">
        <v>30.8</v>
      </c>
      <c r="AR90" s="5">
        <v>372.76</v>
      </c>
      <c r="AS90" s="5">
        <v>20.149999999999999</v>
      </c>
      <c r="AT90" s="5">
        <v>57.28</v>
      </c>
      <c r="AU90" s="5">
        <v>102.51</v>
      </c>
      <c r="AV90" s="5">
        <v>111.54</v>
      </c>
      <c r="AW90" s="5">
        <v>0.73099999999999998</v>
      </c>
      <c r="AX90" s="5">
        <v>12</v>
      </c>
      <c r="AY90" s="5">
        <v>10000000000</v>
      </c>
      <c r="AZ90" s="5">
        <v>282.61</v>
      </c>
      <c r="BA90" s="5">
        <v>114.84</v>
      </c>
      <c r="BB90" s="5">
        <v>7.59</v>
      </c>
      <c r="BC90" s="5">
        <v>1.46</v>
      </c>
      <c r="BD90" s="5">
        <v>10.39</v>
      </c>
      <c r="BE90" s="5">
        <v>1.87</v>
      </c>
      <c r="BF90" s="5">
        <v>181.99</v>
      </c>
      <c r="BG90" s="5">
        <v>19.239999999999998</v>
      </c>
      <c r="BH90" s="5">
        <v>10000000000</v>
      </c>
      <c r="BI90" s="5">
        <v>261.5</v>
      </c>
      <c r="BJ90" s="5">
        <v>29.4</v>
      </c>
      <c r="BK90" s="5">
        <v>86.4</v>
      </c>
      <c r="BL90" s="5">
        <v>88.87</v>
      </c>
      <c r="BM90" s="5">
        <v>1.34</v>
      </c>
      <c r="BN90" s="5">
        <v>30.26</v>
      </c>
      <c r="BO90" s="5">
        <v>35.68</v>
      </c>
      <c r="BP90" s="5">
        <v>385.59</v>
      </c>
      <c r="BQ90" s="5">
        <v>58.450420000000001</v>
      </c>
      <c r="BR90" s="5">
        <v>136.88499999999999</v>
      </c>
      <c r="BS90" s="5">
        <v>79.667640000000006</v>
      </c>
      <c r="BT90" s="5">
        <v>60.45337</v>
      </c>
      <c r="BU90" s="5">
        <v>59.721640000000001</v>
      </c>
      <c r="BV90" s="5">
        <v>5.9531000000000001E-2</v>
      </c>
      <c r="BW90" s="5">
        <v>4.4236999999999999E-2</v>
      </c>
      <c r="BX90" s="5">
        <v>33.585680000000004</v>
      </c>
      <c r="BY90" s="5">
        <v>18.995360000000002</v>
      </c>
      <c r="BZ90" s="5">
        <v>0</v>
      </c>
      <c r="CA90" s="5">
        <v>0.93401900000000004</v>
      </c>
      <c r="CB90" s="5">
        <v>477.24520000000001</v>
      </c>
      <c r="CC90" s="5">
        <v>488.46289999999999</v>
      </c>
      <c r="CD90" s="5">
        <v>40.583849999999998</v>
      </c>
      <c r="CE90" s="5">
        <v>421.39</v>
      </c>
      <c r="CF90" s="5">
        <v>81.489999999999995</v>
      </c>
      <c r="CG90" s="5">
        <v>94.75</v>
      </c>
      <c r="CH90" s="5">
        <v>384.27</v>
      </c>
      <c r="CI90" s="5">
        <v>382.5</v>
      </c>
      <c r="CJ90" s="5">
        <v>395.46</v>
      </c>
      <c r="CK90" s="5">
        <v>429.79</v>
      </c>
      <c r="CL90" s="5">
        <v>414.13</v>
      </c>
      <c r="CM90" s="5">
        <v>415.46</v>
      </c>
      <c r="CN90" s="5">
        <v>376.96</v>
      </c>
      <c r="CO90" s="5">
        <v>26.86</v>
      </c>
      <c r="CP90" s="5">
        <v>244.5</v>
      </c>
      <c r="CQ90" s="5">
        <v>245.05</v>
      </c>
      <c r="CR90" s="5">
        <v>4.4000000000000004</v>
      </c>
      <c r="CS90" s="5">
        <v>4.4000000000000004</v>
      </c>
      <c r="CT90" s="5">
        <v>23.02</v>
      </c>
      <c r="CU90" s="5">
        <v>21.58</v>
      </c>
      <c r="CV90" s="5">
        <v>101.57</v>
      </c>
      <c r="CW90" s="5">
        <v>0.82988315505061616</v>
      </c>
      <c r="CX90" s="5">
        <v>1.5518814999446524</v>
      </c>
    </row>
    <row r="91" spans="1:102" x14ac:dyDescent="0.25">
      <c r="A91" s="5">
        <v>8</v>
      </c>
      <c r="B91" s="23">
        <v>2.6582175925925929E-2</v>
      </c>
      <c r="C91" s="5">
        <v>11</v>
      </c>
      <c r="D91" s="5">
        <v>8</v>
      </c>
      <c r="E91" s="5">
        <v>241</v>
      </c>
      <c r="F91" s="5">
        <v>241</v>
      </c>
      <c r="G91" s="5">
        <v>241.1</v>
      </c>
      <c r="H91" s="5">
        <v>100</v>
      </c>
      <c r="I91" s="5">
        <v>100</v>
      </c>
      <c r="J91" s="5">
        <v>1890</v>
      </c>
      <c r="K91" s="5">
        <v>37</v>
      </c>
      <c r="L91" s="5">
        <v>37</v>
      </c>
      <c r="M91" s="5">
        <v>7.0000000000000007E-2</v>
      </c>
      <c r="N91" s="5">
        <v>6.9989999999999997E-2</v>
      </c>
      <c r="O91" s="5">
        <v>1</v>
      </c>
      <c r="P91" s="5">
        <v>1.0694349999999999</v>
      </c>
      <c r="Q91" s="5">
        <v>-3.29</v>
      </c>
      <c r="R91" s="5">
        <v>-3.2849119999999998</v>
      </c>
      <c r="S91" s="5">
        <v>126.44</v>
      </c>
      <c r="T91" s="5">
        <v>126.4375</v>
      </c>
      <c r="U91" s="5">
        <v>3.5</v>
      </c>
      <c r="V91" s="5">
        <v>3.5</v>
      </c>
      <c r="W91" s="5">
        <v>300</v>
      </c>
      <c r="X91" s="5">
        <v>300</v>
      </c>
      <c r="Y91" s="5">
        <v>3.5</v>
      </c>
      <c r="Z91" s="5">
        <v>3.5</v>
      </c>
      <c r="AA91" s="5">
        <v>300</v>
      </c>
      <c r="AB91" s="5">
        <v>300</v>
      </c>
      <c r="AC91" s="5">
        <v>0</v>
      </c>
      <c r="AD91" s="5">
        <v>103.3556</v>
      </c>
      <c r="AE91" s="5">
        <v>0</v>
      </c>
      <c r="AF91" s="5">
        <v>103.3556</v>
      </c>
      <c r="AG91" s="5">
        <v>37</v>
      </c>
      <c r="AH91" s="5">
        <v>0.17</v>
      </c>
      <c r="AI91" s="5">
        <v>59.6</v>
      </c>
      <c r="AJ91" s="5">
        <v>88.49</v>
      </c>
      <c r="AK91" s="5">
        <v>94.79</v>
      </c>
      <c r="AL91" s="5">
        <v>96.73</v>
      </c>
      <c r="AM91" s="5">
        <v>382.46</v>
      </c>
      <c r="AN91" s="5">
        <v>154.4639</v>
      </c>
      <c r="AO91" s="5">
        <v>52.09</v>
      </c>
      <c r="AP91" s="5">
        <v>91.61</v>
      </c>
      <c r="AQ91" s="5">
        <v>67.14</v>
      </c>
      <c r="AR91" s="5">
        <v>532.73</v>
      </c>
      <c r="AS91" s="5">
        <v>42.7</v>
      </c>
      <c r="AT91" s="5">
        <v>57.69</v>
      </c>
      <c r="AU91" s="5">
        <v>94.96</v>
      </c>
      <c r="AV91" s="5">
        <v>115.44</v>
      </c>
      <c r="AW91" s="5">
        <v>0.17699999999999999</v>
      </c>
      <c r="AX91" s="5">
        <v>2.4500000000000002</v>
      </c>
      <c r="AY91" s="5">
        <v>10000000000</v>
      </c>
      <c r="AZ91" s="5">
        <v>121.02</v>
      </c>
      <c r="BA91" s="5">
        <v>78.959999999999994</v>
      </c>
      <c r="BB91" s="5">
        <v>5.38</v>
      </c>
      <c r="BC91" s="5">
        <v>0.4</v>
      </c>
      <c r="BD91" s="5">
        <v>13.36</v>
      </c>
      <c r="BE91" s="5">
        <v>5</v>
      </c>
      <c r="BF91" s="5">
        <v>320.64</v>
      </c>
      <c r="BG91" s="5">
        <v>7.53</v>
      </c>
      <c r="BH91" s="5">
        <v>10000000000</v>
      </c>
      <c r="BI91" s="5">
        <v>267</v>
      </c>
      <c r="BJ91" s="5">
        <v>41.8</v>
      </c>
      <c r="BK91" s="5">
        <v>88.5</v>
      </c>
      <c r="BL91" s="5">
        <v>43.38</v>
      </c>
      <c r="BM91" s="5">
        <v>1.64</v>
      </c>
      <c r="BN91" s="5">
        <v>29.33</v>
      </c>
      <c r="BO91" s="5">
        <v>33.729999999999997</v>
      </c>
      <c r="BP91" s="5">
        <v>545.6</v>
      </c>
      <c r="BQ91" s="5">
        <v>58.91234</v>
      </c>
      <c r="BR91" s="5">
        <v>197.0744</v>
      </c>
      <c r="BS91" s="5">
        <v>80.129009999999994</v>
      </c>
      <c r="BT91" s="5">
        <v>74.678309999999996</v>
      </c>
      <c r="BU91" s="5">
        <v>73.890569999999997</v>
      </c>
      <c r="BV91" s="5">
        <v>5.8777999999999997E-2</v>
      </c>
      <c r="BW91" s="5">
        <v>5.9687999999999998E-2</v>
      </c>
      <c r="BX91" s="5">
        <v>33.363329999999998</v>
      </c>
      <c r="BY91" s="5">
        <v>18.995360000000002</v>
      </c>
      <c r="BZ91" s="5">
        <v>0</v>
      </c>
      <c r="CA91" s="5">
        <v>0.93406100000000003</v>
      </c>
      <c r="CB91" s="5">
        <v>599.38729999999998</v>
      </c>
      <c r="CC91" s="5">
        <v>610.54380000000003</v>
      </c>
      <c r="CD91" s="5">
        <v>40.360520000000001</v>
      </c>
      <c r="CE91" s="5">
        <v>336.32</v>
      </c>
      <c r="CF91" s="5">
        <v>75.02</v>
      </c>
      <c r="CG91" s="5">
        <v>85.69</v>
      </c>
      <c r="CH91" s="5">
        <v>354.28</v>
      </c>
      <c r="CI91" s="5">
        <v>348.14</v>
      </c>
      <c r="CJ91" s="5">
        <v>360.3</v>
      </c>
      <c r="CK91" s="5">
        <v>380.2</v>
      </c>
      <c r="CL91" s="5">
        <v>366.06</v>
      </c>
      <c r="CM91" s="5">
        <v>370.21</v>
      </c>
      <c r="CN91" s="5">
        <v>300.7</v>
      </c>
      <c r="CO91" s="5">
        <v>25.72</v>
      </c>
      <c r="CP91" s="5">
        <v>240.4</v>
      </c>
      <c r="CQ91" s="5">
        <v>241.05</v>
      </c>
      <c r="CR91" s="5">
        <v>4.3</v>
      </c>
      <c r="CS91" s="5">
        <v>4.3</v>
      </c>
      <c r="CT91" s="5">
        <v>22.42</v>
      </c>
      <c r="CU91" s="5">
        <v>22.15</v>
      </c>
      <c r="CV91" s="5">
        <v>101.58</v>
      </c>
      <c r="CW91" s="5">
        <v>0.84786162619994931</v>
      </c>
      <c r="CX91" s="5">
        <v>4.2393081309997465</v>
      </c>
    </row>
    <row r="92" spans="1:102" x14ac:dyDescent="0.25">
      <c r="A92" s="5">
        <v>7</v>
      </c>
      <c r="B92" s="23">
        <v>2.1157407407407406E-2</v>
      </c>
      <c r="C92" s="5">
        <v>11</v>
      </c>
      <c r="D92" s="5">
        <v>7</v>
      </c>
      <c r="E92" s="5">
        <v>237</v>
      </c>
      <c r="F92" s="5">
        <v>237</v>
      </c>
      <c r="G92" s="5">
        <v>237</v>
      </c>
      <c r="H92" s="5">
        <v>100</v>
      </c>
      <c r="I92" s="5">
        <v>100</v>
      </c>
      <c r="J92" s="5">
        <v>1890</v>
      </c>
      <c r="K92" s="5">
        <v>62</v>
      </c>
      <c r="L92" s="5">
        <v>62</v>
      </c>
      <c r="M92" s="5">
        <v>0.2</v>
      </c>
      <c r="N92" s="5">
        <v>0.199958</v>
      </c>
      <c r="O92" s="5">
        <v>1</v>
      </c>
      <c r="P92" s="5">
        <v>1.0694459999999999</v>
      </c>
      <c r="Q92" s="5">
        <v>-3.2</v>
      </c>
      <c r="R92" s="5">
        <v>-3.1970209999999999</v>
      </c>
      <c r="S92" s="5">
        <v>125.86</v>
      </c>
      <c r="T92" s="5">
        <v>125.85939999999999</v>
      </c>
      <c r="U92" s="5">
        <v>3.5</v>
      </c>
      <c r="V92" s="5">
        <v>3.5</v>
      </c>
      <c r="W92" s="5">
        <v>300</v>
      </c>
      <c r="X92" s="5">
        <v>300</v>
      </c>
      <c r="Y92" s="5">
        <v>3.5</v>
      </c>
      <c r="Z92" s="5">
        <v>3.5</v>
      </c>
      <c r="AA92" s="5">
        <v>300</v>
      </c>
      <c r="AB92" s="5">
        <v>300</v>
      </c>
      <c r="AC92" s="5">
        <v>0</v>
      </c>
      <c r="AD92" s="5">
        <v>116.3122</v>
      </c>
      <c r="AE92" s="5">
        <v>0</v>
      </c>
      <c r="AF92" s="5">
        <v>116.3122</v>
      </c>
      <c r="AG92" s="5">
        <v>37</v>
      </c>
      <c r="AH92" s="5">
        <v>0.17</v>
      </c>
      <c r="AI92" s="5">
        <v>67.790000000000006</v>
      </c>
      <c r="AJ92" s="5">
        <v>94.89</v>
      </c>
      <c r="AK92" s="5">
        <v>150.80000000000001</v>
      </c>
      <c r="AL92" s="5">
        <v>149.96</v>
      </c>
      <c r="AM92" s="5">
        <v>379.06</v>
      </c>
      <c r="AN92" s="5">
        <v>180.37710000000001</v>
      </c>
      <c r="AO92" s="5">
        <v>78.900000000000006</v>
      </c>
      <c r="AP92" s="5">
        <v>108.76</v>
      </c>
      <c r="AQ92" s="5">
        <v>92.18</v>
      </c>
      <c r="AR92" s="5">
        <v>484.47</v>
      </c>
      <c r="AS92" s="5">
        <v>71.89</v>
      </c>
      <c r="AT92" s="5">
        <v>70.91</v>
      </c>
      <c r="AU92" s="5">
        <v>116.55</v>
      </c>
      <c r="AV92" s="5">
        <v>118.28</v>
      </c>
      <c r="AW92" s="5">
        <v>0.42599999999999999</v>
      </c>
      <c r="AX92" s="5">
        <v>6.38</v>
      </c>
      <c r="AY92" s="5">
        <v>10000000000</v>
      </c>
      <c r="AZ92" s="5">
        <v>170.97</v>
      </c>
      <c r="BA92" s="5">
        <v>91.26</v>
      </c>
      <c r="BB92" s="5">
        <v>6.11</v>
      </c>
      <c r="BC92" s="5">
        <v>1.59</v>
      </c>
      <c r="BD92" s="5">
        <v>12.37</v>
      </c>
      <c r="BE92" s="5">
        <v>2.16</v>
      </c>
      <c r="BF92" s="5">
        <v>152.41999999999999</v>
      </c>
      <c r="BG92" s="5">
        <v>25.98</v>
      </c>
      <c r="BH92" s="5">
        <v>10000000000</v>
      </c>
      <c r="BI92" s="5">
        <v>283.5</v>
      </c>
      <c r="BJ92" s="5">
        <v>36.4</v>
      </c>
      <c r="BK92" s="5">
        <v>85.8</v>
      </c>
      <c r="BL92" s="5">
        <v>169.87</v>
      </c>
      <c r="BM92" s="5">
        <v>1.92</v>
      </c>
      <c r="BN92" s="5">
        <v>30.39</v>
      </c>
      <c r="BO92" s="5">
        <v>34.43</v>
      </c>
      <c r="BP92" s="5">
        <v>497.26</v>
      </c>
      <c r="BQ92" s="5">
        <v>70.003439999999998</v>
      </c>
      <c r="BR92" s="5">
        <v>244.30680000000001</v>
      </c>
      <c r="BS92" s="5">
        <v>77.182169999999999</v>
      </c>
      <c r="BT92" s="5">
        <v>81.527810000000002</v>
      </c>
      <c r="BU92" s="5">
        <v>80.104740000000007</v>
      </c>
      <c r="BV92" s="5">
        <v>6.3575000000000007E-2</v>
      </c>
      <c r="BW92" s="5">
        <v>5.9430999999999998E-2</v>
      </c>
      <c r="BX92" s="5">
        <v>34.788699999999999</v>
      </c>
      <c r="BY92" s="5">
        <v>18.995360000000002</v>
      </c>
      <c r="BZ92" s="5">
        <v>0</v>
      </c>
      <c r="CA92" s="5">
        <v>0.93378399999999995</v>
      </c>
      <c r="CB92" s="5">
        <v>677.11040000000003</v>
      </c>
      <c r="CC92" s="5">
        <v>688.6694</v>
      </c>
      <c r="CD92" s="5">
        <v>41.786720000000003</v>
      </c>
      <c r="CE92" s="5">
        <v>376.03</v>
      </c>
      <c r="CF92" s="5">
        <v>94.63</v>
      </c>
      <c r="CG92" s="5">
        <v>109.98</v>
      </c>
      <c r="CH92" s="5">
        <v>359.63</v>
      </c>
      <c r="CI92" s="5">
        <v>350.25</v>
      </c>
      <c r="CJ92" s="5">
        <v>362.4</v>
      </c>
      <c r="CK92" s="5">
        <v>381.62</v>
      </c>
      <c r="CL92" s="5">
        <v>367.57</v>
      </c>
      <c r="CM92" s="5">
        <v>374.62</v>
      </c>
      <c r="CN92" s="5">
        <v>277.76</v>
      </c>
      <c r="CO92" s="5">
        <v>26.36</v>
      </c>
      <c r="CP92" s="5">
        <v>236.4</v>
      </c>
      <c r="CQ92" s="5">
        <v>237.05</v>
      </c>
      <c r="CR92" s="5">
        <v>4.2</v>
      </c>
      <c r="CS92" s="5">
        <v>4.2</v>
      </c>
      <c r="CT92" s="5">
        <v>22.49</v>
      </c>
      <c r="CU92" s="5">
        <v>22.17</v>
      </c>
      <c r="CV92" s="5">
        <v>101.59</v>
      </c>
      <c r="CW92" s="5">
        <v>0.84145456457266088</v>
      </c>
      <c r="CX92" s="5">
        <v>1.8175418594769477</v>
      </c>
    </row>
    <row r="93" spans="1:102" x14ac:dyDescent="0.25">
      <c r="A93" s="5">
        <v>6</v>
      </c>
      <c r="B93" s="23">
        <v>1.5734953703703706E-2</v>
      </c>
      <c r="C93" s="5">
        <v>11</v>
      </c>
      <c r="D93" s="5">
        <v>6</v>
      </c>
      <c r="E93" s="5">
        <v>229</v>
      </c>
      <c r="F93" s="5">
        <v>229</v>
      </c>
      <c r="G93" s="5">
        <v>229</v>
      </c>
      <c r="H93" s="5">
        <v>100</v>
      </c>
      <c r="I93" s="5">
        <v>100</v>
      </c>
      <c r="J93" s="5">
        <v>1890</v>
      </c>
      <c r="K93" s="5">
        <v>5</v>
      </c>
      <c r="L93" s="5">
        <v>5</v>
      </c>
      <c r="M93" s="5">
        <v>0.23</v>
      </c>
      <c r="N93" s="5">
        <v>0.229907</v>
      </c>
      <c r="O93" s="5">
        <v>1</v>
      </c>
      <c r="P93" s="5">
        <v>1.0694319999999999</v>
      </c>
      <c r="Q93" s="5">
        <v>-3.01</v>
      </c>
      <c r="R93" s="5">
        <v>-3.0102540000000002</v>
      </c>
      <c r="S93" s="5">
        <v>124.7</v>
      </c>
      <c r="T93" s="5">
        <v>124.70310000000001</v>
      </c>
      <c r="U93" s="5">
        <v>3.5</v>
      </c>
      <c r="V93" s="5">
        <v>3.5</v>
      </c>
      <c r="W93" s="5">
        <v>300</v>
      </c>
      <c r="X93" s="5">
        <v>300</v>
      </c>
      <c r="Y93" s="5">
        <v>3.5</v>
      </c>
      <c r="Z93" s="5">
        <v>3.5</v>
      </c>
      <c r="AA93" s="5">
        <v>300</v>
      </c>
      <c r="AB93" s="5">
        <v>300</v>
      </c>
      <c r="AC93" s="5">
        <v>0</v>
      </c>
      <c r="AD93" s="5">
        <v>78.431299999999993</v>
      </c>
      <c r="AE93" s="5">
        <v>0</v>
      </c>
      <c r="AF93" s="5">
        <v>78.431299999999993</v>
      </c>
      <c r="AG93" s="5">
        <v>37</v>
      </c>
      <c r="AH93" s="5">
        <v>0.17</v>
      </c>
      <c r="AI93" s="5">
        <v>44.94</v>
      </c>
      <c r="AJ93" s="5">
        <v>57.65</v>
      </c>
      <c r="AK93" s="5">
        <v>33.78</v>
      </c>
      <c r="AL93" s="5">
        <v>34.15</v>
      </c>
      <c r="AM93" s="5">
        <v>437.2</v>
      </c>
      <c r="AN93" s="5">
        <v>115.2058</v>
      </c>
      <c r="AO93" s="5">
        <v>12.91</v>
      </c>
      <c r="AP93" s="5">
        <v>55.03</v>
      </c>
      <c r="AQ93" s="5">
        <v>22.8</v>
      </c>
      <c r="AR93" s="5">
        <v>357.36</v>
      </c>
      <c r="AS93" s="5">
        <v>20.87</v>
      </c>
      <c r="AT93" s="5">
        <v>53.65</v>
      </c>
      <c r="AU93" s="5">
        <v>99.61</v>
      </c>
      <c r="AV93" s="5">
        <v>110.4</v>
      </c>
      <c r="AW93" s="5">
        <v>0.67</v>
      </c>
      <c r="AX93" s="5">
        <v>10.8</v>
      </c>
      <c r="AY93" s="5">
        <v>10000000000</v>
      </c>
      <c r="AZ93" s="5">
        <v>279.61</v>
      </c>
      <c r="BA93" s="5">
        <v>111.59</v>
      </c>
      <c r="BB93" s="5">
        <v>7.45</v>
      </c>
      <c r="BC93" s="5">
        <v>1.28</v>
      </c>
      <c r="BD93" s="5">
        <v>10.58</v>
      </c>
      <c r="BE93" s="5">
        <v>2.11</v>
      </c>
      <c r="BF93" s="5">
        <v>200.61</v>
      </c>
      <c r="BG93" s="5">
        <v>17.13</v>
      </c>
      <c r="BH93" s="5">
        <v>10000000000</v>
      </c>
      <c r="BI93" s="5">
        <v>264.89999999999998</v>
      </c>
      <c r="BJ93" s="5">
        <v>29.8</v>
      </c>
      <c r="BK93" s="5">
        <v>85.5</v>
      </c>
      <c r="BL93" s="5">
        <v>73.930000000000007</v>
      </c>
      <c r="BM93" s="5">
        <v>1.27</v>
      </c>
      <c r="BN93" s="5">
        <v>30.11</v>
      </c>
      <c r="BO93" s="5">
        <v>35.6</v>
      </c>
      <c r="BP93" s="5">
        <v>369.58</v>
      </c>
      <c r="BQ93" s="5">
        <v>55.368020000000001</v>
      </c>
      <c r="BR93" s="5">
        <v>131.35159999999999</v>
      </c>
      <c r="BS93" s="5">
        <v>83.037800000000004</v>
      </c>
      <c r="BT93" s="5">
        <v>60.235250000000001</v>
      </c>
      <c r="BU93" s="5">
        <v>62.240049999999997</v>
      </c>
      <c r="BV93" s="5">
        <v>5.5336999999999997E-2</v>
      </c>
      <c r="BW93" s="5">
        <v>5.1110000000000003E-2</v>
      </c>
      <c r="BX93" s="5">
        <v>31.187290000000001</v>
      </c>
      <c r="BY93" s="5">
        <v>18.995360000000002</v>
      </c>
      <c r="BZ93" s="5">
        <v>0</v>
      </c>
      <c r="CA93" s="5">
        <v>0.93421200000000004</v>
      </c>
      <c r="CB93" s="5">
        <v>451.93579999999997</v>
      </c>
      <c r="CC93" s="5">
        <v>462.49419999999998</v>
      </c>
      <c r="CD93" s="5">
        <v>38.185519999999997</v>
      </c>
      <c r="CE93" s="5">
        <v>409.88</v>
      </c>
      <c r="CF93" s="5">
        <v>79.27</v>
      </c>
      <c r="CG93" s="5">
        <v>91.19</v>
      </c>
      <c r="CH93" s="5">
        <v>384.49</v>
      </c>
      <c r="CI93" s="5">
        <v>379.29</v>
      </c>
      <c r="CJ93" s="5">
        <v>392.3</v>
      </c>
      <c r="CK93" s="5">
        <v>427.28</v>
      </c>
      <c r="CL93" s="5">
        <v>406.58</v>
      </c>
      <c r="CM93" s="5">
        <v>405.02</v>
      </c>
      <c r="CN93" s="5">
        <v>378.25</v>
      </c>
      <c r="CO93" s="5">
        <v>26.05</v>
      </c>
      <c r="CP93" s="5">
        <v>228.4</v>
      </c>
      <c r="CQ93" s="5">
        <v>229.05</v>
      </c>
      <c r="CR93" s="5">
        <v>4.0999999999999996</v>
      </c>
      <c r="CS93" s="5">
        <v>4.0999999999999996</v>
      </c>
      <c r="CT93" s="5">
        <v>22.44</v>
      </c>
      <c r="CU93" s="5">
        <v>22.4</v>
      </c>
      <c r="CV93" s="5">
        <v>101.6</v>
      </c>
      <c r="CW93" s="5">
        <v>0.83049120685907563</v>
      </c>
      <c r="CX93" s="5">
        <v>1.7523364464726494</v>
      </c>
    </row>
    <row r="94" spans="1:102" x14ac:dyDescent="0.25">
      <c r="A94" s="5">
        <v>4</v>
      </c>
      <c r="B94" s="23">
        <v>4.8865740740740744E-3</v>
      </c>
      <c r="C94" s="5">
        <v>11</v>
      </c>
      <c r="D94" s="5">
        <v>4</v>
      </c>
      <c r="E94" s="5">
        <v>214</v>
      </c>
      <c r="F94" s="5">
        <v>214</v>
      </c>
      <c r="G94" s="5">
        <v>214.1</v>
      </c>
      <c r="H94" s="5">
        <v>100</v>
      </c>
      <c r="I94" s="5">
        <v>100</v>
      </c>
      <c r="J94" s="5">
        <v>1890</v>
      </c>
      <c r="K94" s="5">
        <v>70</v>
      </c>
      <c r="L94" s="5">
        <v>70</v>
      </c>
      <c r="M94" s="5">
        <v>0.1</v>
      </c>
      <c r="N94" s="5">
        <v>0.100037</v>
      </c>
      <c r="O94" s="5">
        <v>1</v>
      </c>
      <c r="P94" s="5">
        <v>1.0694140000000001</v>
      </c>
      <c r="Q94" s="5">
        <v>-2.67</v>
      </c>
      <c r="R94" s="5">
        <v>-2.6696780000000002</v>
      </c>
      <c r="S94" s="5">
        <v>122.52</v>
      </c>
      <c r="T94" s="5">
        <v>122.51560000000001</v>
      </c>
      <c r="U94" s="5">
        <v>3.5</v>
      </c>
      <c r="V94" s="5">
        <v>3.5</v>
      </c>
      <c r="W94" s="5">
        <v>300</v>
      </c>
      <c r="X94" s="5">
        <v>300</v>
      </c>
      <c r="Y94" s="5">
        <v>3.5</v>
      </c>
      <c r="Z94" s="5">
        <v>3.5</v>
      </c>
      <c r="AA94" s="5">
        <v>300</v>
      </c>
      <c r="AB94" s="5">
        <v>300</v>
      </c>
      <c r="AC94" s="5">
        <v>0</v>
      </c>
      <c r="AD94" s="5">
        <v>146.35329999999999</v>
      </c>
      <c r="AE94" s="5">
        <v>0</v>
      </c>
      <c r="AF94" s="5">
        <v>122.4853</v>
      </c>
      <c r="AG94" s="5">
        <v>37</v>
      </c>
      <c r="AH94" s="5">
        <v>0.17</v>
      </c>
      <c r="AI94" s="5">
        <v>82.62</v>
      </c>
      <c r="AJ94" s="5">
        <v>114.46</v>
      </c>
      <c r="AK94" s="5">
        <v>289.17</v>
      </c>
      <c r="AL94" s="5">
        <v>289.92</v>
      </c>
      <c r="AM94" s="5">
        <v>379.38</v>
      </c>
      <c r="AN94" s="5">
        <v>223.6328</v>
      </c>
      <c r="AO94" s="5">
        <v>122.15</v>
      </c>
      <c r="AP94" s="5">
        <v>140.46</v>
      </c>
      <c r="AQ94" s="5">
        <v>139.87</v>
      </c>
      <c r="AR94" s="5">
        <v>654.79</v>
      </c>
      <c r="AS94" s="5">
        <v>167.02</v>
      </c>
      <c r="AT94" s="5">
        <v>64.94</v>
      </c>
      <c r="AU94" s="5">
        <v>109.38</v>
      </c>
      <c r="AV94" s="5">
        <v>118.51</v>
      </c>
      <c r="AW94" s="5">
        <v>0.15</v>
      </c>
      <c r="AX94" s="5">
        <v>2.06</v>
      </c>
      <c r="AY94" s="5">
        <v>10000000000</v>
      </c>
      <c r="AZ94" s="5">
        <v>87.37</v>
      </c>
      <c r="BA94" s="5">
        <v>56.22</v>
      </c>
      <c r="BB94" s="5">
        <v>4.9000000000000004</v>
      </c>
      <c r="BC94" s="5">
        <v>0.88</v>
      </c>
      <c r="BD94" s="5">
        <v>14.02</v>
      </c>
      <c r="BE94" s="5">
        <v>4.59</v>
      </c>
      <c r="BF94" s="5">
        <v>210.54</v>
      </c>
      <c r="BG94" s="5">
        <v>17.920000000000002</v>
      </c>
      <c r="BH94" s="5">
        <v>10000000000</v>
      </c>
      <c r="BI94" s="5">
        <v>338.8</v>
      </c>
      <c r="BJ94" s="5">
        <v>45.6</v>
      </c>
      <c r="BK94" s="5">
        <v>84.7</v>
      </c>
      <c r="BL94" s="5">
        <v>143</v>
      </c>
      <c r="BM94" s="5">
        <v>2.37</v>
      </c>
      <c r="BN94" s="5">
        <v>29.75</v>
      </c>
      <c r="BO94" s="5">
        <v>33.340000000000003</v>
      </c>
      <c r="BP94" s="5">
        <v>669.31</v>
      </c>
      <c r="BQ94" s="5">
        <v>65.223590000000002</v>
      </c>
      <c r="BR94" s="5">
        <v>389.12119999999999</v>
      </c>
      <c r="BS94" s="5">
        <v>72.116259999999997</v>
      </c>
      <c r="BT94" s="5">
        <v>97.87</v>
      </c>
      <c r="BU94" s="5">
        <v>94.048959999999994</v>
      </c>
      <c r="BV94" s="5">
        <v>7.1818999999999994E-2</v>
      </c>
      <c r="BW94" s="5">
        <v>5.1626999999999999E-2</v>
      </c>
      <c r="BX94" s="5">
        <v>37.242130000000003</v>
      </c>
      <c r="BY94" s="5">
        <v>18.995360000000002</v>
      </c>
      <c r="BZ94" s="5">
        <v>0</v>
      </c>
      <c r="CA94" s="5">
        <v>0.93331500000000001</v>
      </c>
      <c r="CB94" s="5">
        <v>850.9316</v>
      </c>
      <c r="CC94" s="5">
        <v>863.16920000000005</v>
      </c>
      <c r="CD94" s="5">
        <v>44.237549999999999</v>
      </c>
      <c r="CE94" s="5">
        <v>367.03</v>
      </c>
      <c r="CF94" s="5">
        <v>88.92</v>
      </c>
      <c r="CG94" s="5">
        <v>102.66</v>
      </c>
      <c r="CH94" s="5">
        <v>355.77</v>
      </c>
      <c r="CI94" s="5">
        <v>349.01</v>
      </c>
      <c r="CJ94" s="5">
        <v>356.66</v>
      </c>
      <c r="CK94" s="5">
        <v>377.75</v>
      </c>
      <c r="CL94" s="5">
        <v>368.46</v>
      </c>
      <c r="CM94" s="5">
        <v>381.21</v>
      </c>
      <c r="CN94" s="5">
        <v>245</v>
      </c>
      <c r="CO94" s="5">
        <v>25.32</v>
      </c>
      <c r="CP94" s="5">
        <v>213.3</v>
      </c>
      <c r="CQ94" s="5">
        <v>214.05</v>
      </c>
      <c r="CR94" s="5">
        <v>3.8</v>
      </c>
      <c r="CS94" s="5">
        <v>3.8</v>
      </c>
      <c r="CT94" s="5">
        <v>21.56</v>
      </c>
      <c r="CU94" s="5">
        <v>23.31</v>
      </c>
      <c r="CV94" s="5">
        <v>101.62</v>
      </c>
      <c r="CW94" s="5">
        <v>0.85152812394946931</v>
      </c>
      <c r="CX94" s="5">
        <v>3.9085140889280638</v>
      </c>
    </row>
    <row r="95" spans="1:102" x14ac:dyDescent="0.25">
      <c r="A95" s="5">
        <v>3</v>
      </c>
      <c r="B95" s="23">
        <v>4.1222222222222223E-2</v>
      </c>
      <c r="C95" s="5">
        <v>11</v>
      </c>
      <c r="D95" s="5">
        <v>3</v>
      </c>
      <c r="E95" s="5">
        <v>210</v>
      </c>
      <c r="F95" s="5">
        <v>210</v>
      </c>
      <c r="G95" s="5">
        <v>210.1</v>
      </c>
      <c r="H95" s="5">
        <v>100</v>
      </c>
      <c r="I95" s="5">
        <v>100</v>
      </c>
      <c r="J95" s="5">
        <v>1890</v>
      </c>
      <c r="K95" s="5">
        <v>5</v>
      </c>
      <c r="L95" s="5">
        <v>5</v>
      </c>
      <c r="M95" s="5">
        <v>0.28999999999999998</v>
      </c>
      <c r="N95" s="5">
        <v>0.28990199999999999</v>
      </c>
      <c r="O95" s="5">
        <v>1</v>
      </c>
      <c r="P95" s="5">
        <v>1.0694859999999999</v>
      </c>
      <c r="Q95" s="5">
        <v>-2.58</v>
      </c>
      <c r="R95" s="5">
        <v>-2.5817869999999998</v>
      </c>
      <c r="S95" s="5">
        <v>121.94</v>
      </c>
      <c r="T95" s="5">
        <v>121.9375</v>
      </c>
      <c r="U95" s="5">
        <v>3.5</v>
      </c>
      <c r="V95" s="5">
        <v>3.5</v>
      </c>
      <c r="W95" s="5">
        <v>300</v>
      </c>
      <c r="X95" s="5">
        <v>300</v>
      </c>
      <c r="Y95" s="5">
        <v>3.5</v>
      </c>
      <c r="Z95" s="5">
        <v>3.5</v>
      </c>
      <c r="AA95" s="5">
        <v>300</v>
      </c>
      <c r="AB95" s="5">
        <v>300</v>
      </c>
      <c r="AC95" s="5">
        <v>0</v>
      </c>
      <c r="AD95" s="5">
        <v>76.292400000000001</v>
      </c>
      <c r="AE95" s="5">
        <v>0</v>
      </c>
      <c r="AF95" s="5">
        <v>76.292400000000001</v>
      </c>
      <c r="AG95" s="5">
        <v>37</v>
      </c>
      <c r="AH95" s="5">
        <v>0.17</v>
      </c>
      <c r="AI95" s="5">
        <v>43.95</v>
      </c>
      <c r="AJ95" s="5">
        <v>55.36</v>
      </c>
      <c r="AK95" s="5">
        <v>30.6</v>
      </c>
      <c r="AL95" s="5">
        <v>30.38</v>
      </c>
      <c r="AM95" s="5">
        <v>418.16</v>
      </c>
      <c r="AN95" s="5">
        <v>113.2178</v>
      </c>
      <c r="AO95" s="5">
        <v>11.31</v>
      </c>
      <c r="AP95" s="5">
        <v>51.74</v>
      </c>
      <c r="AQ95" s="5">
        <v>20.59</v>
      </c>
      <c r="AR95" s="5">
        <v>338.3</v>
      </c>
      <c r="AS95" s="5">
        <v>19.29</v>
      </c>
      <c r="AT95" s="5">
        <v>57.78</v>
      </c>
      <c r="AU95" s="5">
        <v>100.89</v>
      </c>
      <c r="AV95" s="5">
        <v>119.62</v>
      </c>
      <c r="AW95" s="5">
        <v>0.84099999999999997</v>
      </c>
      <c r="AX95" s="5">
        <v>14.28</v>
      </c>
      <c r="AY95" s="5">
        <v>10000000000</v>
      </c>
      <c r="AZ95" s="5">
        <v>305.73</v>
      </c>
      <c r="BA95" s="5">
        <v>126.14</v>
      </c>
      <c r="BB95" s="5">
        <v>7.35</v>
      </c>
      <c r="BC95" s="5">
        <v>1.45</v>
      </c>
      <c r="BD95" s="5">
        <v>10.74</v>
      </c>
      <c r="BE95" s="5">
        <v>1.96</v>
      </c>
      <c r="BF95" s="5">
        <v>179.96</v>
      </c>
      <c r="BG95" s="5">
        <v>19.77</v>
      </c>
      <c r="BH95" s="5">
        <v>10000000000</v>
      </c>
      <c r="BI95" s="5">
        <v>269.60000000000002</v>
      </c>
      <c r="BJ95" s="5">
        <v>30.2</v>
      </c>
      <c r="BK95" s="5">
        <v>85.4</v>
      </c>
      <c r="BL95" s="5">
        <v>83.38</v>
      </c>
      <c r="BM95" s="5">
        <v>1.24</v>
      </c>
      <c r="BN95" s="5">
        <v>30.26</v>
      </c>
      <c r="BO95" s="5">
        <v>35.51</v>
      </c>
      <c r="BP95" s="5">
        <v>349.63</v>
      </c>
      <c r="BQ95" s="5">
        <v>58.979529999999997</v>
      </c>
      <c r="BR95" s="5">
        <v>126.9999</v>
      </c>
      <c r="BS95" s="5">
        <v>85.897059999999996</v>
      </c>
      <c r="BT95" s="5">
        <v>63.187849999999997</v>
      </c>
      <c r="BU95" s="5">
        <v>64.37724</v>
      </c>
      <c r="BV95" s="5">
        <v>5.2392000000000001E-2</v>
      </c>
      <c r="BW95" s="5">
        <v>4.3340999999999998E-2</v>
      </c>
      <c r="BX95" s="5">
        <v>28.790890000000001</v>
      </c>
      <c r="BY95" s="5">
        <v>18.995360000000002</v>
      </c>
      <c r="BZ95" s="5">
        <v>0</v>
      </c>
      <c r="CA95" s="5">
        <v>0.93432400000000004</v>
      </c>
      <c r="CB95" s="5">
        <v>439.35419999999999</v>
      </c>
      <c r="CC95" s="5">
        <v>449.23829999999998</v>
      </c>
      <c r="CD95" s="5">
        <v>35.785519999999998</v>
      </c>
      <c r="CE95" s="5">
        <v>396.49</v>
      </c>
      <c r="CF95" s="5">
        <v>80.209999999999994</v>
      </c>
      <c r="CG95" s="5">
        <v>92.86</v>
      </c>
      <c r="CH95" s="5">
        <v>373.77</v>
      </c>
      <c r="CI95" s="5">
        <v>366.68</v>
      </c>
      <c r="CJ95" s="5">
        <v>378.17</v>
      </c>
      <c r="CK95" s="5">
        <v>411.32</v>
      </c>
      <c r="CL95" s="5">
        <v>390.68</v>
      </c>
      <c r="CM95" s="5">
        <v>390.59</v>
      </c>
      <c r="CN95" s="5">
        <v>361.67</v>
      </c>
      <c r="CO95" s="5">
        <v>24.85</v>
      </c>
      <c r="CP95" s="5">
        <v>209.3</v>
      </c>
      <c r="CQ95" s="5">
        <v>210.05</v>
      </c>
      <c r="CR95" s="5">
        <v>3.8</v>
      </c>
      <c r="CS95" s="5">
        <v>3.8</v>
      </c>
      <c r="CT95" s="5">
        <v>21.55</v>
      </c>
      <c r="CU95" s="5">
        <v>23.95</v>
      </c>
      <c r="CV95" s="5">
        <v>101.63</v>
      </c>
      <c r="CW95" s="5">
        <v>0.83192491831171056</v>
      </c>
      <c r="CX95" s="5">
        <v>1.6305728398909527</v>
      </c>
    </row>
    <row r="96" spans="1:102" x14ac:dyDescent="0.25">
      <c r="A96" s="5">
        <v>2</v>
      </c>
      <c r="B96" s="23">
        <v>3.5788194444444442E-2</v>
      </c>
      <c r="C96" s="5">
        <v>11</v>
      </c>
      <c r="D96" s="5">
        <v>2</v>
      </c>
      <c r="E96" s="5">
        <v>206</v>
      </c>
      <c r="F96" s="5">
        <v>206</v>
      </c>
      <c r="G96" s="5">
        <v>206.1</v>
      </c>
      <c r="H96" s="5">
        <v>100</v>
      </c>
      <c r="I96" s="5">
        <v>100</v>
      </c>
      <c r="J96" s="5">
        <v>1890</v>
      </c>
      <c r="K96" s="5">
        <v>25</v>
      </c>
      <c r="L96" s="5">
        <v>25</v>
      </c>
      <c r="M96" s="5">
        <v>0.14000000000000001</v>
      </c>
      <c r="N96" s="5">
        <v>0.139985</v>
      </c>
      <c r="O96" s="5">
        <v>1</v>
      </c>
      <c r="P96" s="5">
        <v>1.0693790000000001</v>
      </c>
      <c r="Q96" s="5">
        <v>-2.48</v>
      </c>
      <c r="R96" s="5">
        <v>-2.48291</v>
      </c>
      <c r="S96" s="5">
        <v>121.36</v>
      </c>
      <c r="T96" s="5">
        <v>121.35939999999999</v>
      </c>
      <c r="U96" s="5">
        <v>3.5</v>
      </c>
      <c r="V96" s="5">
        <v>3.5</v>
      </c>
      <c r="W96" s="5">
        <v>300</v>
      </c>
      <c r="X96" s="5">
        <v>300</v>
      </c>
      <c r="Y96" s="5">
        <v>3.5</v>
      </c>
      <c r="Z96" s="5">
        <v>3.5</v>
      </c>
      <c r="AA96" s="5">
        <v>300</v>
      </c>
      <c r="AB96" s="5">
        <v>300</v>
      </c>
      <c r="AC96" s="5">
        <v>0</v>
      </c>
      <c r="AD96" s="5">
        <v>84.294690000000003</v>
      </c>
      <c r="AE96" s="5">
        <v>0</v>
      </c>
      <c r="AF96" s="5">
        <v>84.294690000000003</v>
      </c>
      <c r="AG96" s="5">
        <v>37</v>
      </c>
      <c r="AH96" s="5">
        <v>0.17</v>
      </c>
      <c r="AI96" s="5">
        <v>48.97</v>
      </c>
      <c r="AJ96" s="5">
        <v>67.69</v>
      </c>
      <c r="AK96" s="5">
        <v>49.21</v>
      </c>
      <c r="AL96" s="5">
        <v>49.84</v>
      </c>
      <c r="AM96" s="5">
        <v>385.83</v>
      </c>
      <c r="AN96" s="5">
        <v>125.8516</v>
      </c>
      <c r="AO96" s="5">
        <v>23.86</v>
      </c>
      <c r="AP96" s="5">
        <v>63.91</v>
      </c>
      <c r="AQ96" s="5">
        <v>35.08</v>
      </c>
      <c r="AR96" s="5">
        <v>406.65</v>
      </c>
      <c r="AS96" s="5">
        <v>25.35</v>
      </c>
      <c r="AT96" s="5">
        <v>59.21</v>
      </c>
      <c r="AU96" s="5">
        <v>96.3</v>
      </c>
      <c r="AV96" s="5">
        <v>112</v>
      </c>
      <c r="AW96" s="5">
        <v>0.38300000000000001</v>
      </c>
      <c r="AX96" s="5">
        <v>5.65</v>
      </c>
      <c r="AY96" s="5">
        <v>10000000000</v>
      </c>
      <c r="AZ96" s="5">
        <v>180.12</v>
      </c>
      <c r="BA96" s="5">
        <v>95.88</v>
      </c>
      <c r="BB96" s="5">
        <v>6.08</v>
      </c>
      <c r="BC96" s="5">
        <v>0.8</v>
      </c>
      <c r="BD96" s="5">
        <v>12.47</v>
      </c>
      <c r="BE96" s="5">
        <v>3.6</v>
      </c>
      <c r="BF96" s="5">
        <v>262.89</v>
      </c>
      <c r="BG96" s="5">
        <v>13.22</v>
      </c>
      <c r="BH96" s="5">
        <v>10000000000</v>
      </c>
      <c r="BI96" s="5">
        <v>271.39999999999998</v>
      </c>
      <c r="BJ96" s="5">
        <v>36.700000000000003</v>
      </c>
      <c r="BK96" s="5">
        <v>87.4</v>
      </c>
      <c r="BL96" s="5">
        <v>61.91</v>
      </c>
      <c r="BM96" s="5">
        <v>1.35</v>
      </c>
      <c r="BN96" s="5">
        <v>29.68</v>
      </c>
      <c r="BO96" s="5">
        <v>34.380000000000003</v>
      </c>
      <c r="BP96" s="5">
        <v>417.64</v>
      </c>
      <c r="BQ96" s="5">
        <v>60.323230000000002</v>
      </c>
      <c r="BR96" s="5">
        <v>148.69110000000001</v>
      </c>
      <c r="BS96" s="5">
        <v>87.13297</v>
      </c>
      <c r="BT96" s="5">
        <v>70.642709999999994</v>
      </c>
      <c r="BU96" s="5">
        <v>70.358249999999998</v>
      </c>
      <c r="BV96" s="5">
        <v>5.1454E-2</v>
      </c>
      <c r="BW96" s="5">
        <v>5.7328999999999998E-2</v>
      </c>
      <c r="BX96" s="5">
        <v>27.753489999999999</v>
      </c>
      <c r="BY96" s="5">
        <v>18.995360000000002</v>
      </c>
      <c r="BZ96" s="5">
        <v>0</v>
      </c>
      <c r="CA96" s="5">
        <v>0.93436900000000001</v>
      </c>
      <c r="CB96" s="5">
        <v>486.43329999999997</v>
      </c>
      <c r="CC96" s="5">
        <v>496.0256</v>
      </c>
      <c r="CD96" s="5">
        <v>34.750520000000002</v>
      </c>
      <c r="CE96" s="5">
        <v>358.59</v>
      </c>
      <c r="CF96" s="5">
        <v>76.83</v>
      </c>
      <c r="CG96" s="5">
        <v>88.99</v>
      </c>
      <c r="CH96" s="5">
        <v>356.59</v>
      </c>
      <c r="CI96" s="5">
        <v>344.05</v>
      </c>
      <c r="CJ96" s="5">
        <v>355.13</v>
      </c>
      <c r="CK96" s="5">
        <v>388.89</v>
      </c>
      <c r="CL96" s="5">
        <v>364.34</v>
      </c>
      <c r="CM96" s="5">
        <v>364.14</v>
      </c>
      <c r="CN96" s="5">
        <v>324.42</v>
      </c>
      <c r="CO96" s="5">
        <v>24.36</v>
      </c>
      <c r="CP96" s="5">
        <v>205.3</v>
      </c>
      <c r="CQ96" s="5">
        <v>206.05</v>
      </c>
      <c r="CR96" s="5">
        <v>3.7</v>
      </c>
      <c r="CS96" s="5">
        <v>3.7</v>
      </c>
      <c r="CT96" s="5">
        <v>21</v>
      </c>
      <c r="CU96" s="5">
        <v>23.74</v>
      </c>
      <c r="CV96" s="5">
        <v>101.65</v>
      </c>
      <c r="CW96" s="5">
        <v>0.84073132956115859</v>
      </c>
      <c r="CX96" s="5">
        <v>3.026632786420171</v>
      </c>
    </row>
  </sheetData>
  <sortState ref="A2:CX11">
    <sortCondition ref="AW2:AW1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1"/>
  <sheetViews>
    <sheetView workbookViewId="0">
      <selection activeCell="G33" sqref="G33"/>
    </sheetView>
  </sheetViews>
  <sheetFormatPr defaultRowHeight="15" x14ac:dyDescent="0.25"/>
  <sheetData>
    <row r="1" spans="1:102" s="1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108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109</v>
      </c>
      <c r="CU1" s="1" t="s">
        <v>110</v>
      </c>
      <c r="CV1" s="1" t="s">
        <v>111</v>
      </c>
      <c r="CW1" s="6" t="s">
        <v>113</v>
      </c>
      <c r="CX1" s="6" t="s">
        <v>112</v>
      </c>
    </row>
    <row r="2" spans="1:102" s="13" customFormat="1" x14ac:dyDescent="0.25">
      <c r="A2" s="13">
        <v>2</v>
      </c>
      <c r="B2" s="14">
        <v>41414.543702708332</v>
      </c>
      <c r="C2" s="13">
        <v>1</v>
      </c>
      <c r="D2" s="13">
        <v>2</v>
      </c>
      <c r="E2" s="13">
        <v>94</v>
      </c>
      <c r="F2" s="13">
        <v>94</v>
      </c>
      <c r="G2" s="13">
        <v>94</v>
      </c>
      <c r="H2" s="13">
        <v>82.6</v>
      </c>
      <c r="I2" s="13">
        <v>82.6</v>
      </c>
      <c r="J2" s="13">
        <v>1701</v>
      </c>
      <c r="K2" s="13">
        <v>82</v>
      </c>
      <c r="L2" s="13">
        <v>82</v>
      </c>
      <c r="M2" s="13">
        <v>0.14000000000000001</v>
      </c>
      <c r="N2" s="13">
        <v>0.13997699999999999</v>
      </c>
      <c r="O2" s="13">
        <v>1</v>
      </c>
      <c r="P2" s="13">
        <v>1.069339</v>
      </c>
      <c r="Q2" s="13">
        <v>2.2000000000000002</v>
      </c>
      <c r="R2" s="13">
        <v>2.1972659999999999</v>
      </c>
      <c r="S2" s="13">
        <v>101.65</v>
      </c>
      <c r="T2" s="13">
        <v>101.6563</v>
      </c>
      <c r="U2" s="13">
        <v>3.5</v>
      </c>
      <c r="V2" s="13">
        <v>3.5</v>
      </c>
      <c r="W2" s="13">
        <v>305.76</v>
      </c>
      <c r="X2" s="13">
        <v>306</v>
      </c>
      <c r="Y2" s="13">
        <v>0</v>
      </c>
      <c r="Z2" s="13">
        <v>0</v>
      </c>
      <c r="AA2" s="13">
        <v>300</v>
      </c>
      <c r="AB2" s="13">
        <v>300</v>
      </c>
      <c r="AC2" s="13">
        <v>0</v>
      </c>
      <c r="AD2" s="13">
        <v>104.1242</v>
      </c>
      <c r="AE2" s="13">
        <v>0</v>
      </c>
      <c r="AF2" s="13">
        <v>104.1242</v>
      </c>
      <c r="AG2" s="13">
        <v>49.64</v>
      </c>
      <c r="AH2" s="13">
        <v>0.22</v>
      </c>
      <c r="AI2" s="13">
        <v>57.56</v>
      </c>
      <c r="AJ2" s="13">
        <v>79.2</v>
      </c>
      <c r="AK2" s="13">
        <v>202.8</v>
      </c>
      <c r="AL2" s="13">
        <v>202.28</v>
      </c>
      <c r="AM2" s="13">
        <v>330.06</v>
      </c>
      <c r="AN2" s="13">
        <v>154.81379999999999</v>
      </c>
      <c r="AO2" s="13">
        <v>55.08</v>
      </c>
      <c r="AP2" s="13">
        <v>86.79</v>
      </c>
      <c r="AQ2" s="13">
        <v>62.7</v>
      </c>
      <c r="AR2" s="13">
        <v>344.29</v>
      </c>
      <c r="AS2" s="13">
        <v>147.72</v>
      </c>
      <c r="AT2" s="13">
        <v>60.03</v>
      </c>
      <c r="AU2" s="13">
        <v>102.87</v>
      </c>
      <c r="AV2" s="13">
        <v>114.39</v>
      </c>
      <c r="AW2" s="13">
        <v>1.091</v>
      </c>
      <c r="AX2" s="13">
        <v>20.02</v>
      </c>
      <c r="AY2" s="13">
        <v>10000000000</v>
      </c>
      <c r="AZ2" s="13">
        <v>463.68</v>
      </c>
      <c r="BA2" s="13">
        <v>45.51</v>
      </c>
      <c r="BB2" s="13">
        <v>5.13</v>
      </c>
      <c r="BC2" s="13">
        <v>1.53</v>
      </c>
      <c r="BD2" s="13">
        <v>13.49</v>
      </c>
      <c r="BE2" s="13">
        <v>4.76</v>
      </c>
      <c r="BF2" s="13">
        <v>165.18</v>
      </c>
      <c r="BG2" s="13">
        <v>29.81</v>
      </c>
      <c r="BH2" s="13">
        <v>10000000000</v>
      </c>
      <c r="BI2" s="13">
        <v>473.7</v>
      </c>
      <c r="BJ2" s="13">
        <v>43.4</v>
      </c>
      <c r="BK2" s="13">
        <v>80.400000000000006</v>
      </c>
      <c r="BL2" s="13">
        <v>146.16999999999999</v>
      </c>
      <c r="BM2" s="13">
        <v>1.7</v>
      </c>
      <c r="BN2" s="13">
        <v>30.34</v>
      </c>
      <c r="BO2" s="13">
        <v>33.57</v>
      </c>
      <c r="BP2" s="13">
        <v>352.02</v>
      </c>
      <c r="BQ2" s="13">
        <v>59.658909999999999</v>
      </c>
      <c r="BR2" s="13">
        <v>293.4597</v>
      </c>
      <c r="BS2" s="13">
        <v>101.2615</v>
      </c>
      <c r="BT2" s="13">
        <v>109.812</v>
      </c>
      <c r="BU2" s="13">
        <v>107.81780000000001</v>
      </c>
      <c r="BV2" s="13">
        <v>3.9015000000000001E-2</v>
      </c>
      <c r="BW2" s="13">
        <v>3.5776000000000002E-2</v>
      </c>
      <c r="BX2" s="13">
        <v>25.018129999999999</v>
      </c>
      <c r="BY2" s="13">
        <v>18.995360000000002</v>
      </c>
      <c r="BZ2" s="13">
        <v>0</v>
      </c>
      <c r="CA2" s="13">
        <v>0.93669400000000003</v>
      </c>
      <c r="CB2" s="13">
        <v>541.02980000000002</v>
      </c>
      <c r="CC2" s="13">
        <v>548.101</v>
      </c>
      <c r="CD2" s="13">
        <v>28.520990000000001</v>
      </c>
      <c r="CE2" s="13">
        <v>304.45</v>
      </c>
      <c r="CF2" s="13">
        <v>82.38</v>
      </c>
      <c r="CG2" s="13">
        <v>97.13</v>
      </c>
      <c r="CH2" s="13">
        <v>293.85000000000002</v>
      </c>
      <c r="CI2" s="13">
        <v>304.91000000000003</v>
      </c>
      <c r="CJ2" s="13">
        <v>310.16000000000003</v>
      </c>
      <c r="CK2" s="13">
        <v>312.22000000000003</v>
      </c>
      <c r="CL2" s="13">
        <v>311.04000000000002</v>
      </c>
      <c r="CM2" s="13">
        <v>305.70999999999998</v>
      </c>
      <c r="CN2" s="13">
        <v>241.28</v>
      </c>
      <c r="CO2" s="13">
        <v>25.41</v>
      </c>
      <c r="CP2" s="13">
        <v>94</v>
      </c>
      <c r="CQ2" s="13">
        <v>94.05</v>
      </c>
      <c r="CR2" s="13">
        <v>1.7</v>
      </c>
      <c r="CS2" s="13">
        <v>1.7</v>
      </c>
      <c r="CT2" s="13">
        <v>24.19</v>
      </c>
      <c r="CU2" s="13">
        <v>46.07</v>
      </c>
      <c r="CV2" s="13">
        <v>100.42</v>
      </c>
      <c r="CW2" s="13">
        <v>0.91577159908286931</v>
      </c>
      <c r="CX2" s="13">
        <f>BE2*CW2</f>
        <v>4.3590728116344577</v>
      </c>
    </row>
    <row r="3" spans="1:102" s="13" customFormat="1" x14ac:dyDescent="0.25">
      <c r="A3" s="13">
        <v>3</v>
      </c>
      <c r="B3" s="14">
        <v>41414.549145960649</v>
      </c>
      <c r="C3" s="13">
        <v>1</v>
      </c>
      <c r="D3" s="13">
        <v>3</v>
      </c>
      <c r="E3" s="13">
        <v>119</v>
      </c>
      <c r="F3" s="13">
        <v>119</v>
      </c>
      <c r="G3" s="13">
        <v>119</v>
      </c>
      <c r="H3" s="13">
        <v>82.6</v>
      </c>
      <c r="I3" s="13">
        <v>82.6</v>
      </c>
      <c r="J3" s="13">
        <v>1701</v>
      </c>
      <c r="K3" s="13">
        <v>73</v>
      </c>
      <c r="L3" s="13">
        <v>73</v>
      </c>
      <c r="M3" s="13">
        <v>0.24</v>
      </c>
      <c r="N3" s="13">
        <v>0.24007800000000001</v>
      </c>
      <c r="O3" s="13">
        <v>1</v>
      </c>
      <c r="P3" s="13">
        <v>1.0693950000000001</v>
      </c>
      <c r="Q3" s="13">
        <v>1.71</v>
      </c>
      <c r="R3" s="13">
        <v>1.713867</v>
      </c>
      <c r="S3" s="13">
        <v>103</v>
      </c>
      <c r="T3" s="13">
        <v>103</v>
      </c>
      <c r="U3" s="13">
        <v>3.5</v>
      </c>
      <c r="V3" s="13">
        <v>3.5</v>
      </c>
      <c r="W3" s="13">
        <v>300</v>
      </c>
      <c r="X3" s="13">
        <v>300</v>
      </c>
      <c r="Y3" s="13">
        <v>3.5</v>
      </c>
      <c r="Z3" s="13">
        <v>3.5</v>
      </c>
      <c r="AA3" s="13">
        <v>300</v>
      </c>
      <c r="AB3" s="13">
        <v>300</v>
      </c>
      <c r="AC3" s="13">
        <v>0</v>
      </c>
      <c r="AD3" s="13">
        <v>90.329949999999997</v>
      </c>
      <c r="AE3" s="13">
        <v>0</v>
      </c>
      <c r="AF3" s="13">
        <v>90.329949999999997</v>
      </c>
      <c r="AG3" s="13">
        <v>49.64</v>
      </c>
      <c r="AH3" s="13">
        <v>0.22</v>
      </c>
      <c r="AI3" s="13">
        <v>50.09</v>
      </c>
      <c r="AJ3" s="13">
        <v>66.17</v>
      </c>
      <c r="AK3" s="13">
        <v>97.77</v>
      </c>
      <c r="AL3" s="13">
        <v>96.06</v>
      </c>
      <c r="AM3" s="13">
        <v>296.07</v>
      </c>
      <c r="AN3" s="13">
        <v>134.19210000000001</v>
      </c>
      <c r="AO3" s="13">
        <v>34.729999999999997</v>
      </c>
      <c r="AP3" s="13">
        <v>69.63</v>
      </c>
      <c r="AQ3" s="13">
        <v>41.37</v>
      </c>
      <c r="AR3" s="13">
        <v>284.17</v>
      </c>
      <c r="AS3" s="13">
        <v>63.04</v>
      </c>
      <c r="AT3" s="13">
        <v>62.26</v>
      </c>
      <c r="AU3" s="13">
        <v>102.99</v>
      </c>
      <c r="AV3" s="13">
        <v>112.52</v>
      </c>
      <c r="AW3" s="13">
        <v>0.89900000000000002</v>
      </c>
      <c r="AX3" s="13">
        <v>15.56</v>
      </c>
      <c r="AY3" s="13">
        <v>10000000000</v>
      </c>
      <c r="AZ3" s="13">
        <v>487.86</v>
      </c>
      <c r="BA3" s="13">
        <v>77.62</v>
      </c>
      <c r="BB3" s="13">
        <v>5.66</v>
      </c>
      <c r="BC3" s="13">
        <v>2.06</v>
      </c>
      <c r="BD3" s="13">
        <v>12.77</v>
      </c>
      <c r="BE3" s="13">
        <v>2.09</v>
      </c>
      <c r="BF3" s="13">
        <v>112.59</v>
      </c>
      <c r="BG3" s="13">
        <v>36.380000000000003</v>
      </c>
      <c r="BH3" s="13">
        <v>10000000000</v>
      </c>
      <c r="BI3" s="13">
        <v>340.6</v>
      </c>
      <c r="BJ3" s="13">
        <v>39.299999999999997</v>
      </c>
      <c r="BK3" s="13">
        <v>83.5</v>
      </c>
      <c r="BL3" s="13">
        <v>162.43</v>
      </c>
      <c r="BM3" s="13">
        <v>1.49</v>
      </c>
      <c r="BN3" s="13">
        <v>30.81</v>
      </c>
      <c r="BO3" s="13">
        <v>34.03</v>
      </c>
      <c r="BP3" s="13">
        <v>291.22000000000003</v>
      </c>
      <c r="BQ3" s="13">
        <v>61.468649999999997</v>
      </c>
      <c r="BR3" s="13">
        <v>185.1206</v>
      </c>
      <c r="BS3" s="13">
        <v>114.8391</v>
      </c>
      <c r="BT3" s="13">
        <v>108.8194</v>
      </c>
      <c r="BU3" s="13">
        <v>107.4597</v>
      </c>
      <c r="BV3" s="13">
        <v>3.9104E-2</v>
      </c>
      <c r="BW3" s="13">
        <v>3.9784E-2</v>
      </c>
      <c r="BX3" s="13">
        <v>17.6462</v>
      </c>
      <c r="BY3" s="13">
        <v>18.995360000000002</v>
      </c>
      <c r="BZ3" s="13">
        <v>0</v>
      </c>
      <c r="CA3" s="13">
        <v>0.93568200000000001</v>
      </c>
      <c r="CB3" s="13">
        <v>465.91309999999999</v>
      </c>
      <c r="CC3" s="13">
        <v>472.0206</v>
      </c>
      <c r="CD3" s="13">
        <v>24.649529999999999</v>
      </c>
      <c r="CE3" s="13">
        <v>288.57</v>
      </c>
      <c r="CF3" s="13">
        <v>84.43</v>
      </c>
      <c r="CG3" s="13">
        <v>97.52</v>
      </c>
      <c r="CH3" s="13">
        <v>278.76</v>
      </c>
      <c r="CI3" s="13">
        <v>278.99</v>
      </c>
      <c r="CJ3" s="13">
        <v>278.18</v>
      </c>
      <c r="CK3" s="13">
        <v>289.73</v>
      </c>
      <c r="CL3" s="13">
        <v>294.01</v>
      </c>
      <c r="CM3" s="13">
        <v>288.87</v>
      </c>
      <c r="CN3" s="13">
        <v>229.06</v>
      </c>
      <c r="CO3" s="13">
        <v>25.4</v>
      </c>
      <c r="CP3" s="13">
        <v>119</v>
      </c>
      <c r="CQ3" s="13">
        <v>119.05</v>
      </c>
      <c r="CR3" s="13">
        <v>2.1</v>
      </c>
      <c r="CS3" s="13">
        <v>2.1</v>
      </c>
      <c r="CT3" s="13">
        <v>24.55</v>
      </c>
      <c r="CU3" s="13">
        <v>46.59</v>
      </c>
      <c r="CV3" s="13">
        <v>100.41</v>
      </c>
      <c r="CW3" s="13">
        <v>0.91471147454251522</v>
      </c>
      <c r="CX3" s="13">
        <f t="shared" ref="CX3:CX21" si="0">BE3*CW3</f>
        <v>1.9117469817938566</v>
      </c>
    </row>
    <row r="4" spans="1:102" s="13" customFormat="1" x14ac:dyDescent="0.25">
      <c r="A4" s="13">
        <v>4</v>
      </c>
      <c r="B4" s="14">
        <v>41414.554579942131</v>
      </c>
      <c r="C4" s="13">
        <v>1</v>
      </c>
      <c r="D4" s="13">
        <v>4</v>
      </c>
      <c r="E4" s="13">
        <v>181</v>
      </c>
      <c r="F4" s="13">
        <v>181</v>
      </c>
      <c r="G4" s="13">
        <v>181</v>
      </c>
      <c r="H4" s="13">
        <v>82.6</v>
      </c>
      <c r="I4" s="13">
        <v>82.6</v>
      </c>
      <c r="J4" s="13">
        <v>1701</v>
      </c>
      <c r="K4" s="13">
        <v>66</v>
      </c>
      <c r="L4" s="13">
        <v>66</v>
      </c>
      <c r="M4" s="13">
        <v>0.1</v>
      </c>
      <c r="N4" s="13">
        <v>9.9945000000000006E-2</v>
      </c>
      <c r="O4" s="13">
        <v>1</v>
      </c>
      <c r="P4" s="13">
        <v>1.0694650000000001</v>
      </c>
      <c r="Q4" s="13">
        <v>0.14000000000000001</v>
      </c>
      <c r="R4" s="13">
        <v>0.142822</v>
      </c>
      <c r="S4" s="13">
        <v>106.83</v>
      </c>
      <c r="T4" s="13">
        <v>106.82810000000001</v>
      </c>
      <c r="U4" s="13">
        <v>3.5</v>
      </c>
      <c r="V4" s="13">
        <v>3.5</v>
      </c>
      <c r="W4" s="13">
        <v>300</v>
      </c>
      <c r="X4" s="13">
        <v>300</v>
      </c>
      <c r="Y4" s="13">
        <v>3.5</v>
      </c>
      <c r="Z4" s="13">
        <v>3.5</v>
      </c>
      <c r="AA4" s="13">
        <v>300</v>
      </c>
      <c r="AB4" s="13">
        <v>300</v>
      </c>
      <c r="AC4" s="13">
        <v>0</v>
      </c>
      <c r="AD4" s="13">
        <v>113.5767</v>
      </c>
      <c r="AE4" s="13">
        <v>0</v>
      </c>
      <c r="AF4" s="13">
        <v>113.5767</v>
      </c>
      <c r="AG4" s="13">
        <v>49.64</v>
      </c>
      <c r="AH4" s="13">
        <v>0.22</v>
      </c>
      <c r="AI4" s="13">
        <v>63.74</v>
      </c>
      <c r="AJ4" s="13">
        <v>90.69</v>
      </c>
      <c r="AK4" s="13">
        <v>159.03</v>
      </c>
      <c r="AL4" s="13">
        <v>159.56</v>
      </c>
      <c r="AM4" s="13">
        <v>328.13</v>
      </c>
      <c r="AN4" s="13">
        <v>169.20249999999999</v>
      </c>
      <c r="AO4" s="13">
        <v>69.16</v>
      </c>
      <c r="AP4" s="13">
        <v>100.21</v>
      </c>
      <c r="AQ4" s="13">
        <v>79.86</v>
      </c>
      <c r="AR4" s="13">
        <v>467</v>
      </c>
      <c r="AS4" s="13">
        <v>89.87</v>
      </c>
      <c r="AT4" s="13">
        <v>58.52</v>
      </c>
      <c r="AU4" s="13">
        <v>96.65</v>
      </c>
      <c r="AV4" s="13">
        <v>117.01</v>
      </c>
      <c r="AW4" s="13">
        <v>0.28699999999999998</v>
      </c>
      <c r="AX4" s="13">
        <v>4.12</v>
      </c>
      <c r="AY4" s="13">
        <v>10000000000</v>
      </c>
      <c r="AZ4" s="13">
        <v>401.13</v>
      </c>
      <c r="BA4" s="13">
        <v>51.22</v>
      </c>
      <c r="BB4" s="13">
        <v>4.6500000000000004</v>
      </c>
      <c r="BC4" s="13">
        <v>0.72</v>
      </c>
      <c r="BD4" s="13">
        <v>14.11</v>
      </c>
      <c r="BE4" s="13">
        <v>5.25</v>
      </c>
      <c r="BF4" s="13">
        <v>255.84</v>
      </c>
      <c r="BG4" s="13">
        <v>15.51</v>
      </c>
      <c r="BH4" s="13">
        <v>10000000000</v>
      </c>
      <c r="BI4" s="13">
        <v>303.7</v>
      </c>
      <c r="BJ4" s="13">
        <v>47.7</v>
      </c>
      <c r="BK4" s="13">
        <v>84.8</v>
      </c>
      <c r="BL4" s="13">
        <v>85.78</v>
      </c>
      <c r="BM4" s="13">
        <v>1.82</v>
      </c>
      <c r="BN4" s="13">
        <v>29.62</v>
      </c>
      <c r="BO4" s="13">
        <v>33.159999999999997</v>
      </c>
      <c r="BP4" s="13">
        <v>476.91</v>
      </c>
      <c r="BQ4" s="13">
        <v>59.367660000000001</v>
      </c>
      <c r="BR4" s="13">
        <v>252.9727</v>
      </c>
      <c r="BS4" s="13">
        <v>89.874189999999999</v>
      </c>
      <c r="BT4" s="13">
        <v>100.3053</v>
      </c>
      <c r="BU4" s="13">
        <v>98.348849999999999</v>
      </c>
      <c r="BV4" s="13">
        <v>3.8039999999999997E-2</v>
      </c>
      <c r="BW4" s="13">
        <v>3.415E-2</v>
      </c>
      <c r="BX4" s="13">
        <v>27.283539999999999</v>
      </c>
      <c r="BY4" s="13">
        <v>18.995360000000002</v>
      </c>
      <c r="BZ4" s="13">
        <v>0</v>
      </c>
      <c r="CA4" s="13">
        <v>0.93820499999999996</v>
      </c>
      <c r="CB4" s="13">
        <v>592.79769999999996</v>
      </c>
      <c r="CC4" s="13">
        <v>601.30960000000005</v>
      </c>
      <c r="CD4" s="13">
        <v>34.287500000000001</v>
      </c>
      <c r="CE4" s="13">
        <v>292.95999999999998</v>
      </c>
      <c r="CF4" s="13">
        <v>77.16</v>
      </c>
      <c r="CG4" s="13">
        <v>89.17</v>
      </c>
      <c r="CH4" s="13">
        <v>315.85000000000002</v>
      </c>
      <c r="CI4" s="13">
        <v>301.62</v>
      </c>
      <c r="CJ4" s="13">
        <v>306.55</v>
      </c>
      <c r="CK4" s="13">
        <v>320.17</v>
      </c>
      <c r="CL4" s="13">
        <v>313.10000000000002</v>
      </c>
      <c r="CM4" s="13">
        <v>305.32</v>
      </c>
      <c r="CN4" s="13">
        <v>233.2</v>
      </c>
      <c r="CO4" s="13">
        <v>26.46</v>
      </c>
      <c r="CP4" s="13">
        <v>181.1</v>
      </c>
      <c r="CQ4" s="13">
        <v>181.05</v>
      </c>
      <c r="CR4" s="13">
        <v>3.2</v>
      </c>
      <c r="CS4" s="13">
        <v>3.2</v>
      </c>
      <c r="CT4" s="13">
        <v>24.52</v>
      </c>
      <c r="CU4" s="13">
        <v>43.08</v>
      </c>
      <c r="CV4" s="13">
        <v>100.4</v>
      </c>
      <c r="CW4" s="13">
        <v>0.91469638282809707</v>
      </c>
      <c r="CX4" s="13">
        <f t="shared" si="0"/>
        <v>4.8021560098475096</v>
      </c>
    </row>
    <row r="5" spans="1:102" s="13" customFormat="1" x14ac:dyDescent="0.25">
      <c r="A5" s="13">
        <v>5</v>
      </c>
      <c r="B5" s="14">
        <v>41414.560015439813</v>
      </c>
      <c r="C5" s="13">
        <v>1</v>
      </c>
      <c r="D5" s="13">
        <v>5</v>
      </c>
      <c r="E5" s="13">
        <v>194</v>
      </c>
      <c r="F5" s="13">
        <v>194</v>
      </c>
      <c r="G5" s="13">
        <v>194</v>
      </c>
      <c r="H5" s="13">
        <v>82.6</v>
      </c>
      <c r="I5" s="13">
        <v>82.6</v>
      </c>
      <c r="J5" s="13">
        <v>1701</v>
      </c>
      <c r="K5" s="13">
        <v>22</v>
      </c>
      <c r="L5" s="13">
        <v>22</v>
      </c>
      <c r="M5" s="13">
        <v>0.27</v>
      </c>
      <c r="N5" s="13">
        <v>0.26996599999999998</v>
      </c>
      <c r="O5" s="13">
        <v>1</v>
      </c>
      <c r="P5" s="13">
        <v>1.0694399999999999</v>
      </c>
      <c r="Q5" s="13">
        <v>-0.19</v>
      </c>
      <c r="R5" s="13">
        <v>-0.18676799999999999</v>
      </c>
      <c r="S5" s="13">
        <v>107.64</v>
      </c>
      <c r="T5" s="13">
        <v>107.64060000000001</v>
      </c>
      <c r="U5" s="13">
        <v>3.5</v>
      </c>
      <c r="V5" s="13">
        <v>3.5</v>
      </c>
      <c r="W5" s="13">
        <v>300</v>
      </c>
      <c r="X5" s="13">
        <v>300</v>
      </c>
      <c r="Y5" s="13">
        <v>3.5</v>
      </c>
      <c r="Z5" s="13">
        <v>3.5</v>
      </c>
      <c r="AA5" s="13">
        <v>300</v>
      </c>
      <c r="AB5" s="13">
        <v>300</v>
      </c>
      <c r="AC5" s="13">
        <v>0</v>
      </c>
      <c r="AD5" s="13">
        <v>78.125309999999999</v>
      </c>
      <c r="AE5" s="13">
        <v>0</v>
      </c>
      <c r="AF5" s="13">
        <v>78.125309999999999</v>
      </c>
      <c r="AG5" s="13">
        <v>49.64</v>
      </c>
      <c r="AH5" s="13">
        <v>0.22</v>
      </c>
      <c r="AI5" s="13">
        <v>43</v>
      </c>
      <c r="AJ5" s="13">
        <v>53.98</v>
      </c>
      <c r="AK5" s="13">
        <v>31.1</v>
      </c>
      <c r="AL5" s="13">
        <v>30.92</v>
      </c>
      <c r="AM5" s="13">
        <v>347.3</v>
      </c>
      <c r="AN5" s="13">
        <v>112.7727</v>
      </c>
      <c r="AO5" s="13">
        <v>12.84</v>
      </c>
      <c r="AP5" s="13">
        <v>53.1</v>
      </c>
      <c r="AQ5" s="13">
        <v>20.23</v>
      </c>
      <c r="AR5" s="13">
        <v>310.39999999999998</v>
      </c>
      <c r="AS5" s="13">
        <v>18.27</v>
      </c>
      <c r="AT5" s="13">
        <v>52.03</v>
      </c>
      <c r="AU5" s="13">
        <v>96.53</v>
      </c>
      <c r="AV5" s="13">
        <v>110.9</v>
      </c>
      <c r="AW5" s="13">
        <v>0.74</v>
      </c>
      <c r="AX5" s="13">
        <v>12.19</v>
      </c>
      <c r="AY5" s="13">
        <v>10000000000</v>
      </c>
      <c r="AZ5" s="13">
        <v>508.59</v>
      </c>
      <c r="BA5" s="13">
        <v>86.26</v>
      </c>
      <c r="BB5" s="13">
        <v>6.31</v>
      </c>
      <c r="BC5" s="13">
        <v>1.26</v>
      </c>
      <c r="BD5" s="13">
        <v>11.87</v>
      </c>
      <c r="BE5" s="13">
        <v>2.5</v>
      </c>
      <c r="BF5" s="13">
        <v>203.78</v>
      </c>
      <c r="BG5" s="13">
        <v>20</v>
      </c>
      <c r="BH5" s="13">
        <v>10000000000</v>
      </c>
      <c r="BI5" s="13">
        <v>258.60000000000002</v>
      </c>
      <c r="BJ5" s="13">
        <v>34.700000000000003</v>
      </c>
      <c r="BK5" s="13">
        <v>86</v>
      </c>
      <c r="BL5" s="13">
        <v>77.64</v>
      </c>
      <c r="BM5" s="13">
        <v>1.26</v>
      </c>
      <c r="BN5" s="13">
        <v>30.11</v>
      </c>
      <c r="BO5" s="13">
        <v>34.68</v>
      </c>
      <c r="BP5" s="13">
        <v>319.51</v>
      </c>
      <c r="BQ5" s="13">
        <v>53.738120000000002</v>
      </c>
      <c r="BR5" s="13">
        <v>122.50109999999999</v>
      </c>
      <c r="BS5" s="13">
        <v>94.149739999999994</v>
      </c>
      <c r="BT5" s="13">
        <v>72.90737</v>
      </c>
      <c r="BU5" s="13">
        <v>72.602239999999995</v>
      </c>
      <c r="BV5" s="13">
        <v>3.8630999999999999E-2</v>
      </c>
      <c r="BW5" s="13">
        <v>4.4677000000000001E-2</v>
      </c>
      <c r="BX5" s="13">
        <v>24.44229</v>
      </c>
      <c r="BY5" s="13">
        <v>18.995360000000002</v>
      </c>
      <c r="BZ5" s="13">
        <v>0</v>
      </c>
      <c r="CA5" s="13">
        <v>0.93745999999999996</v>
      </c>
      <c r="CB5" s="13">
        <v>401.55500000000001</v>
      </c>
      <c r="CC5" s="13">
        <v>409.35419999999999</v>
      </c>
      <c r="CD5" s="13">
        <v>31.444220000000001</v>
      </c>
      <c r="CE5" s="13">
        <v>340.74</v>
      </c>
      <c r="CF5" s="13">
        <v>76.709999999999994</v>
      </c>
      <c r="CG5" s="13">
        <v>88.74</v>
      </c>
      <c r="CH5" s="13">
        <v>318.25</v>
      </c>
      <c r="CI5" s="13">
        <v>314.05</v>
      </c>
      <c r="CJ5" s="13">
        <v>324.48</v>
      </c>
      <c r="CK5" s="13">
        <v>338.67</v>
      </c>
      <c r="CL5" s="13">
        <v>342.26</v>
      </c>
      <c r="CM5" s="13">
        <v>337.65</v>
      </c>
      <c r="CN5" s="13">
        <v>297.37</v>
      </c>
      <c r="CO5" s="13">
        <v>26.57</v>
      </c>
      <c r="CP5" s="13">
        <v>194.1</v>
      </c>
      <c r="CQ5" s="13">
        <v>194.05</v>
      </c>
      <c r="CR5" s="13">
        <v>3.5</v>
      </c>
      <c r="CS5" s="13">
        <v>3.5</v>
      </c>
      <c r="CT5" s="13">
        <v>25.3</v>
      </c>
      <c r="CU5" s="13">
        <v>43.05</v>
      </c>
      <c r="CV5" s="13">
        <v>100.39</v>
      </c>
      <c r="CW5" s="13">
        <v>0.9039876252914032</v>
      </c>
      <c r="CX5" s="13">
        <f t="shared" si="0"/>
        <v>2.2599690632285081</v>
      </c>
    </row>
    <row r="6" spans="1:102" s="13" customFormat="1" x14ac:dyDescent="0.25">
      <c r="A6" s="13">
        <v>6</v>
      </c>
      <c r="B6" s="14">
        <v>41414.565446307868</v>
      </c>
      <c r="C6" s="13">
        <v>1</v>
      </c>
      <c r="D6" s="13">
        <v>6</v>
      </c>
      <c r="E6" s="13">
        <v>244</v>
      </c>
      <c r="F6" s="13">
        <v>244</v>
      </c>
      <c r="G6" s="13">
        <v>244</v>
      </c>
      <c r="H6" s="13">
        <v>82.6</v>
      </c>
      <c r="I6" s="13">
        <v>82.6</v>
      </c>
      <c r="J6" s="13">
        <v>1701</v>
      </c>
      <c r="K6" s="13">
        <v>58</v>
      </c>
      <c r="L6" s="13">
        <v>58</v>
      </c>
      <c r="M6" s="13">
        <v>0.3</v>
      </c>
      <c r="N6" s="13">
        <v>0.30003299999999999</v>
      </c>
      <c r="O6" s="13">
        <v>1</v>
      </c>
      <c r="P6" s="13">
        <v>1.0694630000000001</v>
      </c>
      <c r="Q6" s="13">
        <v>-1.62</v>
      </c>
      <c r="R6" s="13">
        <v>-1.6149899999999999</v>
      </c>
      <c r="S6" s="13">
        <v>113.18</v>
      </c>
      <c r="T6" s="13">
        <v>113.1875</v>
      </c>
      <c r="U6" s="13">
        <v>3.5</v>
      </c>
      <c r="V6" s="13">
        <v>3.5</v>
      </c>
      <c r="W6" s="13">
        <v>300</v>
      </c>
      <c r="X6" s="13">
        <v>300</v>
      </c>
      <c r="Y6" s="13">
        <v>3.5</v>
      </c>
      <c r="Z6" s="13">
        <v>3.5</v>
      </c>
      <c r="AA6" s="13">
        <v>300</v>
      </c>
      <c r="AB6" s="13">
        <v>300</v>
      </c>
      <c r="AC6" s="13">
        <v>0</v>
      </c>
      <c r="AD6" s="13">
        <v>96.647450000000006</v>
      </c>
      <c r="AE6" s="13">
        <v>0</v>
      </c>
      <c r="AF6" s="13">
        <v>96.647450000000006</v>
      </c>
      <c r="AG6" s="13">
        <v>49.64</v>
      </c>
      <c r="AH6" s="13">
        <v>0.22</v>
      </c>
      <c r="AI6" s="13">
        <v>53.91</v>
      </c>
      <c r="AJ6" s="13">
        <v>74.19</v>
      </c>
      <c r="AK6" s="13">
        <v>82.22</v>
      </c>
      <c r="AL6" s="13">
        <v>80.69</v>
      </c>
      <c r="AM6" s="13">
        <v>373.44</v>
      </c>
      <c r="AN6" s="13">
        <v>143.64330000000001</v>
      </c>
      <c r="AO6" s="13">
        <v>44.03</v>
      </c>
      <c r="AP6" s="13">
        <v>80.16</v>
      </c>
      <c r="AQ6" s="13">
        <v>51.94</v>
      </c>
      <c r="AR6" s="13">
        <v>339.55</v>
      </c>
      <c r="AS6" s="13">
        <v>38.19</v>
      </c>
      <c r="AT6" s="13">
        <v>61.09</v>
      </c>
      <c r="AU6" s="13">
        <v>105.98</v>
      </c>
      <c r="AV6" s="13">
        <v>117.96</v>
      </c>
      <c r="AW6" s="13">
        <v>1.3069999999999999</v>
      </c>
      <c r="AX6" s="13">
        <v>25.6</v>
      </c>
      <c r="AY6" s="13">
        <v>10000000000</v>
      </c>
      <c r="AZ6" s="13">
        <v>554.88</v>
      </c>
      <c r="BA6" s="13">
        <v>91.55</v>
      </c>
      <c r="BB6" s="13">
        <v>7.24</v>
      </c>
      <c r="BC6" s="13">
        <v>2.2000000000000002</v>
      </c>
      <c r="BD6" s="13">
        <v>10.56</v>
      </c>
      <c r="BE6" s="13">
        <v>1.17</v>
      </c>
      <c r="BF6" s="13">
        <v>111.48</v>
      </c>
      <c r="BG6" s="13">
        <v>30.45</v>
      </c>
      <c r="BH6" s="13">
        <v>10000000000</v>
      </c>
      <c r="BI6" s="13">
        <v>256.39999999999998</v>
      </c>
      <c r="BJ6" s="13">
        <v>30.4</v>
      </c>
      <c r="BK6" s="13">
        <v>84.8</v>
      </c>
      <c r="BL6" s="13">
        <v>148.63</v>
      </c>
      <c r="BM6" s="13">
        <v>1.61</v>
      </c>
      <c r="BN6" s="13">
        <v>30.95</v>
      </c>
      <c r="BO6" s="13">
        <v>35.46</v>
      </c>
      <c r="BP6" s="13">
        <v>350.55</v>
      </c>
      <c r="BQ6" s="13">
        <v>60.456620000000001</v>
      </c>
      <c r="BR6" s="13">
        <v>169.3561</v>
      </c>
      <c r="BS6" s="13">
        <v>81.909880000000001</v>
      </c>
      <c r="BT6" s="13">
        <v>71.639979999999994</v>
      </c>
      <c r="BU6" s="13">
        <v>71.040859999999995</v>
      </c>
      <c r="BV6" s="13">
        <v>4.9401E-2</v>
      </c>
      <c r="BW6" s="13">
        <v>5.2336000000000001E-2</v>
      </c>
      <c r="BX6" s="13">
        <v>32.58943</v>
      </c>
      <c r="BY6" s="13">
        <v>18.995360000000002</v>
      </c>
      <c r="BZ6" s="13">
        <v>0</v>
      </c>
      <c r="CA6" s="13">
        <v>0.93959499999999996</v>
      </c>
      <c r="CB6" s="13">
        <v>502.33420000000001</v>
      </c>
      <c r="CC6" s="13">
        <v>512.1825</v>
      </c>
      <c r="CD6" s="13">
        <v>39.590730000000001</v>
      </c>
      <c r="CE6" s="13">
        <v>374.95</v>
      </c>
      <c r="CF6" s="13">
        <v>85.16</v>
      </c>
      <c r="CG6" s="13">
        <v>100.43</v>
      </c>
      <c r="CH6" s="13">
        <v>354.76</v>
      </c>
      <c r="CI6" s="13">
        <v>347.35</v>
      </c>
      <c r="CJ6" s="13">
        <v>351.26</v>
      </c>
      <c r="CK6" s="13">
        <v>362.36</v>
      </c>
      <c r="CL6" s="13">
        <v>370.34</v>
      </c>
      <c r="CM6" s="13">
        <v>366.75</v>
      </c>
      <c r="CN6" s="13">
        <v>294.47000000000003</v>
      </c>
      <c r="CO6" s="13">
        <v>27.21</v>
      </c>
      <c r="CP6" s="13">
        <v>244.2</v>
      </c>
      <c r="CQ6" s="13">
        <v>244.05</v>
      </c>
      <c r="CR6" s="13">
        <v>4.4000000000000004</v>
      </c>
      <c r="CS6" s="13">
        <v>4.4000000000000004</v>
      </c>
      <c r="CT6" s="13">
        <v>25.33</v>
      </c>
      <c r="CU6" s="13">
        <v>41.35</v>
      </c>
      <c r="CV6" s="13">
        <v>100.38</v>
      </c>
      <c r="CW6" s="13">
        <v>0.89162561890553615</v>
      </c>
      <c r="CX6" s="13">
        <f t="shared" si="0"/>
        <v>1.0432019741194771</v>
      </c>
    </row>
    <row r="7" spans="1:102" s="9" customFormat="1" x14ac:dyDescent="0.25">
      <c r="A7" s="9">
        <v>7</v>
      </c>
      <c r="B7" s="10">
        <v>41414.570871041666</v>
      </c>
      <c r="C7" s="9">
        <v>1</v>
      </c>
      <c r="D7" s="9">
        <v>7</v>
      </c>
      <c r="E7" s="9">
        <v>78</v>
      </c>
      <c r="F7" s="9">
        <v>78</v>
      </c>
      <c r="G7" s="9">
        <v>78</v>
      </c>
      <c r="H7" s="9">
        <v>91.7</v>
      </c>
      <c r="I7" s="9">
        <v>91.7</v>
      </c>
      <c r="J7" s="9">
        <v>1800</v>
      </c>
      <c r="K7" s="9">
        <v>17</v>
      </c>
      <c r="L7" s="9">
        <v>17</v>
      </c>
      <c r="M7" s="9">
        <v>0.19</v>
      </c>
      <c r="N7" s="9">
        <v>0.189912</v>
      </c>
      <c r="O7" s="9">
        <v>1</v>
      </c>
      <c r="P7" s="9">
        <v>1.0693859999999999</v>
      </c>
      <c r="Q7" s="9">
        <v>-0.31</v>
      </c>
      <c r="R7" s="9">
        <v>-0.30761699999999997</v>
      </c>
      <c r="S7" s="9">
        <v>114.7</v>
      </c>
      <c r="T7" s="9">
        <v>114.70310000000001</v>
      </c>
      <c r="U7" s="9">
        <v>3.5</v>
      </c>
      <c r="V7" s="9">
        <v>3.5</v>
      </c>
      <c r="W7" s="9">
        <v>316.02999999999997</v>
      </c>
      <c r="X7" s="9">
        <v>316</v>
      </c>
      <c r="Y7" s="9">
        <v>0</v>
      </c>
      <c r="Z7" s="9">
        <v>0</v>
      </c>
      <c r="AA7" s="9">
        <v>300</v>
      </c>
      <c r="AB7" s="9">
        <v>300</v>
      </c>
      <c r="AC7" s="9">
        <v>0</v>
      </c>
      <c r="AD7" s="9">
        <v>73.127030000000005</v>
      </c>
      <c r="AE7" s="9">
        <v>0</v>
      </c>
      <c r="AF7" s="9">
        <v>80.426090000000002</v>
      </c>
      <c r="AG7" s="9">
        <v>43</v>
      </c>
      <c r="AH7" s="9">
        <v>0.23</v>
      </c>
      <c r="AI7" s="9">
        <v>39.68</v>
      </c>
      <c r="AJ7" s="9">
        <v>47.06</v>
      </c>
      <c r="AK7" s="9">
        <v>25.39</v>
      </c>
      <c r="AL7" s="9">
        <v>25.9</v>
      </c>
      <c r="AM7" s="9">
        <v>248.62</v>
      </c>
      <c r="AN7" s="9">
        <v>104.23650000000001</v>
      </c>
      <c r="AO7" s="9">
        <v>3.64</v>
      </c>
      <c r="AP7" s="9">
        <v>44.11</v>
      </c>
      <c r="AQ7" s="9">
        <v>11.59</v>
      </c>
      <c r="AR7" s="9">
        <v>317.06</v>
      </c>
      <c r="AS7" s="9">
        <v>21.76</v>
      </c>
      <c r="AT7" s="9">
        <v>44.98</v>
      </c>
      <c r="AU7" s="9">
        <v>94.16</v>
      </c>
      <c r="AV7" s="9">
        <v>110.5</v>
      </c>
      <c r="AW7" s="9">
        <v>0.32700000000000001</v>
      </c>
      <c r="AX7" s="9">
        <v>4.75</v>
      </c>
      <c r="AY7" s="9">
        <v>10000000000</v>
      </c>
      <c r="AZ7" s="9">
        <v>544.04999999999995</v>
      </c>
      <c r="BA7" s="9">
        <v>94.05</v>
      </c>
      <c r="BB7" s="9">
        <v>3.85</v>
      </c>
      <c r="BC7" s="9">
        <v>0.62</v>
      </c>
      <c r="BD7" s="9">
        <v>15.19</v>
      </c>
      <c r="BE7" s="9">
        <v>5.65</v>
      </c>
      <c r="BF7" s="9">
        <v>181.86</v>
      </c>
      <c r="BG7" s="9">
        <v>16.079999999999998</v>
      </c>
      <c r="BH7" s="9">
        <v>10000000000</v>
      </c>
      <c r="BI7" s="9">
        <v>376.4</v>
      </c>
      <c r="BJ7" s="9">
        <v>57.2</v>
      </c>
      <c r="BK7" s="9">
        <v>85.9</v>
      </c>
      <c r="BL7" s="9">
        <v>60.72</v>
      </c>
      <c r="BM7" s="9">
        <v>1.1599999999999999</v>
      </c>
      <c r="BN7" s="9">
        <v>29.53</v>
      </c>
      <c r="BO7" s="9">
        <v>32.47</v>
      </c>
      <c r="BP7" s="9">
        <v>322.55</v>
      </c>
      <c r="BQ7" s="9">
        <v>47.123390000000001</v>
      </c>
      <c r="BR7" s="9">
        <v>118.4679</v>
      </c>
      <c r="BS7" s="9">
        <v>152.02950000000001</v>
      </c>
      <c r="BT7" s="9">
        <v>125.1678</v>
      </c>
      <c r="BU7" s="9">
        <v>122.6708</v>
      </c>
      <c r="BV7" s="9">
        <v>0</v>
      </c>
      <c r="BW7" s="9">
        <v>0</v>
      </c>
      <c r="BX7" s="9">
        <v>14.99479</v>
      </c>
      <c r="BY7" s="9">
        <v>18.995360000000002</v>
      </c>
      <c r="BZ7" s="9">
        <v>0</v>
      </c>
      <c r="CA7" s="9">
        <v>0.93339000000000005</v>
      </c>
      <c r="CB7" s="9">
        <v>399.18</v>
      </c>
      <c r="CC7" s="9">
        <v>404.00599999999997</v>
      </c>
      <c r="CD7" s="9">
        <v>18.495259999999998</v>
      </c>
      <c r="CE7" s="9">
        <v>228.75</v>
      </c>
      <c r="CF7" s="9">
        <v>72.05</v>
      </c>
      <c r="CG7" s="9">
        <v>84.34</v>
      </c>
      <c r="CH7" s="9">
        <v>221.83</v>
      </c>
      <c r="CI7" s="9">
        <v>227.65</v>
      </c>
      <c r="CJ7" s="9">
        <v>236.13</v>
      </c>
      <c r="CK7" s="9">
        <v>240.93</v>
      </c>
      <c r="CL7" s="9">
        <v>242.6</v>
      </c>
      <c r="CM7" s="9">
        <v>231.59</v>
      </c>
      <c r="CN7" s="9">
        <v>220.68</v>
      </c>
      <c r="CO7" s="9">
        <v>25.5</v>
      </c>
      <c r="CP7" s="9">
        <v>78</v>
      </c>
      <c r="CQ7" s="9">
        <v>78.05</v>
      </c>
      <c r="CR7" s="9">
        <v>1.4</v>
      </c>
      <c r="CS7" s="9">
        <v>1.4</v>
      </c>
      <c r="CT7" s="9">
        <v>25.21</v>
      </c>
      <c r="CU7" s="9">
        <v>46.36</v>
      </c>
      <c r="CV7" s="9">
        <v>100.39</v>
      </c>
      <c r="CW7" s="9">
        <v>0.9351722651768668</v>
      </c>
      <c r="CX7" s="9">
        <f t="shared" si="0"/>
        <v>5.2837232982492974</v>
      </c>
    </row>
    <row r="8" spans="1:102" s="9" customFormat="1" x14ac:dyDescent="0.25">
      <c r="A8" s="9">
        <v>8</v>
      </c>
      <c r="B8" s="10">
        <v>41414.576294722225</v>
      </c>
      <c r="C8" s="9">
        <v>1</v>
      </c>
      <c r="D8" s="9">
        <v>8</v>
      </c>
      <c r="E8" s="9">
        <v>97</v>
      </c>
      <c r="F8" s="9">
        <v>97</v>
      </c>
      <c r="G8" s="9">
        <v>97</v>
      </c>
      <c r="H8" s="9">
        <v>91.7</v>
      </c>
      <c r="I8" s="9">
        <v>91.7</v>
      </c>
      <c r="J8" s="9">
        <v>1800</v>
      </c>
      <c r="K8" s="9">
        <v>7</v>
      </c>
      <c r="L8" s="9">
        <v>7</v>
      </c>
      <c r="M8" s="9">
        <v>0.3</v>
      </c>
      <c r="N8" s="9">
        <v>0.299979</v>
      </c>
      <c r="O8" s="9">
        <v>1</v>
      </c>
      <c r="P8" s="9">
        <v>1.069442</v>
      </c>
      <c r="Q8" s="9">
        <v>-0.54</v>
      </c>
      <c r="R8" s="9">
        <v>-0.53832999999999998</v>
      </c>
      <c r="S8" s="9">
        <v>115.01</v>
      </c>
      <c r="T8" s="9">
        <v>115.01560000000001</v>
      </c>
      <c r="U8" s="9">
        <v>3.5</v>
      </c>
      <c r="V8" s="9">
        <v>3.5</v>
      </c>
      <c r="W8" s="9">
        <v>302.19</v>
      </c>
      <c r="X8" s="9">
        <v>302</v>
      </c>
      <c r="Y8" s="9">
        <v>0</v>
      </c>
      <c r="Z8" s="9">
        <v>0</v>
      </c>
      <c r="AA8" s="9">
        <v>300</v>
      </c>
      <c r="AB8" s="9">
        <v>300</v>
      </c>
      <c r="AC8" s="9">
        <v>0</v>
      </c>
      <c r="AD8" s="9">
        <v>71.267080000000007</v>
      </c>
      <c r="AE8" s="9">
        <v>0</v>
      </c>
      <c r="AF8" s="9">
        <v>78.37885</v>
      </c>
      <c r="AG8" s="9">
        <v>43</v>
      </c>
      <c r="AH8" s="9">
        <v>0.23</v>
      </c>
      <c r="AI8" s="9">
        <v>38.479999999999997</v>
      </c>
      <c r="AJ8" s="9">
        <v>41.81</v>
      </c>
      <c r="AK8" s="9">
        <v>19.7</v>
      </c>
      <c r="AL8" s="9">
        <v>19.670000000000002</v>
      </c>
      <c r="AM8" s="9">
        <v>267.24</v>
      </c>
      <c r="AN8" s="9">
        <v>101.75230000000001</v>
      </c>
      <c r="AO8" s="9">
        <v>1.1299999999999999</v>
      </c>
      <c r="AP8" s="9">
        <v>39.22</v>
      </c>
      <c r="AQ8" s="9">
        <v>8.44</v>
      </c>
      <c r="AR8" s="9">
        <v>283.32</v>
      </c>
      <c r="AS8" s="9">
        <v>18.57</v>
      </c>
      <c r="AT8" s="9">
        <v>45.8</v>
      </c>
      <c r="AU8" s="9">
        <v>95.51</v>
      </c>
      <c r="AV8" s="9">
        <v>117.4</v>
      </c>
      <c r="AW8" s="9">
        <v>0.54800000000000004</v>
      </c>
      <c r="AX8" s="9">
        <v>8.51</v>
      </c>
      <c r="AY8" s="9">
        <v>10000000000</v>
      </c>
      <c r="AZ8" s="9">
        <v>590.13</v>
      </c>
      <c r="BA8" s="9">
        <v>105.19</v>
      </c>
      <c r="BB8" s="9">
        <v>4.62</v>
      </c>
      <c r="BC8" s="9">
        <v>1</v>
      </c>
      <c r="BD8" s="9">
        <v>14.14</v>
      </c>
      <c r="BE8" s="9">
        <v>3.48</v>
      </c>
      <c r="BF8" s="9">
        <v>159.44999999999999</v>
      </c>
      <c r="BG8" s="9">
        <v>21.59</v>
      </c>
      <c r="BH8" s="9">
        <v>10000000000</v>
      </c>
      <c r="BI8" s="9">
        <v>335</v>
      </c>
      <c r="BJ8" s="9">
        <v>46.2</v>
      </c>
      <c r="BK8" s="9">
        <v>83.3</v>
      </c>
      <c r="BL8" s="9">
        <v>77.959999999999994</v>
      </c>
      <c r="BM8" s="9">
        <v>1.1399999999999999</v>
      </c>
      <c r="BN8" s="9">
        <v>29.9</v>
      </c>
      <c r="BO8" s="9">
        <v>33.29</v>
      </c>
      <c r="BP8" s="9">
        <v>289.27999999999997</v>
      </c>
      <c r="BQ8" s="9">
        <v>47.614429999999999</v>
      </c>
      <c r="BR8" s="9">
        <v>113.11199999999999</v>
      </c>
      <c r="BS8" s="9">
        <v>139.61879999999999</v>
      </c>
      <c r="BT8" s="9">
        <v>106.23569999999999</v>
      </c>
      <c r="BU8" s="9">
        <v>104.7527</v>
      </c>
      <c r="BV8" s="9">
        <v>0</v>
      </c>
      <c r="BW8" s="9">
        <v>0</v>
      </c>
      <c r="BX8" s="9">
        <v>17.674900000000001</v>
      </c>
      <c r="BY8" s="9">
        <v>18.995360000000002</v>
      </c>
      <c r="BZ8" s="9">
        <v>0</v>
      </c>
      <c r="CA8" s="9">
        <v>0.93505899999999997</v>
      </c>
      <c r="CB8" s="9">
        <v>389.83350000000002</v>
      </c>
      <c r="CC8" s="9">
        <v>395.36059999999998</v>
      </c>
      <c r="CD8" s="9">
        <v>21.186250000000001</v>
      </c>
      <c r="CE8" s="9">
        <v>258.16000000000003</v>
      </c>
      <c r="CF8" s="9">
        <v>72.290000000000006</v>
      </c>
      <c r="CG8" s="9">
        <v>86.9</v>
      </c>
      <c r="CH8" s="9">
        <v>242.19</v>
      </c>
      <c r="CI8" s="9">
        <v>246.28</v>
      </c>
      <c r="CJ8" s="9">
        <v>255.33</v>
      </c>
      <c r="CK8" s="9">
        <v>253.28</v>
      </c>
      <c r="CL8" s="9">
        <v>263.92</v>
      </c>
      <c r="CM8" s="9">
        <v>256.58</v>
      </c>
      <c r="CN8" s="9">
        <v>236.02</v>
      </c>
      <c r="CO8" s="9">
        <v>25.51</v>
      </c>
      <c r="CP8" s="9">
        <v>96.9</v>
      </c>
      <c r="CQ8" s="9">
        <v>97.05</v>
      </c>
      <c r="CR8" s="9">
        <v>1.7</v>
      </c>
      <c r="CS8" s="9">
        <v>1.7</v>
      </c>
      <c r="CT8" s="9">
        <v>25.23</v>
      </c>
      <c r="CU8" s="9">
        <v>50.84</v>
      </c>
      <c r="CV8" s="9">
        <v>100.38</v>
      </c>
      <c r="CW8" s="9">
        <v>0.93859023888058235</v>
      </c>
      <c r="CX8" s="9">
        <f t="shared" si="0"/>
        <v>3.2662940313044264</v>
      </c>
    </row>
    <row r="9" spans="1:102" s="9" customFormat="1" x14ac:dyDescent="0.25">
      <c r="A9" s="9">
        <v>9</v>
      </c>
      <c r="B9" s="10">
        <v>41414.581717604167</v>
      </c>
      <c r="C9" s="9">
        <v>1</v>
      </c>
      <c r="D9" s="9">
        <v>9</v>
      </c>
      <c r="E9" s="9">
        <v>116</v>
      </c>
      <c r="F9" s="9">
        <v>116</v>
      </c>
      <c r="G9" s="9">
        <v>116</v>
      </c>
      <c r="H9" s="9">
        <v>91.7</v>
      </c>
      <c r="I9" s="9">
        <v>91.7</v>
      </c>
      <c r="J9" s="9">
        <v>1800</v>
      </c>
      <c r="K9" s="9">
        <v>47</v>
      </c>
      <c r="L9" s="9">
        <v>47</v>
      </c>
      <c r="M9" s="9">
        <v>0.13</v>
      </c>
      <c r="N9" s="9">
        <v>0.129997</v>
      </c>
      <c r="O9" s="9">
        <v>1</v>
      </c>
      <c r="P9" s="9">
        <v>1.0693649999999999</v>
      </c>
      <c r="Q9" s="9">
        <v>-0.82</v>
      </c>
      <c r="R9" s="9">
        <v>-0.82397500000000001</v>
      </c>
      <c r="S9" s="9">
        <v>115.24</v>
      </c>
      <c r="T9" s="9">
        <v>115.23439999999999</v>
      </c>
      <c r="U9" s="9">
        <v>3.5</v>
      </c>
      <c r="V9" s="9">
        <v>3.5</v>
      </c>
      <c r="W9" s="9">
        <v>300</v>
      </c>
      <c r="X9" s="9">
        <v>300</v>
      </c>
      <c r="Y9" s="9">
        <v>3.5</v>
      </c>
      <c r="Z9" s="9">
        <v>3.5</v>
      </c>
      <c r="AA9" s="9">
        <v>300</v>
      </c>
      <c r="AB9" s="9">
        <v>300</v>
      </c>
      <c r="AC9" s="9">
        <v>0</v>
      </c>
      <c r="AD9" s="9">
        <v>90.342609999999993</v>
      </c>
      <c r="AE9" s="9">
        <v>0</v>
      </c>
      <c r="AF9" s="9">
        <v>99.361249999999998</v>
      </c>
      <c r="AG9" s="9">
        <v>43</v>
      </c>
      <c r="AH9" s="9">
        <v>0.23</v>
      </c>
      <c r="AI9" s="9">
        <v>49.49</v>
      </c>
      <c r="AJ9" s="9">
        <v>69.650000000000006</v>
      </c>
      <c r="AK9" s="9">
        <v>67.12</v>
      </c>
      <c r="AL9" s="9">
        <v>67.97</v>
      </c>
      <c r="AM9" s="9">
        <v>273.29000000000002</v>
      </c>
      <c r="AN9" s="9">
        <v>129.0094</v>
      </c>
      <c r="AO9" s="9">
        <v>28.23</v>
      </c>
      <c r="AP9" s="9">
        <v>64.78</v>
      </c>
      <c r="AQ9" s="9">
        <v>38.18</v>
      </c>
      <c r="AR9" s="9">
        <v>404.69</v>
      </c>
      <c r="AS9" s="9">
        <v>38.89</v>
      </c>
      <c r="AT9" s="9">
        <v>44.75</v>
      </c>
      <c r="AU9" s="9">
        <v>94.71</v>
      </c>
      <c r="AV9" s="9">
        <v>110.37</v>
      </c>
      <c r="AW9" s="9">
        <v>0.17199999999999999</v>
      </c>
      <c r="AX9" s="9">
        <v>2.38</v>
      </c>
      <c r="AY9" s="9">
        <v>10000000000</v>
      </c>
      <c r="AZ9" s="9">
        <v>440.49</v>
      </c>
      <c r="BA9" s="9">
        <v>87.93</v>
      </c>
      <c r="BB9" s="9">
        <v>3.96</v>
      </c>
      <c r="BC9" s="9">
        <v>0.59</v>
      </c>
      <c r="BD9" s="9">
        <v>15.05</v>
      </c>
      <c r="BE9" s="9">
        <v>4.9400000000000004</v>
      </c>
      <c r="BF9" s="9">
        <v>185.78</v>
      </c>
      <c r="BG9" s="9">
        <v>14.99</v>
      </c>
      <c r="BH9" s="9">
        <v>10000000000</v>
      </c>
      <c r="BI9" s="9">
        <v>330.9</v>
      </c>
      <c r="BJ9" s="9">
        <v>55.9</v>
      </c>
      <c r="BK9" s="9">
        <v>87.5</v>
      </c>
      <c r="BL9" s="9">
        <v>71.36</v>
      </c>
      <c r="BM9" s="9">
        <v>1.44</v>
      </c>
      <c r="BN9" s="9">
        <v>29.51</v>
      </c>
      <c r="BO9" s="9">
        <v>32.56</v>
      </c>
      <c r="BP9" s="9">
        <v>411.84</v>
      </c>
      <c r="BQ9" s="9">
        <v>46.683120000000002</v>
      </c>
      <c r="BR9" s="9">
        <v>163.60329999999999</v>
      </c>
      <c r="BS9" s="9">
        <v>140.4922</v>
      </c>
      <c r="BT9" s="9">
        <v>136.2533</v>
      </c>
      <c r="BU9" s="9">
        <v>134.03489999999999</v>
      </c>
      <c r="BV9" s="9">
        <v>0</v>
      </c>
      <c r="BW9" s="9">
        <v>0</v>
      </c>
      <c r="BX9" s="9">
        <v>14.00583</v>
      </c>
      <c r="BY9" s="9">
        <v>18.995360000000002</v>
      </c>
      <c r="BZ9" s="9">
        <v>0</v>
      </c>
      <c r="CA9" s="9">
        <v>0.93506</v>
      </c>
      <c r="CB9" s="9">
        <v>495.68040000000002</v>
      </c>
      <c r="CC9" s="9">
        <v>501.16789999999997</v>
      </c>
      <c r="CD9" s="9">
        <v>21.00281</v>
      </c>
      <c r="CE9" s="9">
        <v>258.51</v>
      </c>
      <c r="CF9" s="9">
        <v>70.75</v>
      </c>
      <c r="CG9" s="9">
        <v>84.56</v>
      </c>
      <c r="CH9" s="9">
        <v>259.83</v>
      </c>
      <c r="CI9" s="9">
        <v>257.5</v>
      </c>
      <c r="CJ9" s="9">
        <v>261.17</v>
      </c>
      <c r="CK9" s="9">
        <v>264.02</v>
      </c>
      <c r="CL9" s="9">
        <v>269.37</v>
      </c>
      <c r="CM9" s="9">
        <v>270.38</v>
      </c>
      <c r="CN9" s="9">
        <v>215.71</v>
      </c>
      <c r="CO9" s="9">
        <v>25.57</v>
      </c>
      <c r="CP9" s="9">
        <v>115.9</v>
      </c>
      <c r="CQ9" s="9">
        <v>116.05</v>
      </c>
      <c r="CR9" s="9">
        <v>2.1</v>
      </c>
      <c r="CS9" s="9">
        <v>2.1</v>
      </c>
      <c r="CT9" s="9">
        <v>25.17</v>
      </c>
      <c r="CU9" s="9">
        <v>49.86</v>
      </c>
      <c r="CV9" s="9">
        <v>100.39</v>
      </c>
      <c r="CW9" s="9">
        <v>0.94345727493496934</v>
      </c>
      <c r="CX9" s="9">
        <f t="shared" si="0"/>
        <v>4.6606789381787488</v>
      </c>
    </row>
    <row r="10" spans="1:102" s="9" customFormat="1" x14ac:dyDescent="0.25">
      <c r="A10" s="9">
        <v>10</v>
      </c>
      <c r="B10" s="10">
        <v>41414.587140370371</v>
      </c>
      <c r="C10" s="9">
        <v>1</v>
      </c>
      <c r="D10" s="9">
        <v>10</v>
      </c>
      <c r="E10" s="9">
        <v>153</v>
      </c>
      <c r="F10" s="9">
        <v>153</v>
      </c>
      <c r="G10" s="9">
        <v>153</v>
      </c>
      <c r="H10" s="9">
        <v>91.7</v>
      </c>
      <c r="I10" s="9">
        <v>91.7</v>
      </c>
      <c r="J10" s="9">
        <v>1800</v>
      </c>
      <c r="K10" s="9">
        <v>68</v>
      </c>
      <c r="L10" s="9">
        <v>68</v>
      </c>
      <c r="M10" s="9">
        <v>0.28000000000000003</v>
      </c>
      <c r="N10" s="9">
        <v>0.27995900000000001</v>
      </c>
      <c r="O10" s="9">
        <v>1</v>
      </c>
      <c r="P10" s="9">
        <v>1.0693600000000001</v>
      </c>
      <c r="Q10" s="9">
        <v>-1.38</v>
      </c>
      <c r="R10" s="9">
        <v>-1.384277</v>
      </c>
      <c r="S10" s="9">
        <v>115.67</v>
      </c>
      <c r="T10" s="9">
        <v>115.67189999999999</v>
      </c>
      <c r="U10" s="9">
        <v>3.5</v>
      </c>
      <c r="V10" s="9">
        <v>3.5</v>
      </c>
      <c r="W10" s="9">
        <v>300</v>
      </c>
      <c r="X10" s="9">
        <v>300</v>
      </c>
      <c r="Y10" s="9">
        <v>3.5</v>
      </c>
      <c r="Z10" s="9">
        <v>3.5</v>
      </c>
      <c r="AA10" s="9">
        <v>300</v>
      </c>
      <c r="AB10" s="9">
        <v>300</v>
      </c>
      <c r="AC10" s="9">
        <v>0</v>
      </c>
      <c r="AD10" s="9">
        <v>95.494219999999999</v>
      </c>
      <c r="AE10" s="9">
        <v>0</v>
      </c>
      <c r="AF10" s="9">
        <v>105.0301</v>
      </c>
      <c r="AG10" s="9">
        <v>43</v>
      </c>
      <c r="AH10" s="9">
        <v>0.23</v>
      </c>
      <c r="AI10" s="9">
        <v>54.38</v>
      </c>
      <c r="AJ10" s="9">
        <v>73.06</v>
      </c>
      <c r="AK10" s="9">
        <v>101.69</v>
      </c>
      <c r="AL10" s="9">
        <v>99.68</v>
      </c>
      <c r="AM10" s="9">
        <v>326.2</v>
      </c>
      <c r="AN10" s="9">
        <v>143.4573</v>
      </c>
      <c r="AO10" s="9">
        <v>43.84</v>
      </c>
      <c r="AP10" s="9">
        <v>75.069999999999993</v>
      </c>
      <c r="AQ10" s="9">
        <v>51.93</v>
      </c>
      <c r="AR10" s="9">
        <v>327.16000000000003</v>
      </c>
      <c r="AS10" s="9">
        <v>57.85</v>
      </c>
      <c r="AT10" s="9">
        <v>63.58</v>
      </c>
      <c r="AU10" s="9">
        <v>106.7</v>
      </c>
      <c r="AV10" s="9">
        <v>117.05</v>
      </c>
      <c r="AW10" s="9">
        <v>0.84199999999999997</v>
      </c>
      <c r="AX10" s="9">
        <v>14.31</v>
      </c>
      <c r="AY10" s="9">
        <v>10000000000</v>
      </c>
      <c r="AZ10" s="9">
        <v>525.64</v>
      </c>
      <c r="BA10" s="9">
        <v>109.66</v>
      </c>
      <c r="BB10" s="9">
        <v>6.06</v>
      </c>
      <c r="BC10" s="9">
        <v>2.12</v>
      </c>
      <c r="BD10" s="9">
        <v>12.18</v>
      </c>
      <c r="BE10" s="9">
        <v>1.49</v>
      </c>
      <c r="BF10" s="9">
        <v>95.65</v>
      </c>
      <c r="BG10" s="9">
        <v>34.96</v>
      </c>
      <c r="BH10" s="9">
        <v>10000000000</v>
      </c>
      <c r="BI10" s="9">
        <v>312.3</v>
      </c>
      <c r="BJ10" s="9">
        <v>36.299999999999997</v>
      </c>
      <c r="BK10" s="9">
        <v>83.5</v>
      </c>
      <c r="BL10" s="9">
        <v>175.97</v>
      </c>
      <c r="BM10" s="9">
        <v>1.59</v>
      </c>
      <c r="BN10" s="9">
        <v>30.88</v>
      </c>
      <c r="BO10" s="9">
        <v>34.44</v>
      </c>
      <c r="BP10" s="9">
        <v>336.29</v>
      </c>
      <c r="BQ10" s="9">
        <v>62.482759999999999</v>
      </c>
      <c r="BR10" s="9">
        <v>187.7791</v>
      </c>
      <c r="BS10" s="9">
        <v>109.0941</v>
      </c>
      <c r="BT10" s="9">
        <v>107.9032</v>
      </c>
      <c r="BU10" s="9">
        <v>105.81570000000001</v>
      </c>
      <c r="BV10" s="9">
        <v>0</v>
      </c>
      <c r="BW10" s="9">
        <v>0</v>
      </c>
      <c r="BX10" s="9">
        <v>21.157869999999999</v>
      </c>
      <c r="BY10" s="9">
        <v>18.995360000000002</v>
      </c>
      <c r="BZ10" s="9">
        <v>0</v>
      </c>
      <c r="CA10" s="9">
        <v>0.93506900000000004</v>
      </c>
      <c r="CB10" s="9">
        <v>525.15499999999997</v>
      </c>
      <c r="CC10" s="9">
        <v>532.54290000000003</v>
      </c>
      <c r="CD10" s="9">
        <v>28.157869999999999</v>
      </c>
      <c r="CE10" s="9">
        <v>317.18</v>
      </c>
      <c r="CF10" s="9">
        <v>86.5</v>
      </c>
      <c r="CG10" s="9">
        <v>101.87</v>
      </c>
      <c r="CH10" s="9">
        <v>309.75</v>
      </c>
      <c r="CI10" s="9">
        <v>300.89</v>
      </c>
      <c r="CJ10" s="9">
        <v>308.97000000000003</v>
      </c>
      <c r="CK10" s="9">
        <v>321.95999999999998</v>
      </c>
      <c r="CL10" s="9">
        <v>318.99</v>
      </c>
      <c r="CM10" s="9">
        <v>315.75</v>
      </c>
      <c r="CN10" s="9">
        <v>249.31</v>
      </c>
      <c r="CO10" s="9">
        <v>26.38</v>
      </c>
      <c r="CP10" s="9">
        <v>152.69999999999999</v>
      </c>
      <c r="CQ10" s="9">
        <v>153.05000000000001</v>
      </c>
      <c r="CR10" s="9">
        <v>2.7</v>
      </c>
      <c r="CS10" s="9">
        <v>2.7</v>
      </c>
      <c r="CT10" s="9">
        <v>25.71</v>
      </c>
      <c r="CU10" s="9">
        <v>55.13</v>
      </c>
      <c r="CV10" s="9">
        <v>100.38</v>
      </c>
      <c r="CW10" s="9">
        <v>0.9422638275807661</v>
      </c>
      <c r="CX10" s="9">
        <f t="shared" si="0"/>
        <v>1.4039731030953415</v>
      </c>
    </row>
    <row r="11" spans="1:102" s="9" customFormat="1" x14ac:dyDescent="0.25">
      <c r="A11" s="9">
        <v>11</v>
      </c>
      <c r="B11" s="10">
        <v>41414.592574942129</v>
      </c>
      <c r="C11" s="9">
        <v>1</v>
      </c>
      <c r="D11" s="9">
        <v>11</v>
      </c>
      <c r="E11" s="9">
        <v>191</v>
      </c>
      <c r="F11" s="9">
        <v>191</v>
      </c>
      <c r="G11" s="9">
        <v>191</v>
      </c>
      <c r="H11" s="9">
        <v>91.7</v>
      </c>
      <c r="I11" s="9">
        <v>91.7</v>
      </c>
      <c r="J11" s="9">
        <v>1800</v>
      </c>
      <c r="K11" s="9">
        <v>2</v>
      </c>
      <c r="L11" s="9">
        <v>2</v>
      </c>
      <c r="M11" s="9">
        <v>0.19</v>
      </c>
      <c r="N11" s="9">
        <v>0.19001100000000001</v>
      </c>
      <c r="O11" s="9">
        <v>1</v>
      </c>
      <c r="P11" s="9">
        <v>1.069428</v>
      </c>
      <c r="Q11" s="9">
        <v>-1.97</v>
      </c>
      <c r="R11" s="9">
        <v>-1.966553</v>
      </c>
      <c r="S11" s="9">
        <v>116.2</v>
      </c>
      <c r="T11" s="9">
        <v>116.20310000000001</v>
      </c>
      <c r="U11" s="9">
        <v>3.5</v>
      </c>
      <c r="V11" s="9">
        <v>3.5</v>
      </c>
      <c r="W11" s="9">
        <v>300</v>
      </c>
      <c r="X11" s="9">
        <v>300</v>
      </c>
      <c r="Y11" s="9">
        <v>3.5</v>
      </c>
      <c r="Z11" s="9">
        <v>3.5</v>
      </c>
      <c r="AA11" s="9">
        <v>300</v>
      </c>
      <c r="AB11" s="9">
        <v>300</v>
      </c>
      <c r="AC11" s="9">
        <v>0</v>
      </c>
      <c r="AD11" s="9">
        <v>76.246830000000003</v>
      </c>
      <c r="AE11" s="9">
        <v>0</v>
      </c>
      <c r="AF11" s="9">
        <v>83.857969999999995</v>
      </c>
      <c r="AG11" s="9">
        <v>43</v>
      </c>
      <c r="AH11" s="9">
        <v>0.23</v>
      </c>
      <c r="AI11" s="9">
        <v>42.44</v>
      </c>
      <c r="AJ11" s="9">
        <v>51.56</v>
      </c>
      <c r="AK11" s="9">
        <v>28.03</v>
      </c>
      <c r="AL11" s="9">
        <v>28.44</v>
      </c>
      <c r="AM11" s="9">
        <v>368.52</v>
      </c>
      <c r="AN11" s="9">
        <v>108.2045</v>
      </c>
      <c r="AO11" s="9">
        <v>7.47</v>
      </c>
      <c r="AP11" s="9">
        <v>43.95</v>
      </c>
      <c r="AQ11" s="9">
        <v>15.88</v>
      </c>
      <c r="AR11" s="9">
        <v>333.78</v>
      </c>
      <c r="AS11" s="9">
        <v>20.56</v>
      </c>
      <c r="AT11" s="9">
        <v>43.69</v>
      </c>
      <c r="AU11" s="9">
        <v>95.25</v>
      </c>
      <c r="AV11" s="9">
        <v>110.18</v>
      </c>
      <c r="AW11" s="9">
        <v>0.44800000000000001</v>
      </c>
      <c r="AX11" s="9">
        <v>6.75</v>
      </c>
      <c r="AY11" s="9">
        <v>10000000000</v>
      </c>
      <c r="AZ11" s="9">
        <v>536.62</v>
      </c>
      <c r="BA11" s="9">
        <v>116.02</v>
      </c>
      <c r="BB11" s="9">
        <v>6.2</v>
      </c>
      <c r="BC11" s="9">
        <v>0.95</v>
      </c>
      <c r="BD11" s="9">
        <v>12.03</v>
      </c>
      <c r="BE11" s="9">
        <v>2.67</v>
      </c>
      <c r="BF11" s="9">
        <v>210.79</v>
      </c>
      <c r="BG11" s="9">
        <v>15.33</v>
      </c>
      <c r="BH11" s="9">
        <v>10000000000</v>
      </c>
      <c r="BI11" s="9">
        <v>266.5</v>
      </c>
      <c r="BJ11" s="9">
        <v>34.799999999999997</v>
      </c>
      <c r="BK11" s="9">
        <v>85.2</v>
      </c>
      <c r="BL11" s="9">
        <v>60.41</v>
      </c>
      <c r="BM11" s="9">
        <v>1.22</v>
      </c>
      <c r="BN11" s="9">
        <v>29.84</v>
      </c>
      <c r="BO11" s="9">
        <v>34.67</v>
      </c>
      <c r="BP11" s="9">
        <v>343.31</v>
      </c>
      <c r="BQ11" s="9">
        <v>45.838859999999997</v>
      </c>
      <c r="BR11" s="9">
        <v>122.0085</v>
      </c>
      <c r="BS11" s="9">
        <v>101.1733</v>
      </c>
      <c r="BT11" s="9">
        <v>78.275890000000004</v>
      </c>
      <c r="BU11" s="9">
        <v>76.835489999999993</v>
      </c>
      <c r="BV11" s="9">
        <v>0</v>
      </c>
      <c r="BW11" s="9">
        <v>0</v>
      </c>
      <c r="BX11" s="9">
        <v>23.768329999999999</v>
      </c>
      <c r="BY11" s="9">
        <v>18.995360000000002</v>
      </c>
      <c r="BZ11" s="9">
        <v>0</v>
      </c>
      <c r="CA11" s="9">
        <v>0.93509299999999995</v>
      </c>
      <c r="CB11" s="9">
        <v>416.79149999999998</v>
      </c>
      <c r="CC11" s="9">
        <v>424.87400000000002</v>
      </c>
      <c r="CD11" s="9">
        <v>30.768329999999999</v>
      </c>
      <c r="CE11" s="9">
        <v>352.43</v>
      </c>
      <c r="CF11" s="9">
        <v>71.739999999999995</v>
      </c>
      <c r="CG11" s="9">
        <v>84.91</v>
      </c>
      <c r="CH11" s="9">
        <v>334.72</v>
      </c>
      <c r="CI11" s="9">
        <v>325.70999999999998</v>
      </c>
      <c r="CJ11" s="9">
        <v>341.97</v>
      </c>
      <c r="CK11" s="9">
        <v>353.25</v>
      </c>
      <c r="CL11" s="9">
        <v>355.76</v>
      </c>
      <c r="CM11" s="9">
        <v>354.55</v>
      </c>
      <c r="CN11" s="9">
        <v>321.11</v>
      </c>
      <c r="CO11" s="9">
        <v>26.4</v>
      </c>
      <c r="CP11" s="9">
        <v>190.5</v>
      </c>
      <c r="CQ11" s="9">
        <v>191.05</v>
      </c>
      <c r="CR11" s="9">
        <v>3.4</v>
      </c>
      <c r="CS11" s="9">
        <v>3.4</v>
      </c>
      <c r="CT11" s="9">
        <v>25.71</v>
      </c>
      <c r="CU11" s="9">
        <v>61.08</v>
      </c>
      <c r="CV11" s="9">
        <v>100.38</v>
      </c>
      <c r="CW11" s="9">
        <v>0.95595130212358703</v>
      </c>
      <c r="CX11" s="9">
        <f t="shared" si="0"/>
        <v>2.5523899766699771</v>
      </c>
    </row>
    <row r="12" spans="1:102" s="24" customFormat="1" x14ac:dyDescent="0.25">
      <c r="A12" s="24">
        <v>14</v>
      </c>
      <c r="B12" s="25">
        <v>41414.617771006946</v>
      </c>
      <c r="C12" s="24">
        <v>1</v>
      </c>
      <c r="D12" s="24">
        <v>13</v>
      </c>
      <c r="E12" s="24">
        <v>556</v>
      </c>
      <c r="F12" s="24">
        <v>556</v>
      </c>
      <c r="G12" s="24">
        <v>556.1</v>
      </c>
      <c r="H12" s="24">
        <v>100</v>
      </c>
      <c r="I12" s="24">
        <v>100</v>
      </c>
      <c r="J12" s="24">
        <v>1890</v>
      </c>
      <c r="K12" s="24">
        <v>13</v>
      </c>
      <c r="L12" s="24">
        <v>13</v>
      </c>
      <c r="M12" s="24">
        <v>0.14000000000000001</v>
      </c>
      <c r="N12" s="24">
        <v>0.13999700000000001</v>
      </c>
      <c r="O12" s="24">
        <v>1</v>
      </c>
      <c r="P12" s="24">
        <v>1.069299</v>
      </c>
      <c r="Q12" s="24">
        <v>-3.86</v>
      </c>
      <c r="R12" s="24">
        <v>-3.856201</v>
      </c>
      <c r="S12" s="24">
        <v>180.53</v>
      </c>
      <c r="T12" s="24">
        <v>180.53129999999999</v>
      </c>
      <c r="U12" s="24">
        <v>3.5</v>
      </c>
      <c r="V12" s="24">
        <v>3.5</v>
      </c>
      <c r="W12" s="24">
        <v>300</v>
      </c>
      <c r="X12" s="24">
        <v>300</v>
      </c>
      <c r="Y12" s="24">
        <v>0</v>
      </c>
      <c r="Z12" s="24">
        <v>0</v>
      </c>
      <c r="AA12" s="24">
        <v>300</v>
      </c>
      <c r="AB12" s="24">
        <v>300</v>
      </c>
      <c r="AC12" s="24">
        <v>0</v>
      </c>
      <c r="AD12" s="24">
        <v>119.8848</v>
      </c>
      <c r="AE12" s="24">
        <v>150</v>
      </c>
      <c r="AF12" s="24">
        <v>150</v>
      </c>
      <c r="AG12" s="24">
        <v>34</v>
      </c>
      <c r="AH12" s="24">
        <v>0.16</v>
      </c>
      <c r="AI12" s="24">
        <v>70.19</v>
      </c>
      <c r="AJ12" s="24">
        <v>101.94</v>
      </c>
      <c r="AK12" s="24">
        <v>105.67</v>
      </c>
      <c r="AL12" s="24">
        <v>108.72</v>
      </c>
      <c r="AM12" s="24">
        <v>603.54</v>
      </c>
      <c r="AN12" s="24">
        <v>181.0975</v>
      </c>
      <c r="AO12" s="24">
        <v>81.180000000000007</v>
      </c>
      <c r="AP12" s="24">
        <v>108.7</v>
      </c>
      <c r="AQ12" s="24">
        <v>97.34</v>
      </c>
      <c r="AR12" s="24">
        <v>606.01</v>
      </c>
      <c r="AS12" s="24">
        <v>24.49</v>
      </c>
      <c r="AT12" s="24">
        <v>59.69</v>
      </c>
      <c r="AU12" s="24">
        <v>98.29</v>
      </c>
      <c r="AV12" s="24">
        <v>113.53</v>
      </c>
      <c r="AW12" s="24">
        <v>0.46600000000000003</v>
      </c>
      <c r="AX12" s="24">
        <v>7.06</v>
      </c>
      <c r="AY12" s="24">
        <v>10000000000</v>
      </c>
      <c r="AZ12" s="24">
        <v>544.41</v>
      </c>
      <c r="BA12" s="24">
        <v>25.37</v>
      </c>
      <c r="BB12" s="24">
        <v>9.1199999999999992</v>
      </c>
      <c r="BC12" s="24">
        <v>0.8</v>
      </c>
      <c r="BD12" s="24">
        <v>7.99</v>
      </c>
      <c r="BE12" s="24">
        <v>2.91</v>
      </c>
      <c r="BF12" s="24">
        <v>410.77</v>
      </c>
      <c r="BG12" s="24">
        <v>8.7200000000000006</v>
      </c>
      <c r="BH12" s="24">
        <v>10000000000</v>
      </c>
      <c r="BI12" s="24">
        <v>234.2</v>
      </c>
      <c r="BJ12" s="24">
        <v>23.5</v>
      </c>
      <c r="BK12" s="24">
        <v>85.7</v>
      </c>
      <c r="BL12" s="24">
        <v>57.86</v>
      </c>
      <c r="BM12" s="24">
        <v>1.95</v>
      </c>
      <c r="BN12" s="24">
        <v>29.7</v>
      </c>
      <c r="BO12" s="24">
        <v>37.299999999999997</v>
      </c>
      <c r="BP12" s="24">
        <v>631.5</v>
      </c>
      <c r="BQ12" s="24">
        <v>60.545099999999998</v>
      </c>
      <c r="BR12" s="24">
        <v>202.29400000000001</v>
      </c>
      <c r="BS12" s="24">
        <v>46.195770000000003</v>
      </c>
      <c r="BT12" s="24">
        <v>36.269170000000003</v>
      </c>
      <c r="BU12" s="24">
        <v>36.203569999999999</v>
      </c>
      <c r="BV12" s="24">
        <v>0.110763</v>
      </c>
      <c r="BW12" s="24">
        <v>0.115165</v>
      </c>
      <c r="BX12" s="24">
        <v>85.270420000000001</v>
      </c>
      <c r="BY12" s="24">
        <v>18.995360000000002</v>
      </c>
      <c r="BZ12" s="24">
        <v>0</v>
      </c>
      <c r="CA12" s="24">
        <v>0.92371700000000001</v>
      </c>
      <c r="CB12" s="24">
        <v>691.54390000000001</v>
      </c>
      <c r="CC12" s="24">
        <v>716.18460000000005</v>
      </c>
      <c r="CD12" s="24">
        <v>88.771510000000006</v>
      </c>
      <c r="CE12" s="24">
        <v>499.95</v>
      </c>
      <c r="CF12" s="24">
        <v>80.400000000000006</v>
      </c>
      <c r="CG12" s="24">
        <v>93.8</v>
      </c>
      <c r="CH12" s="24">
        <v>488.12</v>
      </c>
      <c r="CI12" s="24">
        <v>512.25</v>
      </c>
      <c r="CJ12" s="24">
        <v>525.24</v>
      </c>
      <c r="CK12" s="24">
        <v>549.6</v>
      </c>
      <c r="CL12" s="24">
        <v>553.44000000000005</v>
      </c>
      <c r="CM12" s="24">
        <v>545.69000000000005</v>
      </c>
      <c r="CN12" s="24">
        <v>484.79</v>
      </c>
      <c r="CO12" s="24">
        <v>30.26</v>
      </c>
      <c r="CP12" s="24">
        <v>554.4</v>
      </c>
      <c r="CQ12" s="24">
        <v>556.04999999999995</v>
      </c>
      <c r="CR12" s="24">
        <v>9.9</v>
      </c>
      <c r="CS12" s="24">
        <v>10</v>
      </c>
      <c r="CT12" s="24">
        <v>26.67</v>
      </c>
      <c r="CU12" s="24">
        <v>62.9</v>
      </c>
      <c r="CV12" s="24">
        <v>100.38</v>
      </c>
      <c r="CW12" s="24">
        <v>0.94404275508396651</v>
      </c>
      <c r="CX12" s="24">
        <f t="shared" si="0"/>
        <v>2.7471644172943428</v>
      </c>
    </row>
    <row r="13" spans="1:102" s="24" customFormat="1" x14ac:dyDescent="0.25">
      <c r="A13" s="24">
        <v>15</v>
      </c>
      <c r="B13" s="25">
        <v>41414.623210902777</v>
      </c>
      <c r="C13" s="24">
        <v>1</v>
      </c>
      <c r="D13" s="24">
        <v>14</v>
      </c>
      <c r="E13" s="24">
        <v>594</v>
      </c>
      <c r="F13" s="24">
        <v>594</v>
      </c>
      <c r="G13" s="24">
        <v>594</v>
      </c>
      <c r="H13" s="24">
        <v>100</v>
      </c>
      <c r="I13" s="24">
        <v>100</v>
      </c>
      <c r="J13" s="24">
        <v>1890</v>
      </c>
      <c r="K13" s="24">
        <v>11</v>
      </c>
      <c r="L13" s="24">
        <v>11</v>
      </c>
      <c r="M13" s="24">
        <v>0.3</v>
      </c>
      <c r="N13" s="24">
        <v>0.299927</v>
      </c>
      <c r="O13" s="24">
        <v>1</v>
      </c>
      <c r="P13" s="24">
        <v>1.0692919999999999</v>
      </c>
      <c r="Q13" s="24">
        <v>-3.14</v>
      </c>
      <c r="R13" s="24">
        <v>-3.14209</v>
      </c>
      <c r="S13" s="24">
        <v>185.58</v>
      </c>
      <c r="T13" s="24">
        <v>185.57810000000001</v>
      </c>
      <c r="U13" s="24">
        <v>3.5</v>
      </c>
      <c r="V13" s="24">
        <v>3.5</v>
      </c>
      <c r="W13" s="24">
        <v>300</v>
      </c>
      <c r="X13" s="24">
        <v>300</v>
      </c>
      <c r="Y13" s="24">
        <v>0</v>
      </c>
      <c r="Z13" s="24">
        <v>0</v>
      </c>
      <c r="AA13" s="24">
        <v>300</v>
      </c>
      <c r="AB13" s="24">
        <v>300</v>
      </c>
      <c r="AC13" s="24">
        <v>0</v>
      </c>
      <c r="AD13" s="24">
        <v>119.41930000000001</v>
      </c>
      <c r="AE13" s="24">
        <v>150</v>
      </c>
      <c r="AF13" s="24">
        <v>150</v>
      </c>
      <c r="AG13" s="24">
        <v>34</v>
      </c>
      <c r="AH13" s="24">
        <v>0.16</v>
      </c>
      <c r="AI13" s="24">
        <v>70.3</v>
      </c>
      <c r="AJ13" s="24">
        <v>100.38</v>
      </c>
      <c r="AK13" s="24">
        <v>99.47</v>
      </c>
      <c r="AL13" s="24">
        <v>101.46</v>
      </c>
      <c r="AM13" s="24">
        <v>637.73</v>
      </c>
      <c r="AN13" s="24">
        <v>181.20259999999999</v>
      </c>
      <c r="AO13" s="24">
        <v>81.72</v>
      </c>
      <c r="AP13" s="24">
        <v>107.92</v>
      </c>
      <c r="AQ13" s="24">
        <v>97.11</v>
      </c>
      <c r="AR13" s="24">
        <v>576.72</v>
      </c>
      <c r="AS13" s="24">
        <v>17.760000000000002</v>
      </c>
      <c r="AT13" s="24">
        <v>61.54</v>
      </c>
      <c r="AU13" s="24">
        <v>102.06</v>
      </c>
      <c r="AV13" s="24">
        <v>117.02</v>
      </c>
      <c r="AW13" s="24">
        <v>1.103</v>
      </c>
      <c r="AX13" s="24">
        <v>20.3</v>
      </c>
      <c r="AY13" s="24">
        <v>10000000000</v>
      </c>
      <c r="AZ13" s="24">
        <v>796.84</v>
      </c>
      <c r="BA13" s="24">
        <v>19.04</v>
      </c>
      <c r="BB13" s="24">
        <v>10.19</v>
      </c>
      <c r="BC13" s="24">
        <v>1.36</v>
      </c>
      <c r="BD13" s="24">
        <v>6.4</v>
      </c>
      <c r="BE13" s="24">
        <v>1.82</v>
      </c>
      <c r="BF13" s="24">
        <v>294.27</v>
      </c>
      <c r="BG13" s="24">
        <v>13.32</v>
      </c>
      <c r="BH13" s="24">
        <v>10000000000</v>
      </c>
      <c r="BI13" s="24">
        <v>234.4</v>
      </c>
      <c r="BJ13" s="24">
        <v>20.9</v>
      </c>
      <c r="BK13" s="24">
        <v>84.6</v>
      </c>
      <c r="BL13" s="24">
        <v>88.59</v>
      </c>
      <c r="BM13" s="24">
        <v>1.98</v>
      </c>
      <c r="BN13" s="24">
        <v>30.21</v>
      </c>
      <c r="BO13" s="24">
        <v>38.28</v>
      </c>
      <c r="BP13" s="24">
        <v>603.88</v>
      </c>
      <c r="BQ13" s="24">
        <v>62.153590000000001</v>
      </c>
      <c r="BR13" s="24">
        <v>192.5694</v>
      </c>
      <c r="BS13" s="24">
        <v>44.789760000000001</v>
      </c>
      <c r="BT13" s="24">
        <v>33.934950000000001</v>
      </c>
      <c r="BU13" s="24">
        <v>33.859380000000002</v>
      </c>
      <c r="BV13" s="24">
        <v>0.10678</v>
      </c>
      <c r="BW13" s="24">
        <v>0.11121300000000001</v>
      </c>
      <c r="BX13" s="24">
        <v>91.311769999999996</v>
      </c>
      <c r="BY13" s="24">
        <v>18.995360000000002</v>
      </c>
      <c r="BZ13" s="24">
        <v>0</v>
      </c>
      <c r="CA13" s="24">
        <v>0.92210199999999998</v>
      </c>
      <c r="CB13" s="24">
        <v>687.42830000000004</v>
      </c>
      <c r="CC13" s="24">
        <v>713.76120000000003</v>
      </c>
      <c r="CD13" s="24">
        <v>94.81344</v>
      </c>
      <c r="CE13" s="24">
        <v>565.37</v>
      </c>
      <c r="CF13" s="24">
        <v>85.32</v>
      </c>
      <c r="CG13" s="24">
        <v>98.13</v>
      </c>
      <c r="CH13" s="24">
        <v>515.49</v>
      </c>
      <c r="CI13" s="24">
        <v>538.66999999999996</v>
      </c>
      <c r="CJ13" s="24">
        <v>550.32000000000005</v>
      </c>
      <c r="CK13" s="24">
        <v>578.55999999999995</v>
      </c>
      <c r="CL13" s="24">
        <v>580.04</v>
      </c>
      <c r="CM13" s="24">
        <v>581.33000000000004</v>
      </c>
      <c r="CN13" s="24">
        <v>518.94000000000005</v>
      </c>
      <c r="CO13" s="24">
        <v>31.21</v>
      </c>
      <c r="CP13" s="24">
        <v>592.20000000000005</v>
      </c>
      <c r="CQ13" s="24">
        <v>594.04</v>
      </c>
      <c r="CR13" s="24">
        <v>10.6</v>
      </c>
      <c r="CS13" s="24">
        <v>10.6</v>
      </c>
      <c r="CT13" s="24">
        <v>27.01</v>
      </c>
      <c r="CU13" s="24">
        <v>65.58</v>
      </c>
      <c r="CV13" s="24">
        <v>100.38</v>
      </c>
      <c r="CW13" s="24">
        <v>0.94542154999402916</v>
      </c>
      <c r="CX13" s="24">
        <f t="shared" si="0"/>
        <v>1.7206672209891332</v>
      </c>
    </row>
    <row r="14" spans="1:102" s="24" customFormat="1" x14ac:dyDescent="0.25">
      <c r="A14" s="24">
        <v>16</v>
      </c>
      <c r="B14" s="25">
        <v>41414.628642916665</v>
      </c>
      <c r="C14" s="24">
        <v>1</v>
      </c>
      <c r="D14" s="24">
        <v>15</v>
      </c>
      <c r="E14" s="24">
        <v>631</v>
      </c>
      <c r="F14" s="24">
        <v>631</v>
      </c>
      <c r="G14" s="24">
        <v>631</v>
      </c>
      <c r="H14" s="24">
        <v>100</v>
      </c>
      <c r="I14" s="24">
        <v>100</v>
      </c>
      <c r="J14" s="24">
        <v>1890</v>
      </c>
      <c r="K14" s="24">
        <v>30</v>
      </c>
      <c r="L14" s="24">
        <v>30</v>
      </c>
      <c r="M14" s="24">
        <v>0.1</v>
      </c>
      <c r="N14" s="24">
        <v>9.9963999999999997E-2</v>
      </c>
      <c r="O14" s="24">
        <v>1</v>
      </c>
      <c r="P14" s="24">
        <v>1.069234</v>
      </c>
      <c r="Q14" s="24">
        <v>-1.82</v>
      </c>
      <c r="R14" s="24">
        <v>-1.8237300000000001</v>
      </c>
      <c r="S14" s="24">
        <v>186.99</v>
      </c>
      <c r="T14" s="24">
        <v>186.98439999999999</v>
      </c>
      <c r="U14" s="24">
        <v>3.5</v>
      </c>
      <c r="V14" s="24">
        <v>3.5</v>
      </c>
      <c r="W14" s="24">
        <v>300</v>
      </c>
      <c r="X14" s="24">
        <v>300</v>
      </c>
      <c r="Y14" s="24">
        <v>0</v>
      </c>
      <c r="Z14" s="24">
        <v>0</v>
      </c>
      <c r="AA14" s="24">
        <v>300</v>
      </c>
      <c r="AB14" s="24">
        <v>300</v>
      </c>
      <c r="AC14" s="24">
        <v>0</v>
      </c>
      <c r="AD14" s="24">
        <v>147.16560000000001</v>
      </c>
      <c r="AE14" s="24">
        <v>150</v>
      </c>
      <c r="AF14" s="24">
        <v>150</v>
      </c>
      <c r="AG14" s="24">
        <v>34</v>
      </c>
      <c r="AH14" s="24">
        <v>0.16</v>
      </c>
      <c r="AI14" s="24">
        <v>85.1</v>
      </c>
      <c r="AJ14" s="24">
        <v>119.69</v>
      </c>
      <c r="AK14" s="24">
        <v>168.87</v>
      </c>
      <c r="AL14" s="24">
        <v>172.04</v>
      </c>
      <c r="AM14" s="24">
        <v>556.04999999999995</v>
      </c>
      <c r="AN14" s="24">
        <v>221.9649</v>
      </c>
      <c r="AO14" s="24">
        <v>122.45</v>
      </c>
      <c r="AP14" s="24">
        <v>139.97</v>
      </c>
      <c r="AQ14" s="24">
        <v>141.83000000000001</v>
      </c>
      <c r="AR14" s="24">
        <v>734.47</v>
      </c>
      <c r="AS14" s="24">
        <v>46.42</v>
      </c>
      <c r="AT14" s="24">
        <v>60.31</v>
      </c>
      <c r="AU14" s="24">
        <v>99.24</v>
      </c>
      <c r="AV14" s="24">
        <v>121.83</v>
      </c>
      <c r="AW14" s="24">
        <v>0.11700000000000001</v>
      </c>
      <c r="AX14" s="24">
        <v>1.59</v>
      </c>
      <c r="AY14" s="24">
        <v>10000000000</v>
      </c>
      <c r="AZ14" s="24">
        <v>380.58</v>
      </c>
      <c r="BA14" s="24">
        <v>22.02</v>
      </c>
      <c r="BB14" s="24">
        <v>8.16</v>
      </c>
      <c r="BC14" s="24">
        <v>0.71</v>
      </c>
      <c r="BD14" s="24">
        <v>9.33</v>
      </c>
      <c r="BE14" s="24">
        <v>3.94</v>
      </c>
      <c r="BF14" s="24">
        <v>511.65</v>
      </c>
      <c r="BG14" s="24">
        <v>8.65</v>
      </c>
      <c r="BH14" s="24">
        <v>10000000000</v>
      </c>
      <c r="BI14" s="24">
        <v>225.4</v>
      </c>
      <c r="BJ14" s="24">
        <v>26.1</v>
      </c>
      <c r="BK14" s="24">
        <v>84.9</v>
      </c>
      <c r="BL14" s="24">
        <v>69.53</v>
      </c>
      <c r="BM14" s="24">
        <v>2.38</v>
      </c>
      <c r="BN14" s="24">
        <v>29.62</v>
      </c>
      <c r="BO14" s="24">
        <v>36.5</v>
      </c>
      <c r="BP14" s="24">
        <v>762.62</v>
      </c>
      <c r="BQ14" s="24">
        <v>61.084530000000001</v>
      </c>
      <c r="BR14" s="24">
        <v>266.23450000000003</v>
      </c>
      <c r="BS14" s="24">
        <v>44.428809999999999</v>
      </c>
      <c r="BT14" s="24">
        <v>41.406860000000002</v>
      </c>
      <c r="BU14" s="24">
        <v>40.941769999999998</v>
      </c>
      <c r="BV14" s="24">
        <v>0.105488</v>
      </c>
      <c r="BW14" s="24">
        <v>0.103634</v>
      </c>
      <c r="BX14" s="24">
        <v>92.971310000000003</v>
      </c>
      <c r="BY14" s="24">
        <v>18.995360000000002</v>
      </c>
      <c r="BZ14" s="24">
        <v>0</v>
      </c>
      <c r="CA14" s="24">
        <v>0.92165900000000001</v>
      </c>
      <c r="CB14" s="24">
        <v>844.3623</v>
      </c>
      <c r="CC14" s="24">
        <v>871.15610000000004</v>
      </c>
      <c r="CD14" s="24">
        <v>96.472449999999995</v>
      </c>
      <c r="CE14" s="24">
        <v>478.56</v>
      </c>
      <c r="CF14" s="24">
        <v>81.680000000000007</v>
      </c>
      <c r="CG14" s="24">
        <v>93.7</v>
      </c>
      <c r="CH14" s="24">
        <v>462.34</v>
      </c>
      <c r="CI14" s="24">
        <v>481.36</v>
      </c>
      <c r="CJ14" s="24">
        <v>496.23</v>
      </c>
      <c r="CK14" s="24">
        <v>521.84</v>
      </c>
      <c r="CL14" s="24">
        <v>522.54999999999995</v>
      </c>
      <c r="CM14" s="24">
        <v>514.25</v>
      </c>
      <c r="CN14" s="24">
        <v>416.7</v>
      </c>
      <c r="CO14" s="24">
        <v>28.53</v>
      </c>
      <c r="CP14" s="24">
        <v>628.79999999999995</v>
      </c>
      <c r="CQ14" s="24">
        <v>631.04999999999995</v>
      </c>
      <c r="CR14" s="24">
        <v>11.3</v>
      </c>
      <c r="CS14" s="24">
        <v>11.3</v>
      </c>
      <c r="CT14" s="24">
        <v>25.39</v>
      </c>
      <c r="CU14" s="24">
        <v>67.8</v>
      </c>
      <c r="CV14" s="24">
        <v>100.38</v>
      </c>
      <c r="CW14" s="24">
        <v>0.95324820476373684</v>
      </c>
      <c r="CX14" s="24">
        <f t="shared" si="0"/>
        <v>3.7557979267691231</v>
      </c>
    </row>
    <row r="15" spans="1:102" s="24" customFormat="1" x14ac:dyDescent="0.25">
      <c r="A15" s="24">
        <v>17</v>
      </c>
      <c r="B15" s="25">
        <v>41414.634064641206</v>
      </c>
      <c r="C15" s="24">
        <v>1</v>
      </c>
      <c r="D15" s="24">
        <v>16</v>
      </c>
      <c r="E15" s="24">
        <v>706</v>
      </c>
      <c r="F15" s="24">
        <v>706</v>
      </c>
      <c r="G15" s="24">
        <v>706</v>
      </c>
      <c r="H15" s="24">
        <v>100</v>
      </c>
      <c r="I15" s="24">
        <v>100</v>
      </c>
      <c r="J15" s="24">
        <v>1890</v>
      </c>
      <c r="K15" s="24">
        <v>51</v>
      </c>
      <c r="L15" s="24">
        <v>51</v>
      </c>
      <c r="M15" s="24">
        <v>0.28000000000000003</v>
      </c>
      <c r="N15" s="24">
        <v>0.27999200000000002</v>
      </c>
      <c r="O15" s="24">
        <v>1</v>
      </c>
      <c r="P15" s="24">
        <v>1.0693459999999999</v>
      </c>
      <c r="Q15" s="24">
        <v>1.03</v>
      </c>
      <c r="R15" s="24">
        <v>1.032715</v>
      </c>
      <c r="S15" s="24">
        <v>188.52</v>
      </c>
      <c r="T15" s="24">
        <v>188.51560000000001</v>
      </c>
      <c r="U15" s="24">
        <v>3.5</v>
      </c>
      <c r="V15" s="24">
        <v>3.5</v>
      </c>
      <c r="W15" s="24">
        <v>300</v>
      </c>
      <c r="X15" s="24">
        <v>300</v>
      </c>
      <c r="Y15" s="24">
        <v>0</v>
      </c>
      <c r="Z15" s="24">
        <v>0</v>
      </c>
      <c r="AA15" s="24">
        <v>300</v>
      </c>
      <c r="AB15" s="24">
        <v>300</v>
      </c>
      <c r="AC15" s="24">
        <v>0</v>
      </c>
      <c r="AD15" s="24">
        <v>174.59280000000001</v>
      </c>
      <c r="AE15" s="24">
        <v>150</v>
      </c>
      <c r="AF15" s="24">
        <v>150</v>
      </c>
      <c r="AG15" s="24">
        <v>34</v>
      </c>
      <c r="AH15" s="24">
        <v>0.16</v>
      </c>
      <c r="AI15" s="24">
        <v>100.57</v>
      </c>
      <c r="AJ15" s="24">
        <v>127.84</v>
      </c>
      <c r="AK15" s="24">
        <v>233.98</v>
      </c>
      <c r="AL15" s="24">
        <v>231.95</v>
      </c>
      <c r="AM15" s="24">
        <v>544.16999999999996</v>
      </c>
      <c r="AN15" s="24">
        <v>268.55410000000001</v>
      </c>
      <c r="AO15" s="24">
        <v>169.93</v>
      </c>
      <c r="AP15" s="24">
        <v>165.98</v>
      </c>
      <c r="AQ15" s="24">
        <v>188.27</v>
      </c>
      <c r="AR15" s="24">
        <v>707.97</v>
      </c>
      <c r="AS15" s="24">
        <v>64.05</v>
      </c>
      <c r="AT15" s="24">
        <v>77.459999999999994</v>
      </c>
      <c r="AU15" s="24">
        <v>133.88999999999999</v>
      </c>
      <c r="AV15" s="24">
        <v>126.19</v>
      </c>
      <c r="AW15" s="24">
        <v>0.754</v>
      </c>
      <c r="AX15" s="24">
        <v>12.49</v>
      </c>
      <c r="AY15" s="24">
        <v>10000000000</v>
      </c>
      <c r="AZ15" s="24">
        <v>442.15</v>
      </c>
      <c r="BA15" s="24">
        <v>17.809999999999999</v>
      </c>
      <c r="BB15" s="24">
        <v>9.42</v>
      </c>
      <c r="BC15" s="24">
        <v>2.29</v>
      </c>
      <c r="BD15" s="24">
        <v>7.61</v>
      </c>
      <c r="BE15" s="24">
        <v>1.23</v>
      </c>
      <c r="BF15" s="24">
        <v>189.81</v>
      </c>
      <c r="BG15" s="24">
        <v>24.32</v>
      </c>
      <c r="BH15" s="24">
        <v>10000000000</v>
      </c>
      <c r="BI15" s="24">
        <v>223.8</v>
      </c>
      <c r="BJ15" s="24">
        <v>22.7</v>
      </c>
      <c r="BK15" s="24">
        <v>81.7</v>
      </c>
      <c r="BL15" s="24">
        <v>227.66</v>
      </c>
      <c r="BM15" s="24">
        <v>2.88</v>
      </c>
      <c r="BN15" s="24">
        <v>31.07</v>
      </c>
      <c r="BO15" s="24">
        <v>37.590000000000003</v>
      </c>
      <c r="BP15" s="24">
        <v>739.75</v>
      </c>
      <c r="BQ15" s="24">
        <v>75.588750000000005</v>
      </c>
      <c r="BR15" s="24">
        <v>317.58300000000003</v>
      </c>
      <c r="BS15" s="24">
        <v>42.33175</v>
      </c>
      <c r="BT15" s="24">
        <v>43.338389999999997</v>
      </c>
      <c r="BU15" s="24">
        <v>42.613460000000003</v>
      </c>
      <c r="BV15" s="24">
        <v>9.9328E-2</v>
      </c>
      <c r="BW15" s="24">
        <v>9.4940999999999998E-2</v>
      </c>
      <c r="BX15" s="24">
        <v>104.5548</v>
      </c>
      <c r="BY15" s="24">
        <v>18.995360000000002</v>
      </c>
      <c r="BZ15" s="24">
        <v>0</v>
      </c>
      <c r="CA15" s="24">
        <v>0.91952500000000004</v>
      </c>
      <c r="CB15" s="24">
        <v>976.84249999999997</v>
      </c>
      <c r="CC15" s="24">
        <v>1006.864</v>
      </c>
      <c r="CD15" s="24">
        <v>108.0568</v>
      </c>
      <c r="CE15" s="24">
        <v>538.12</v>
      </c>
      <c r="CF15" s="24">
        <v>110.98</v>
      </c>
      <c r="CG15" s="24">
        <v>130.80000000000001</v>
      </c>
      <c r="CH15" s="24">
        <v>466.04</v>
      </c>
      <c r="CI15" s="24">
        <v>484.6</v>
      </c>
      <c r="CJ15" s="24">
        <v>499.1</v>
      </c>
      <c r="CK15" s="24">
        <v>525.16999999999996</v>
      </c>
      <c r="CL15" s="24">
        <v>528.75</v>
      </c>
      <c r="CM15" s="24">
        <v>525.24</v>
      </c>
      <c r="CN15" s="24">
        <v>380.52</v>
      </c>
      <c r="CO15" s="24">
        <v>29.32</v>
      </c>
      <c r="CP15" s="24">
        <v>703.6</v>
      </c>
      <c r="CQ15" s="24">
        <v>706.05</v>
      </c>
      <c r="CR15" s="24">
        <v>12.6</v>
      </c>
      <c r="CS15" s="24">
        <v>12.6</v>
      </c>
      <c r="CT15" s="24">
        <v>24.77</v>
      </c>
      <c r="CU15" s="24">
        <v>67.900000000000006</v>
      </c>
      <c r="CV15" s="24">
        <v>100.39</v>
      </c>
      <c r="CW15" s="24">
        <v>0.93697665822206067</v>
      </c>
      <c r="CX15" s="24">
        <f t="shared" si="0"/>
        <v>1.1524812896131347</v>
      </c>
    </row>
    <row r="16" spans="1:102" s="24" customFormat="1" x14ac:dyDescent="0.25">
      <c r="A16" s="24">
        <v>18</v>
      </c>
      <c r="B16" s="25">
        <v>41414.639488912035</v>
      </c>
      <c r="C16" s="24">
        <v>1</v>
      </c>
      <c r="D16" s="24">
        <v>17</v>
      </c>
      <c r="E16" s="24">
        <v>781</v>
      </c>
      <c r="F16" s="24">
        <v>781</v>
      </c>
      <c r="G16" s="24">
        <v>781.1</v>
      </c>
      <c r="H16" s="24">
        <v>100</v>
      </c>
      <c r="I16" s="24">
        <v>100</v>
      </c>
      <c r="J16" s="24">
        <v>1890</v>
      </c>
      <c r="K16" s="24">
        <v>14</v>
      </c>
      <c r="L16" s="24">
        <v>14</v>
      </c>
      <c r="M16" s="24">
        <v>0.22</v>
      </c>
      <c r="N16" s="24">
        <v>0.219998</v>
      </c>
      <c r="O16" s="24">
        <v>1</v>
      </c>
      <c r="P16" s="24">
        <v>1.0693550000000001</v>
      </c>
      <c r="Q16" s="24">
        <v>3.39</v>
      </c>
      <c r="R16" s="24">
        <v>3.3947750000000001</v>
      </c>
      <c r="S16" s="24">
        <v>191.16</v>
      </c>
      <c r="T16" s="24">
        <v>191.15629999999999</v>
      </c>
      <c r="U16" s="24">
        <v>3.5</v>
      </c>
      <c r="V16" s="24">
        <v>3.5</v>
      </c>
      <c r="W16" s="24">
        <v>300</v>
      </c>
      <c r="X16" s="24">
        <v>300</v>
      </c>
      <c r="Y16" s="24">
        <v>0</v>
      </c>
      <c r="Z16" s="24">
        <v>0</v>
      </c>
      <c r="AA16" s="24">
        <v>300</v>
      </c>
      <c r="AB16" s="24">
        <v>300</v>
      </c>
      <c r="AC16" s="24">
        <v>0</v>
      </c>
      <c r="AD16" s="24">
        <v>136.38319999999999</v>
      </c>
      <c r="AE16" s="24">
        <v>150</v>
      </c>
      <c r="AF16" s="24">
        <v>150</v>
      </c>
      <c r="AG16" s="24">
        <v>34</v>
      </c>
      <c r="AH16" s="24">
        <v>0.16</v>
      </c>
      <c r="AI16" s="24">
        <v>89.05</v>
      </c>
      <c r="AJ16" s="24">
        <v>112.31</v>
      </c>
      <c r="AK16" s="24">
        <v>130.6</v>
      </c>
      <c r="AL16" s="24">
        <v>133.4</v>
      </c>
      <c r="AM16" s="24">
        <v>648.41</v>
      </c>
      <c r="AN16" s="24">
        <v>207.6859</v>
      </c>
      <c r="AO16" s="24">
        <v>108.06</v>
      </c>
      <c r="AP16" s="24">
        <v>127.75</v>
      </c>
      <c r="AQ16" s="24">
        <v>125.61</v>
      </c>
      <c r="AR16" s="24">
        <v>669.23</v>
      </c>
      <c r="AS16" s="24">
        <v>22.55</v>
      </c>
      <c r="AT16" s="24">
        <v>61.67</v>
      </c>
      <c r="AU16" s="24">
        <v>102.21</v>
      </c>
      <c r="AV16" s="24">
        <v>119.8</v>
      </c>
      <c r="AW16" s="24">
        <v>0.65</v>
      </c>
      <c r="AX16" s="24">
        <v>10.42</v>
      </c>
      <c r="AY16" s="24">
        <v>10000000000</v>
      </c>
      <c r="AZ16" s="24">
        <v>599.74</v>
      </c>
      <c r="BA16" s="24">
        <v>16.09</v>
      </c>
      <c r="BB16" s="24">
        <v>10.72</v>
      </c>
      <c r="BC16" s="24">
        <v>1.21</v>
      </c>
      <c r="BD16" s="24">
        <v>5.69</v>
      </c>
      <c r="BE16" s="24">
        <v>3.06</v>
      </c>
      <c r="BF16" s="24">
        <v>566.63</v>
      </c>
      <c r="BG16" s="24">
        <v>11.24</v>
      </c>
      <c r="BH16" s="24">
        <v>10000000000</v>
      </c>
      <c r="BI16" s="24">
        <v>217.4</v>
      </c>
      <c r="BJ16" s="24">
        <v>19.899999999999999</v>
      </c>
      <c r="BK16" s="24">
        <v>84.3</v>
      </c>
      <c r="BL16" s="24">
        <v>84.78</v>
      </c>
      <c r="BM16" s="24">
        <v>2.25</v>
      </c>
      <c r="BN16" s="24">
        <v>30.07</v>
      </c>
      <c r="BO16" s="24">
        <v>38.72</v>
      </c>
      <c r="BP16" s="24">
        <v>702.99</v>
      </c>
      <c r="BQ16" s="24">
        <v>62.443179999999998</v>
      </c>
      <c r="BR16" s="24">
        <v>225.73050000000001</v>
      </c>
      <c r="BS16" s="24">
        <v>40.857570000000003</v>
      </c>
      <c r="BT16" s="24">
        <v>32.316630000000004</v>
      </c>
      <c r="BU16" s="24">
        <v>32.454140000000002</v>
      </c>
      <c r="BV16" s="24">
        <v>0.106276</v>
      </c>
      <c r="BW16" s="24">
        <v>9.0888999999999998E-2</v>
      </c>
      <c r="BX16" s="24">
        <v>112.9028</v>
      </c>
      <c r="BY16" s="24">
        <v>18.995360000000002</v>
      </c>
      <c r="BZ16" s="24">
        <v>0</v>
      </c>
      <c r="CA16" s="24">
        <v>0.91594500000000001</v>
      </c>
      <c r="CB16" s="24">
        <v>781.89670000000001</v>
      </c>
      <c r="CC16" s="24">
        <v>814.2423</v>
      </c>
      <c r="CD16" s="24">
        <v>116.405</v>
      </c>
      <c r="CE16" s="24">
        <v>572.02</v>
      </c>
      <c r="CF16" s="24">
        <v>87.6</v>
      </c>
      <c r="CG16" s="24">
        <v>99.99</v>
      </c>
      <c r="CH16" s="24">
        <v>532.97</v>
      </c>
      <c r="CI16" s="24">
        <v>556.07000000000005</v>
      </c>
      <c r="CJ16" s="24">
        <v>572.80999999999995</v>
      </c>
      <c r="CK16" s="24">
        <v>604.01</v>
      </c>
      <c r="CL16" s="24">
        <v>595.38</v>
      </c>
      <c r="CM16" s="24">
        <v>597.67999999999995</v>
      </c>
      <c r="CN16" s="24">
        <v>517.91</v>
      </c>
      <c r="CO16" s="24">
        <v>29.48</v>
      </c>
      <c r="CP16" s="24">
        <v>777.1</v>
      </c>
      <c r="CQ16" s="24">
        <v>781.06</v>
      </c>
      <c r="CR16" s="24">
        <v>13.9</v>
      </c>
      <c r="CS16" s="24">
        <v>14</v>
      </c>
      <c r="CT16" s="24">
        <v>24.56</v>
      </c>
      <c r="CU16" s="24">
        <v>67.66</v>
      </c>
      <c r="CV16" s="24">
        <v>100.39</v>
      </c>
      <c r="CW16" s="24">
        <v>0.92381700869977745</v>
      </c>
      <c r="CX16" s="24">
        <f t="shared" si="0"/>
        <v>2.8268800466213189</v>
      </c>
    </row>
    <row r="17" spans="1:102" s="43" customFormat="1" x14ac:dyDescent="0.25">
      <c r="A17" s="43">
        <v>19</v>
      </c>
      <c r="B17" s="44">
        <v>41414.644911678239</v>
      </c>
      <c r="C17" s="43">
        <v>1</v>
      </c>
      <c r="D17" s="43">
        <v>18</v>
      </c>
      <c r="E17" s="43">
        <v>247</v>
      </c>
      <c r="F17" s="43">
        <v>247</v>
      </c>
      <c r="G17" s="43">
        <v>247</v>
      </c>
      <c r="H17" s="43">
        <v>100</v>
      </c>
      <c r="I17" s="43">
        <v>100</v>
      </c>
      <c r="J17" s="43">
        <v>1890</v>
      </c>
      <c r="K17" s="43">
        <v>16</v>
      </c>
      <c r="L17" s="43">
        <v>16</v>
      </c>
      <c r="M17" s="43">
        <v>0.09</v>
      </c>
      <c r="N17" s="43">
        <v>9.0018000000000001E-2</v>
      </c>
      <c r="O17" s="43">
        <v>1</v>
      </c>
      <c r="P17" s="43">
        <v>1.069388</v>
      </c>
      <c r="Q17" s="43">
        <v>-3.43</v>
      </c>
      <c r="R17" s="43">
        <v>-3.4277340000000001</v>
      </c>
      <c r="S17" s="43">
        <v>127.31</v>
      </c>
      <c r="T17" s="43">
        <v>127.3125</v>
      </c>
      <c r="U17" s="43">
        <v>3.5</v>
      </c>
      <c r="V17" s="43">
        <v>3.5</v>
      </c>
      <c r="W17" s="43">
        <v>300</v>
      </c>
      <c r="X17" s="43">
        <v>300</v>
      </c>
      <c r="Y17" s="43">
        <v>3.5</v>
      </c>
      <c r="Z17" s="43">
        <v>3.5</v>
      </c>
      <c r="AA17" s="43">
        <v>300</v>
      </c>
      <c r="AB17" s="43">
        <v>300</v>
      </c>
      <c r="AC17" s="43">
        <v>0</v>
      </c>
      <c r="AD17" s="43">
        <v>88.367500000000007</v>
      </c>
      <c r="AE17" s="43">
        <v>0</v>
      </c>
      <c r="AF17" s="43">
        <v>88.367500000000007</v>
      </c>
      <c r="AG17" s="43">
        <v>37</v>
      </c>
      <c r="AH17" s="43">
        <v>0.17</v>
      </c>
      <c r="AI17" s="43">
        <v>49.92</v>
      </c>
      <c r="AJ17" s="43">
        <v>72.2</v>
      </c>
      <c r="AK17" s="43">
        <v>54.39</v>
      </c>
      <c r="AL17" s="43">
        <v>56.41</v>
      </c>
      <c r="AM17" s="43">
        <v>413.03</v>
      </c>
      <c r="AN17" s="43">
        <v>127.2433</v>
      </c>
      <c r="AO17" s="43">
        <v>26.74</v>
      </c>
      <c r="AP17" s="43">
        <v>63.53</v>
      </c>
      <c r="AQ17" s="43">
        <v>38.479999999999997</v>
      </c>
      <c r="AR17" s="43">
        <v>447.84</v>
      </c>
      <c r="AS17" s="43">
        <v>27.65</v>
      </c>
      <c r="AT17" s="43">
        <v>45.92</v>
      </c>
      <c r="AU17" s="43">
        <v>94.59</v>
      </c>
      <c r="AV17" s="43">
        <v>111.6</v>
      </c>
      <c r="AW17" s="43">
        <v>0.27100000000000002</v>
      </c>
      <c r="AX17" s="43">
        <v>3.87</v>
      </c>
      <c r="AY17" s="43">
        <v>10000000000</v>
      </c>
      <c r="AZ17" s="43">
        <v>482.8</v>
      </c>
      <c r="BA17" s="43">
        <v>77.34</v>
      </c>
      <c r="BB17" s="43">
        <v>6.1</v>
      </c>
      <c r="BC17" s="43">
        <v>0.44</v>
      </c>
      <c r="BD17" s="43">
        <v>12.17</v>
      </c>
      <c r="BE17" s="43">
        <v>3.54</v>
      </c>
      <c r="BF17" s="43">
        <v>282.79000000000002</v>
      </c>
      <c r="BG17" s="43">
        <v>7.23</v>
      </c>
      <c r="BH17" s="43">
        <v>10000000000</v>
      </c>
      <c r="BI17" s="43">
        <v>260.3</v>
      </c>
      <c r="BJ17" s="43">
        <v>35.200000000000003</v>
      </c>
      <c r="BK17" s="43">
        <v>86.2</v>
      </c>
      <c r="BL17" s="43">
        <v>34.9</v>
      </c>
      <c r="BM17" s="43">
        <v>1.41</v>
      </c>
      <c r="BN17" s="43">
        <v>29.38</v>
      </c>
      <c r="BO17" s="43">
        <v>34.61</v>
      </c>
      <c r="BP17" s="43">
        <v>460.38</v>
      </c>
      <c r="BQ17" s="43">
        <v>48.025469999999999</v>
      </c>
      <c r="BR17" s="43">
        <v>157.33269999999999</v>
      </c>
      <c r="BS17" s="43">
        <v>78.237750000000005</v>
      </c>
      <c r="BT17" s="43">
        <v>61.299590000000002</v>
      </c>
      <c r="BU17" s="43">
        <v>61.266480000000001</v>
      </c>
      <c r="BV17" s="43">
        <v>6.1872000000000003E-2</v>
      </c>
      <c r="BW17" s="43">
        <v>6.9526000000000004E-2</v>
      </c>
      <c r="BX17" s="43">
        <v>34.28078</v>
      </c>
      <c r="BY17" s="43">
        <v>18.995360000000002</v>
      </c>
      <c r="BZ17" s="43">
        <v>0</v>
      </c>
      <c r="CA17" s="43">
        <v>0.93388400000000005</v>
      </c>
      <c r="CB17" s="43">
        <v>510.3723</v>
      </c>
      <c r="CC17" s="43">
        <v>521.78639999999996</v>
      </c>
      <c r="CD17" s="43">
        <v>41.281089999999999</v>
      </c>
      <c r="CE17" s="43">
        <v>345.07</v>
      </c>
      <c r="CF17" s="43">
        <v>70.8</v>
      </c>
      <c r="CG17" s="43">
        <v>84.81</v>
      </c>
      <c r="CH17" s="43">
        <v>359.56</v>
      </c>
      <c r="CI17" s="43">
        <v>365.63</v>
      </c>
      <c r="CJ17" s="43">
        <v>381.3</v>
      </c>
      <c r="CK17" s="43">
        <v>395.67</v>
      </c>
      <c r="CL17" s="43">
        <v>391.53</v>
      </c>
      <c r="CM17" s="43">
        <v>385.26</v>
      </c>
      <c r="CN17" s="43">
        <v>350.95</v>
      </c>
      <c r="CO17" s="43">
        <v>24.71</v>
      </c>
      <c r="CP17" s="43">
        <v>246.3</v>
      </c>
      <c r="CQ17" s="43">
        <v>247.05</v>
      </c>
      <c r="CR17" s="43">
        <v>4.4000000000000004</v>
      </c>
      <c r="CS17" s="43">
        <v>4.4000000000000004</v>
      </c>
      <c r="CT17" s="43">
        <v>23.03</v>
      </c>
      <c r="CU17" s="43">
        <v>67.97</v>
      </c>
      <c r="CV17" s="43">
        <v>100.4</v>
      </c>
      <c r="CW17" s="43">
        <v>0.95083377074325681</v>
      </c>
      <c r="CX17" s="43">
        <f t="shared" si="0"/>
        <v>3.3659515484311293</v>
      </c>
    </row>
    <row r="18" spans="1:102" s="43" customFormat="1" x14ac:dyDescent="0.25">
      <c r="A18" s="43">
        <v>20</v>
      </c>
      <c r="B18" s="44">
        <v>41414.650335023151</v>
      </c>
      <c r="C18" s="43">
        <v>1</v>
      </c>
      <c r="D18" s="43">
        <v>19</v>
      </c>
      <c r="E18" s="43">
        <v>278</v>
      </c>
      <c r="F18" s="43">
        <v>278</v>
      </c>
      <c r="G18" s="43">
        <v>278</v>
      </c>
      <c r="H18" s="43">
        <v>100</v>
      </c>
      <c r="I18" s="43">
        <v>100</v>
      </c>
      <c r="J18" s="43">
        <v>1890</v>
      </c>
      <c r="K18" s="43">
        <v>11</v>
      </c>
      <c r="L18" s="43">
        <v>11</v>
      </c>
      <c r="M18" s="43">
        <v>0.28000000000000003</v>
      </c>
      <c r="N18" s="43">
        <v>0.28004200000000001</v>
      </c>
      <c r="O18" s="43">
        <v>1</v>
      </c>
      <c r="P18" s="43">
        <v>1.0694250000000001</v>
      </c>
      <c r="Q18" s="43">
        <v>-4.1399999999999997</v>
      </c>
      <c r="R18" s="43">
        <v>-4.1418460000000001</v>
      </c>
      <c r="S18" s="43">
        <v>131.79</v>
      </c>
      <c r="T18" s="43">
        <v>131.79689999999999</v>
      </c>
      <c r="U18" s="43">
        <v>3.5</v>
      </c>
      <c r="V18" s="43">
        <v>3.5</v>
      </c>
      <c r="W18" s="43">
        <v>300</v>
      </c>
      <c r="X18" s="43">
        <v>300</v>
      </c>
      <c r="Y18" s="43">
        <v>3.5</v>
      </c>
      <c r="Z18" s="43">
        <v>3.5</v>
      </c>
      <c r="AA18" s="43">
        <v>300</v>
      </c>
      <c r="AB18" s="43">
        <v>300</v>
      </c>
      <c r="AC18" s="43">
        <v>0</v>
      </c>
      <c r="AD18" s="43">
        <v>85.815100000000001</v>
      </c>
      <c r="AE18" s="43">
        <v>0</v>
      </c>
      <c r="AF18" s="43">
        <v>85.815100000000001</v>
      </c>
      <c r="AG18" s="43">
        <v>37</v>
      </c>
      <c r="AH18" s="43">
        <v>0.17</v>
      </c>
      <c r="AI18" s="43">
        <v>48.38</v>
      </c>
      <c r="AJ18" s="43">
        <v>66.12</v>
      </c>
      <c r="AK18" s="43">
        <v>43.35</v>
      </c>
      <c r="AL18" s="43">
        <v>43.72</v>
      </c>
      <c r="AM18" s="43">
        <v>464.08</v>
      </c>
      <c r="AN18" s="43">
        <v>124.1079</v>
      </c>
      <c r="AO18" s="43">
        <v>23.61</v>
      </c>
      <c r="AP18" s="43">
        <v>57.84</v>
      </c>
      <c r="AQ18" s="43">
        <v>33.700000000000003</v>
      </c>
      <c r="AR18" s="43">
        <v>387.91</v>
      </c>
      <c r="AS18" s="43">
        <v>19.739999999999998</v>
      </c>
      <c r="AT18" s="43">
        <v>48.19</v>
      </c>
      <c r="AU18" s="43">
        <v>98.78</v>
      </c>
      <c r="AV18" s="43">
        <v>119.74</v>
      </c>
      <c r="AW18" s="43">
        <v>0.68200000000000005</v>
      </c>
      <c r="AX18" s="43">
        <v>11.04</v>
      </c>
      <c r="AY18" s="43">
        <v>10000000000</v>
      </c>
      <c r="AZ18" s="43">
        <v>615.72</v>
      </c>
      <c r="BA18" s="43">
        <v>113.62</v>
      </c>
      <c r="BB18" s="43">
        <v>7.74</v>
      </c>
      <c r="BC18" s="43">
        <v>1.35</v>
      </c>
      <c r="BD18" s="43">
        <v>9.86</v>
      </c>
      <c r="BE18" s="43">
        <v>1.53</v>
      </c>
      <c r="BF18" s="43">
        <v>164.23</v>
      </c>
      <c r="BG18" s="43">
        <v>17.47</v>
      </c>
      <c r="BH18" s="43">
        <v>10000000000</v>
      </c>
      <c r="BI18" s="43">
        <v>255.9</v>
      </c>
      <c r="BJ18" s="43">
        <v>27.6</v>
      </c>
      <c r="BK18" s="43">
        <v>84.3</v>
      </c>
      <c r="BL18" s="43">
        <v>82.14</v>
      </c>
      <c r="BM18" s="43">
        <v>1.4</v>
      </c>
      <c r="BN18" s="43">
        <v>30.22</v>
      </c>
      <c r="BO18" s="43">
        <v>36.119999999999997</v>
      </c>
      <c r="BP18" s="43">
        <v>402.01</v>
      </c>
      <c r="BQ18" s="43">
        <v>49.713540000000002</v>
      </c>
      <c r="BR18" s="43">
        <v>141.93770000000001</v>
      </c>
      <c r="BS18" s="43">
        <v>67.741540000000001</v>
      </c>
      <c r="BT18" s="43">
        <v>53.814639999999997</v>
      </c>
      <c r="BU18" s="43">
        <v>51.689430000000002</v>
      </c>
      <c r="BV18" s="43">
        <v>7.8952999999999995E-2</v>
      </c>
      <c r="BW18" s="43">
        <v>5.7353000000000001E-2</v>
      </c>
      <c r="BX18" s="43">
        <v>39.359380000000002</v>
      </c>
      <c r="BY18" s="43">
        <v>18.995360000000002</v>
      </c>
      <c r="BZ18" s="43">
        <v>0</v>
      </c>
      <c r="CA18" s="43">
        <v>0.93290799999999996</v>
      </c>
      <c r="CB18" s="43">
        <v>494.68169999999998</v>
      </c>
      <c r="CC18" s="43">
        <v>507.51350000000002</v>
      </c>
      <c r="CD18" s="43">
        <v>46.359430000000003</v>
      </c>
      <c r="CE18" s="43">
        <v>434.34</v>
      </c>
      <c r="CF18" s="43">
        <v>75.709999999999994</v>
      </c>
      <c r="CG18" s="43">
        <v>90.77</v>
      </c>
      <c r="CH18" s="43">
        <v>388.4</v>
      </c>
      <c r="CI18" s="43">
        <v>395.18</v>
      </c>
      <c r="CJ18" s="43">
        <v>416.21</v>
      </c>
      <c r="CK18" s="43">
        <v>431.89</v>
      </c>
      <c r="CL18" s="43">
        <v>432.42</v>
      </c>
      <c r="CM18" s="43">
        <v>430.61</v>
      </c>
      <c r="CN18" s="43">
        <v>392.17</v>
      </c>
      <c r="CO18" s="43">
        <v>24.76</v>
      </c>
      <c r="CP18" s="43">
        <v>277.2</v>
      </c>
      <c r="CQ18" s="43">
        <v>278.05</v>
      </c>
      <c r="CR18" s="43">
        <v>5</v>
      </c>
      <c r="CS18" s="43">
        <v>5</v>
      </c>
      <c r="CT18" s="43">
        <v>22.84</v>
      </c>
      <c r="CU18" s="43">
        <v>67.22</v>
      </c>
      <c r="CV18" s="43">
        <v>100.41</v>
      </c>
      <c r="CW18" s="43">
        <v>0.93333978579720933</v>
      </c>
      <c r="CX18" s="43">
        <f t="shared" si="0"/>
        <v>1.4280098722697303</v>
      </c>
    </row>
    <row r="19" spans="1:102" s="43" customFormat="1" x14ac:dyDescent="0.25">
      <c r="A19" s="43">
        <v>21</v>
      </c>
      <c r="B19" s="44">
        <v>41414.655758009256</v>
      </c>
      <c r="C19" s="43">
        <v>1</v>
      </c>
      <c r="D19" s="43">
        <v>20</v>
      </c>
      <c r="E19" s="43">
        <v>309</v>
      </c>
      <c r="F19" s="43">
        <v>309</v>
      </c>
      <c r="G19" s="43">
        <v>309</v>
      </c>
      <c r="H19" s="43">
        <v>100</v>
      </c>
      <c r="I19" s="43">
        <v>100</v>
      </c>
      <c r="J19" s="43">
        <v>1890</v>
      </c>
      <c r="K19" s="43">
        <v>41</v>
      </c>
      <c r="L19" s="43">
        <v>41</v>
      </c>
      <c r="M19" s="43">
        <v>0.08</v>
      </c>
      <c r="N19" s="43">
        <v>8.0070000000000002E-2</v>
      </c>
      <c r="O19" s="43">
        <v>1</v>
      </c>
      <c r="P19" s="43">
        <v>1.069453</v>
      </c>
      <c r="Q19" s="43">
        <v>-4.6399999999999997</v>
      </c>
      <c r="R19" s="43">
        <v>-4.6362300000000003</v>
      </c>
      <c r="S19" s="43">
        <v>136.41999999999999</v>
      </c>
      <c r="T19" s="43">
        <v>136.42189999999999</v>
      </c>
      <c r="U19" s="43">
        <v>3.5</v>
      </c>
      <c r="V19" s="43">
        <v>3.5</v>
      </c>
      <c r="W19" s="43">
        <v>300</v>
      </c>
      <c r="X19" s="43">
        <v>300</v>
      </c>
      <c r="Y19" s="43">
        <v>3.5</v>
      </c>
      <c r="Z19" s="43">
        <v>3.5</v>
      </c>
      <c r="AA19" s="43">
        <v>300</v>
      </c>
      <c r="AB19" s="43">
        <v>300</v>
      </c>
      <c r="AC19" s="43">
        <v>0</v>
      </c>
      <c r="AD19" s="43">
        <v>118.6392</v>
      </c>
      <c r="AE19" s="43">
        <v>0</v>
      </c>
      <c r="AF19" s="43">
        <v>118.6392</v>
      </c>
      <c r="AG19" s="43">
        <v>37</v>
      </c>
      <c r="AH19" s="43">
        <v>0.17</v>
      </c>
      <c r="AI19" s="43">
        <v>68.58</v>
      </c>
      <c r="AJ19" s="43">
        <v>100.83</v>
      </c>
      <c r="AK19" s="43">
        <v>129.99</v>
      </c>
      <c r="AL19" s="43">
        <v>132.07</v>
      </c>
      <c r="AM19" s="43">
        <v>408.6</v>
      </c>
      <c r="AN19" s="43">
        <v>178.2818</v>
      </c>
      <c r="AO19" s="43">
        <v>78</v>
      </c>
      <c r="AP19" s="43">
        <v>104.73</v>
      </c>
      <c r="AQ19" s="43">
        <v>93.96</v>
      </c>
      <c r="AR19" s="43">
        <v>606.66</v>
      </c>
      <c r="AS19" s="43">
        <v>51.99</v>
      </c>
      <c r="AT19" s="43">
        <v>57.99</v>
      </c>
      <c r="AU19" s="43">
        <v>95.39</v>
      </c>
      <c r="AV19" s="43">
        <v>114.37</v>
      </c>
      <c r="AW19" s="43">
        <v>0.105</v>
      </c>
      <c r="AX19" s="43">
        <v>1.42</v>
      </c>
      <c r="AY19" s="43">
        <v>10000000000</v>
      </c>
      <c r="AZ19" s="43">
        <v>440.74</v>
      </c>
      <c r="BA19" s="43">
        <v>66.13</v>
      </c>
      <c r="BB19" s="43">
        <v>5.64</v>
      </c>
      <c r="BC19" s="43">
        <v>0.46</v>
      </c>
      <c r="BD19" s="43">
        <v>12.8</v>
      </c>
      <c r="BE19" s="43">
        <v>3.97</v>
      </c>
      <c r="BF19" s="43">
        <v>289.10000000000002</v>
      </c>
      <c r="BG19" s="43">
        <v>8.08</v>
      </c>
      <c r="BH19" s="43">
        <v>10000000000</v>
      </c>
      <c r="BI19" s="43">
        <v>256.60000000000002</v>
      </c>
      <c r="BJ19" s="43">
        <v>38.700000000000003</v>
      </c>
      <c r="BK19" s="43">
        <v>87.2</v>
      </c>
      <c r="BL19" s="43">
        <v>53.33</v>
      </c>
      <c r="BM19" s="43">
        <v>1.9</v>
      </c>
      <c r="BN19" s="43">
        <v>29.39</v>
      </c>
      <c r="BO19" s="43">
        <v>34.11</v>
      </c>
      <c r="BP19" s="43">
        <v>622.36</v>
      </c>
      <c r="BQ19" s="43">
        <v>58.982810000000001</v>
      </c>
      <c r="BR19" s="43">
        <v>226.89449999999999</v>
      </c>
      <c r="BS19" s="43">
        <v>59.663589999999999</v>
      </c>
      <c r="BT19" s="43">
        <v>65.540999999999997</v>
      </c>
      <c r="BU19" s="43">
        <v>64.216740000000001</v>
      </c>
      <c r="BV19" s="43">
        <v>9.1183E-2</v>
      </c>
      <c r="BW19" s="43">
        <v>8.2974000000000006E-2</v>
      </c>
      <c r="BX19" s="43">
        <v>44.230879999999999</v>
      </c>
      <c r="BY19" s="43">
        <v>18.995360000000002</v>
      </c>
      <c r="BZ19" s="43">
        <v>0</v>
      </c>
      <c r="CA19" s="43">
        <v>0.93196999999999997</v>
      </c>
      <c r="CB19" s="43">
        <v>690.11710000000005</v>
      </c>
      <c r="CC19" s="43">
        <v>704.30150000000003</v>
      </c>
      <c r="CD19" s="43">
        <v>51.232349999999997</v>
      </c>
      <c r="CE19" s="43">
        <v>367.65</v>
      </c>
      <c r="CF19" s="43">
        <v>73.489999999999995</v>
      </c>
      <c r="CG19" s="43">
        <v>84.83</v>
      </c>
      <c r="CH19" s="43">
        <v>367</v>
      </c>
      <c r="CI19" s="43">
        <v>367.83</v>
      </c>
      <c r="CJ19" s="43">
        <v>384.97</v>
      </c>
      <c r="CK19" s="43">
        <v>404.1</v>
      </c>
      <c r="CL19" s="43">
        <v>396.9</v>
      </c>
      <c r="CM19" s="43">
        <v>400.54</v>
      </c>
      <c r="CN19" s="43">
        <v>306.36</v>
      </c>
      <c r="CO19" s="43">
        <v>25.74</v>
      </c>
      <c r="CP19" s="43">
        <v>308.10000000000002</v>
      </c>
      <c r="CQ19" s="43">
        <v>309.05</v>
      </c>
      <c r="CR19" s="43">
        <v>5.5</v>
      </c>
      <c r="CS19" s="43">
        <v>5.5</v>
      </c>
      <c r="CT19" s="43">
        <v>23.13</v>
      </c>
      <c r="CU19" s="43">
        <v>66.989999999999995</v>
      </c>
      <c r="CV19" s="43">
        <v>100.41</v>
      </c>
      <c r="CW19" s="43">
        <v>0.95487672161174608</v>
      </c>
      <c r="CX19" s="43">
        <f t="shared" si="0"/>
        <v>3.7908605847986321</v>
      </c>
    </row>
    <row r="20" spans="1:102" s="43" customFormat="1" x14ac:dyDescent="0.25">
      <c r="A20" s="43">
        <v>22</v>
      </c>
      <c r="B20" s="44">
        <v>41414.661190381943</v>
      </c>
      <c r="C20" s="43">
        <v>1</v>
      </c>
      <c r="D20" s="43">
        <v>21</v>
      </c>
      <c r="E20" s="43">
        <v>372</v>
      </c>
      <c r="F20" s="43">
        <v>372</v>
      </c>
      <c r="G20" s="43">
        <v>372.1</v>
      </c>
      <c r="H20" s="43">
        <v>100</v>
      </c>
      <c r="I20" s="43">
        <v>100</v>
      </c>
      <c r="J20" s="43">
        <v>1890</v>
      </c>
      <c r="K20" s="43">
        <v>59</v>
      </c>
      <c r="L20" s="43">
        <v>59</v>
      </c>
      <c r="M20" s="43">
        <v>0.24</v>
      </c>
      <c r="N20" s="43">
        <v>0.23993800000000001</v>
      </c>
      <c r="O20" s="43">
        <v>1</v>
      </c>
      <c r="P20" s="43">
        <v>1.069353</v>
      </c>
      <c r="Q20" s="43">
        <v>-4.59</v>
      </c>
      <c r="R20" s="43">
        <v>-4.5922850000000004</v>
      </c>
      <c r="S20" s="43">
        <v>146.53</v>
      </c>
      <c r="T20" s="43">
        <v>146.53129999999999</v>
      </c>
      <c r="U20" s="43">
        <v>3.5</v>
      </c>
      <c r="V20" s="43">
        <v>3.5</v>
      </c>
      <c r="W20" s="43">
        <v>300</v>
      </c>
      <c r="X20" s="43">
        <v>300</v>
      </c>
      <c r="Y20" s="43">
        <v>3.5</v>
      </c>
      <c r="Z20" s="43">
        <v>3.5</v>
      </c>
      <c r="AA20" s="43">
        <v>300</v>
      </c>
      <c r="AB20" s="43">
        <v>300</v>
      </c>
      <c r="AC20" s="43">
        <v>0</v>
      </c>
      <c r="AD20" s="43">
        <v>134.38749999999999</v>
      </c>
      <c r="AE20" s="43">
        <v>0</v>
      </c>
      <c r="AF20" s="43">
        <v>122.4859</v>
      </c>
      <c r="AG20" s="43">
        <v>37</v>
      </c>
      <c r="AH20" s="43">
        <v>0.17</v>
      </c>
      <c r="AI20" s="43">
        <v>79.13</v>
      </c>
      <c r="AJ20" s="43">
        <v>107.57</v>
      </c>
      <c r="AK20" s="43">
        <v>183.38</v>
      </c>
      <c r="AL20" s="43">
        <v>181.66</v>
      </c>
      <c r="AM20" s="43">
        <v>444.72</v>
      </c>
      <c r="AN20" s="43">
        <v>211.24520000000001</v>
      </c>
      <c r="AO20" s="43">
        <v>112.36</v>
      </c>
      <c r="AP20" s="43">
        <v>126.18</v>
      </c>
      <c r="AQ20" s="43">
        <v>126.6</v>
      </c>
      <c r="AR20" s="43">
        <v>550.48</v>
      </c>
      <c r="AS20" s="43">
        <v>71.010000000000005</v>
      </c>
      <c r="AT20" s="43">
        <v>74.63</v>
      </c>
      <c r="AU20" s="43">
        <v>120</v>
      </c>
      <c r="AV20" s="43">
        <v>113.1</v>
      </c>
      <c r="AW20" s="43">
        <v>0.47299999999999998</v>
      </c>
      <c r="AX20" s="43">
        <v>7.18</v>
      </c>
      <c r="AY20" s="43">
        <v>10000000000</v>
      </c>
      <c r="AZ20" s="43">
        <v>534.65</v>
      </c>
      <c r="BA20" s="43">
        <v>84.86</v>
      </c>
      <c r="BB20" s="43">
        <v>7.34</v>
      </c>
      <c r="BC20" s="43">
        <v>1.98</v>
      </c>
      <c r="BD20" s="43">
        <v>10.45</v>
      </c>
      <c r="BE20" s="43">
        <v>1.2</v>
      </c>
      <c r="BF20" s="43">
        <v>120.93</v>
      </c>
      <c r="BG20" s="43">
        <v>26.99</v>
      </c>
      <c r="BH20" s="43">
        <v>10000000000</v>
      </c>
      <c r="BI20" s="43">
        <v>256.60000000000002</v>
      </c>
      <c r="BJ20" s="43">
        <v>29.2</v>
      </c>
      <c r="BK20" s="43">
        <v>83.7</v>
      </c>
      <c r="BL20" s="43">
        <v>203.64</v>
      </c>
      <c r="BM20" s="43">
        <v>2.27</v>
      </c>
      <c r="BN20" s="43">
        <v>30.8</v>
      </c>
      <c r="BO20" s="43">
        <v>35.729999999999997</v>
      </c>
      <c r="BP20" s="43">
        <v>569.76</v>
      </c>
      <c r="BQ20" s="43">
        <v>73.186670000000007</v>
      </c>
      <c r="BR20" s="43">
        <v>269.37610000000001</v>
      </c>
      <c r="BS20" s="43">
        <v>55.092640000000003</v>
      </c>
      <c r="BT20" s="43">
        <v>61.538069999999998</v>
      </c>
      <c r="BU20" s="43">
        <v>60.217140000000001</v>
      </c>
      <c r="BV20" s="43">
        <v>9.6914E-2</v>
      </c>
      <c r="BW20" s="43">
        <v>8.7403999999999996E-2</v>
      </c>
      <c r="BX20" s="43">
        <v>54.483440000000002</v>
      </c>
      <c r="BY20" s="43">
        <v>18.995360000000002</v>
      </c>
      <c r="BZ20" s="43">
        <v>0</v>
      </c>
      <c r="CA20" s="43">
        <v>0.92997099999999999</v>
      </c>
      <c r="CB20" s="43">
        <v>782.48810000000003</v>
      </c>
      <c r="CC20" s="43">
        <v>799.54060000000004</v>
      </c>
      <c r="CD20" s="43">
        <v>61.484690000000001</v>
      </c>
      <c r="CE20" s="43">
        <v>453.43</v>
      </c>
      <c r="CF20" s="43">
        <v>99.7</v>
      </c>
      <c r="CG20" s="43">
        <v>115.44</v>
      </c>
      <c r="CH20" s="43">
        <v>404.16</v>
      </c>
      <c r="CI20" s="43">
        <v>409.96</v>
      </c>
      <c r="CJ20" s="43">
        <v>419.92</v>
      </c>
      <c r="CK20" s="43">
        <v>439.56</v>
      </c>
      <c r="CL20" s="43">
        <v>439.6</v>
      </c>
      <c r="CM20" s="43">
        <v>442.82</v>
      </c>
      <c r="CN20" s="43">
        <v>314.61</v>
      </c>
      <c r="CO20" s="43">
        <v>26.17</v>
      </c>
      <c r="CP20" s="43">
        <v>370.9</v>
      </c>
      <c r="CQ20" s="43">
        <v>372.05</v>
      </c>
      <c r="CR20" s="43">
        <v>6.6</v>
      </c>
      <c r="CS20" s="43">
        <v>6.7</v>
      </c>
      <c r="CT20" s="43">
        <v>23.29</v>
      </c>
      <c r="CU20" s="43">
        <v>66.760000000000005</v>
      </c>
      <c r="CV20" s="43">
        <v>100.42</v>
      </c>
      <c r="CW20" s="43">
        <v>0.94076447179045497</v>
      </c>
      <c r="CX20" s="43">
        <f t="shared" si="0"/>
        <v>1.1289173661485459</v>
      </c>
    </row>
    <row r="21" spans="1:102" s="43" customFormat="1" x14ac:dyDescent="0.25">
      <c r="A21" s="43">
        <v>23</v>
      </c>
      <c r="B21" s="44">
        <v>41414.666612337962</v>
      </c>
      <c r="C21" s="43">
        <v>1</v>
      </c>
      <c r="D21" s="43">
        <v>22</v>
      </c>
      <c r="E21" s="43">
        <v>434</v>
      </c>
      <c r="F21" s="43">
        <v>434</v>
      </c>
      <c r="G21" s="43">
        <v>434</v>
      </c>
      <c r="H21" s="43">
        <v>100</v>
      </c>
      <c r="I21" s="43">
        <v>100</v>
      </c>
      <c r="J21" s="43">
        <v>1890</v>
      </c>
      <c r="K21" s="43">
        <v>11</v>
      </c>
      <c r="L21" s="43">
        <v>11</v>
      </c>
      <c r="M21" s="43">
        <v>0.2</v>
      </c>
      <c r="N21" s="43">
        <v>0.20003299999999999</v>
      </c>
      <c r="O21" s="43">
        <v>1</v>
      </c>
      <c r="P21" s="43">
        <v>1.069372</v>
      </c>
      <c r="Q21" s="43">
        <v>-4.6900000000000004</v>
      </c>
      <c r="R21" s="43">
        <v>-4.6911620000000003</v>
      </c>
      <c r="S21" s="43">
        <v>158.53</v>
      </c>
      <c r="T21" s="43">
        <v>158.53129999999999</v>
      </c>
      <c r="U21" s="43">
        <v>3.5</v>
      </c>
      <c r="V21" s="43">
        <v>3.5</v>
      </c>
      <c r="W21" s="43">
        <v>300</v>
      </c>
      <c r="X21" s="43">
        <v>300</v>
      </c>
      <c r="Y21" s="43">
        <v>3.5</v>
      </c>
      <c r="Z21" s="43">
        <v>3.5</v>
      </c>
      <c r="AA21" s="43">
        <v>300</v>
      </c>
      <c r="AB21" s="43">
        <v>300</v>
      </c>
      <c r="AC21" s="43">
        <v>0</v>
      </c>
      <c r="AD21" s="43">
        <v>104.0333</v>
      </c>
      <c r="AE21" s="43">
        <v>0</v>
      </c>
      <c r="AF21" s="43">
        <v>104.0333</v>
      </c>
      <c r="AG21" s="43">
        <v>37</v>
      </c>
      <c r="AH21" s="43">
        <v>0.17</v>
      </c>
      <c r="AI21" s="43">
        <v>60.49</v>
      </c>
      <c r="AJ21" s="43">
        <v>87.36</v>
      </c>
      <c r="AK21" s="43">
        <v>74.77</v>
      </c>
      <c r="AL21" s="43">
        <v>76.31</v>
      </c>
      <c r="AM21" s="43">
        <v>562.75</v>
      </c>
      <c r="AN21" s="43">
        <v>154.1678</v>
      </c>
      <c r="AO21" s="43">
        <v>54.07</v>
      </c>
      <c r="AP21" s="43">
        <v>85.45</v>
      </c>
      <c r="AQ21" s="43">
        <v>67.17</v>
      </c>
      <c r="AR21" s="43">
        <v>508.04</v>
      </c>
      <c r="AS21" s="43">
        <v>20.7</v>
      </c>
      <c r="AT21" s="43">
        <v>54.6</v>
      </c>
      <c r="AU21" s="43">
        <v>98.25</v>
      </c>
      <c r="AV21" s="43">
        <v>119.46</v>
      </c>
      <c r="AW21" s="43">
        <v>0.48699999999999999</v>
      </c>
      <c r="AX21" s="43">
        <v>7.43</v>
      </c>
      <c r="AY21" s="43">
        <v>10000000000</v>
      </c>
      <c r="AZ21" s="43">
        <v>530.21</v>
      </c>
      <c r="BA21" s="43">
        <v>42.16</v>
      </c>
      <c r="BB21" s="43">
        <v>8.7899999999999991</v>
      </c>
      <c r="BC21" s="43">
        <v>1.05</v>
      </c>
      <c r="BD21" s="43">
        <v>8.41</v>
      </c>
      <c r="BE21" s="43">
        <v>2.06</v>
      </c>
      <c r="BF21" s="43">
        <v>269.44</v>
      </c>
      <c r="BG21" s="43">
        <v>11.9</v>
      </c>
      <c r="BH21" s="43">
        <v>10000000000</v>
      </c>
      <c r="BI21" s="43">
        <v>241.4</v>
      </c>
      <c r="BJ21" s="43">
        <v>24.5</v>
      </c>
      <c r="BK21" s="43">
        <v>85.5</v>
      </c>
      <c r="BL21" s="43">
        <v>68.64</v>
      </c>
      <c r="BM21" s="43">
        <v>1.7</v>
      </c>
      <c r="BN21" s="43">
        <v>29.92</v>
      </c>
      <c r="BO21" s="43">
        <v>36.97</v>
      </c>
      <c r="BP21" s="43">
        <v>528.9</v>
      </c>
      <c r="BQ21" s="43">
        <v>56.05838</v>
      </c>
      <c r="BR21" s="43">
        <v>170.6189</v>
      </c>
      <c r="BS21" s="43">
        <v>52.624769999999998</v>
      </c>
      <c r="BT21" s="43">
        <v>41.576450000000001</v>
      </c>
      <c r="BU21" s="43">
        <v>41.60313</v>
      </c>
      <c r="BV21" s="43">
        <v>0.10508199999999999</v>
      </c>
      <c r="BW21" s="43">
        <v>0.111461</v>
      </c>
      <c r="BX21" s="43">
        <v>60.516300000000001</v>
      </c>
      <c r="BY21" s="43">
        <v>18.995360000000002</v>
      </c>
      <c r="BZ21" s="43">
        <v>0</v>
      </c>
      <c r="CA21" s="43">
        <v>0.92869599999999997</v>
      </c>
      <c r="CB21" s="43">
        <v>599.9479</v>
      </c>
      <c r="CC21" s="43">
        <v>618.67460000000005</v>
      </c>
      <c r="CD21" s="43">
        <v>67.517340000000004</v>
      </c>
      <c r="CE21" s="43">
        <v>495.64</v>
      </c>
      <c r="CF21" s="43">
        <v>80.510000000000005</v>
      </c>
      <c r="CG21" s="43">
        <v>92.81</v>
      </c>
      <c r="CH21" s="43">
        <v>457.75</v>
      </c>
      <c r="CI21" s="43">
        <v>476.72</v>
      </c>
      <c r="CJ21" s="43">
        <v>484.83</v>
      </c>
      <c r="CK21" s="43">
        <v>520.95000000000005</v>
      </c>
      <c r="CL21" s="43">
        <v>510.88</v>
      </c>
      <c r="CM21" s="43">
        <v>511.47</v>
      </c>
      <c r="CN21" s="43">
        <v>463.75</v>
      </c>
      <c r="CO21" s="43">
        <v>26.87</v>
      </c>
      <c r="CP21" s="43">
        <v>432.7</v>
      </c>
      <c r="CQ21" s="43">
        <v>434.05</v>
      </c>
      <c r="CR21" s="43">
        <v>7.8</v>
      </c>
      <c r="CS21" s="43">
        <v>7.8</v>
      </c>
      <c r="CT21" s="43">
        <v>23.63</v>
      </c>
      <c r="CU21" s="43">
        <v>66.58</v>
      </c>
      <c r="CV21" s="43">
        <v>100.42</v>
      </c>
      <c r="CW21" s="43">
        <v>0.93251450134160552</v>
      </c>
      <c r="CX21" s="43">
        <f t="shared" si="0"/>
        <v>1.9209798727637075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C105"/>
  <sheetViews>
    <sheetView topLeftCell="AO64" zoomScale="80" zoomScaleNormal="80" workbookViewId="0">
      <selection activeCell="BA98" sqref="BA98:BA101"/>
    </sheetView>
  </sheetViews>
  <sheetFormatPr defaultRowHeight="15" x14ac:dyDescent="0.25"/>
  <cols>
    <col min="1" max="1" width="9.140625" style="3"/>
    <col min="52" max="52" width="10.28515625" customWidth="1"/>
    <col min="57" max="57" width="9.140625" style="3"/>
    <col min="99" max="99" width="70" style="36" customWidth="1"/>
    <col min="100" max="133" width="9.140625" style="5"/>
  </cols>
  <sheetData>
    <row r="2" spans="1:133" ht="26.25" x14ac:dyDescent="0.4">
      <c r="A2" s="26" t="s">
        <v>107</v>
      </c>
    </row>
    <row r="3" spans="1:133" s="1" customFormat="1" ht="6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6" t="s">
        <v>10</v>
      </c>
      <c r="M3" s="6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6" t="s">
        <v>48</v>
      </c>
      <c r="AY3" s="6" t="s">
        <v>49</v>
      </c>
      <c r="AZ3" s="6" t="s">
        <v>50</v>
      </c>
      <c r="BA3" s="6" t="s">
        <v>51</v>
      </c>
      <c r="BB3" s="6" t="s">
        <v>52</v>
      </c>
      <c r="BC3" s="6" t="s">
        <v>53</v>
      </c>
      <c r="BD3" s="6" t="s">
        <v>54</v>
      </c>
      <c r="BE3" s="6" t="s">
        <v>108</v>
      </c>
      <c r="BF3" s="6" t="s">
        <v>55</v>
      </c>
      <c r="BG3" s="6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6" t="s">
        <v>114</v>
      </c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</row>
    <row r="4" spans="1:133" s="7" customFormat="1" x14ac:dyDescent="0.25">
      <c r="A4" s="72" t="s">
        <v>96</v>
      </c>
      <c r="B4" s="7">
        <v>1</v>
      </c>
      <c r="C4" s="8">
        <v>41390.450156712963</v>
      </c>
      <c r="D4" s="7">
        <v>1</v>
      </c>
      <c r="E4" s="7">
        <v>1</v>
      </c>
      <c r="F4" s="7">
        <v>118</v>
      </c>
      <c r="G4" s="7">
        <v>118</v>
      </c>
      <c r="H4" s="7">
        <v>118</v>
      </c>
      <c r="I4" s="7">
        <v>82.6</v>
      </c>
      <c r="J4" s="7">
        <v>82.6</v>
      </c>
      <c r="K4" s="7">
        <v>1701</v>
      </c>
      <c r="L4" s="7">
        <v>66</v>
      </c>
      <c r="M4" s="7">
        <v>66</v>
      </c>
      <c r="N4" s="7">
        <v>0.28000000000000003</v>
      </c>
      <c r="O4" s="7">
        <v>0.28006999999999999</v>
      </c>
      <c r="P4" s="7">
        <v>1</v>
      </c>
      <c r="Q4" s="7">
        <v>1.069199</v>
      </c>
      <c r="R4" s="7">
        <v>1.74</v>
      </c>
      <c r="S4" s="7">
        <v>1.73584</v>
      </c>
      <c r="T4" s="7">
        <v>102.94</v>
      </c>
      <c r="U4" s="7">
        <v>102.9375</v>
      </c>
      <c r="V4" s="7">
        <v>3.5</v>
      </c>
      <c r="W4" s="7">
        <v>3.5</v>
      </c>
      <c r="X4" s="7">
        <v>300</v>
      </c>
      <c r="Y4" s="7">
        <v>300</v>
      </c>
      <c r="Z4" s="7">
        <v>3.5</v>
      </c>
      <c r="AA4" s="7">
        <v>3.5</v>
      </c>
      <c r="AB4" s="7">
        <v>300</v>
      </c>
      <c r="AC4" s="7">
        <v>300</v>
      </c>
      <c r="AD4" s="7">
        <v>0</v>
      </c>
      <c r="AE4" s="7">
        <v>88.377030000000005</v>
      </c>
      <c r="AF4" s="7">
        <v>0</v>
      </c>
      <c r="AG4" s="7">
        <v>88.377030000000005</v>
      </c>
      <c r="AH4" s="7">
        <v>64.180000000000007</v>
      </c>
      <c r="AI4" s="7">
        <v>0.24</v>
      </c>
      <c r="AJ4" s="7">
        <v>49.53</v>
      </c>
      <c r="AK4" s="7">
        <v>60.99</v>
      </c>
      <c r="AL4" s="7">
        <v>71.510000000000005</v>
      </c>
      <c r="AM4" s="7">
        <v>69.69</v>
      </c>
      <c r="AN4" s="7">
        <v>281.99</v>
      </c>
      <c r="AO4" s="7">
        <v>129.18950000000001</v>
      </c>
      <c r="AP4" s="7">
        <v>28.22</v>
      </c>
      <c r="AQ4" s="7">
        <v>57.65</v>
      </c>
      <c r="AR4" s="7">
        <v>34.46</v>
      </c>
      <c r="AS4" s="7">
        <v>276.2</v>
      </c>
      <c r="AT4" s="7">
        <v>43.28</v>
      </c>
      <c r="AU4" s="7">
        <v>57.13</v>
      </c>
      <c r="AV4" s="7">
        <v>102.1</v>
      </c>
      <c r="AW4" s="7">
        <v>110.47</v>
      </c>
      <c r="AX4" s="7">
        <v>0.70499999999999996</v>
      </c>
      <c r="AY4" s="7">
        <v>11.5</v>
      </c>
      <c r="AZ4" s="7">
        <v>7.5731999999999999</v>
      </c>
      <c r="BA4" s="7">
        <v>187.41</v>
      </c>
      <c r="BB4" s="7">
        <v>75.06</v>
      </c>
      <c r="BC4" s="7">
        <v>5.46</v>
      </c>
      <c r="BD4" s="7">
        <v>1.89</v>
      </c>
      <c r="BE4" s="7">
        <v>13.11</v>
      </c>
      <c r="BF4" s="7">
        <v>2.2999999999999998</v>
      </c>
      <c r="BG4" s="7">
        <v>126.17</v>
      </c>
      <c r="BH4" s="7">
        <v>34.549999999999997</v>
      </c>
      <c r="BI4" s="7">
        <v>0.49</v>
      </c>
      <c r="BJ4" s="7">
        <v>328.4</v>
      </c>
      <c r="BK4" s="7">
        <v>40</v>
      </c>
      <c r="BL4" s="7">
        <v>81.8</v>
      </c>
      <c r="BM4" s="7">
        <v>145.78</v>
      </c>
      <c r="BN4" s="7">
        <v>1.44</v>
      </c>
      <c r="BO4" s="7">
        <v>30.69</v>
      </c>
      <c r="BP4" s="7">
        <v>33.950000000000003</v>
      </c>
      <c r="BQ4" s="7">
        <v>283.06</v>
      </c>
      <c r="BR4" s="7">
        <v>56.534579999999998</v>
      </c>
      <c r="BS4" s="7">
        <v>166.5993</v>
      </c>
      <c r="BT4" s="7">
        <v>125.4905</v>
      </c>
      <c r="BU4" s="7">
        <v>115.9911</v>
      </c>
      <c r="BV4" s="7">
        <v>114.6827</v>
      </c>
      <c r="BW4" s="7">
        <v>3.9161000000000001E-2</v>
      </c>
      <c r="BX4" s="7">
        <v>4.0661999999999997E-2</v>
      </c>
      <c r="BY4" s="7">
        <v>15.561249999999999</v>
      </c>
      <c r="BZ4" s="7">
        <v>18.995360000000002</v>
      </c>
      <c r="CA4" s="7">
        <v>0</v>
      </c>
      <c r="CB4" s="7">
        <v>0.93513400000000002</v>
      </c>
      <c r="CC4" s="7">
        <v>454.9785</v>
      </c>
      <c r="CD4" s="7">
        <v>460.5419</v>
      </c>
      <c r="CE4" s="7">
        <v>22.563130000000001</v>
      </c>
      <c r="CF4" s="7">
        <v>275.37</v>
      </c>
      <c r="CG4" s="7">
        <v>80.19</v>
      </c>
      <c r="CH4" s="7">
        <v>94.97</v>
      </c>
      <c r="CI4" s="7">
        <v>270.5</v>
      </c>
      <c r="CJ4" s="7">
        <v>262.83999999999997</v>
      </c>
      <c r="CK4" s="7">
        <v>269.45</v>
      </c>
      <c r="CL4" s="7">
        <v>282.8</v>
      </c>
      <c r="CM4" s="7">
        <v>278.79000000000002</v>
      </c>
      <c r="CN4" s="7">
        <v>277.86</v>
      </c>
      <c r="CO4" s="7">
        <v>218.33</v>
      </c>
      <c r="CP4" s="7">
        <v>20.170000000000002</v>
      </c>
      <c r="CQ4" s="7">
        <v>117.6</v>
      </c>
      <c r="CR4" s="7">
        <v>118.05</v>
      </c>
      <c r="CS4" s="7">
        <v>2.1</v>
      </c>
      <c r="CT4" s="7">
        <v>2.1</v>
      </c>
      <c r="CU4" s="36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</row>
    <row r="5" spans="1:133" s="7" customFormat="1" x14ac:dyDescent="0.25">
      <c r="A5" s="72"/>
      <c r="B5" s="7">
        <v>12</v>
      </c>
      <c r="C5" s="8">
        <v>41390.509821203705</v>
      </c>
      <c r="D5" s="7">
        <v>1</v>
      </c>
      <c r="E5" s="7">
        <v>12</v>
      </c>
      <c r="F5" s="7">
        <v>118</v>
      </c>
      <c r="G5" s="7">
        <v>118</v>
      </c>
      <c r="H5" s="7">
        <v>118</v>
      </c>
      <c r="I5" s="7">
        <v>82.6</v>
      </c>
      <c r="J5" s="7">
        <v>82.6</v>
      </c>
      <c r="K5" s="7">
        <v>1701</v>
      </c>
      <c r="L5" s="7">
        <v>66</v>
      </c>
      <c r="M5" s="7">
        <v>66</v>
      </c>
      <c r="N5" s="7">
        <v>0.28000000000000003</v>
      </c>
      <c r="O5" s="7">
        <v>0.28006500000000001</v>
      </c>
      <c r="P5" s="7">
        <v>1</v>
      </c>
      <c r="Q5" s="7">
        <v>1.0691759999999999</v>
      </c>
      <c r="R5" s="7">
        <v>1.74</v>
      </c>
      <c r="S5" s="7">
        <v>1.73584</v>
      </c>
      <c r="T5" s="7">
        <v>102.94</v>
      </c>
      <c r="U5" s="7">
        <v>102.9375</v>
      </c>
      <c r="V5" s="7">
        <v>3.5</v>
      </c>
      <c r="W5" s="7">
        <v>3.5</v>
      </c>
      <c r="X5" s="7">
        <v>300</v>
      </c>
      <c r="Y5" s="7">
        <v>300</v>
      </c>
      <c r="Z5" s="7">
        <v>3.5</v>
      </c>
      <c r="AA5" s="7">
        <v>3.5</v>
      </c>
      <c r="AB5" s="7">
        <v>300</v>
      </c>
      <c r="AC5" s="7">
        <v>300</v>
      </c>
      <c r="AD5" s="7">
        <v>0</v>
      </c>
      <c r="AE5" s="7">
        <v>87.23312</v>
      </c>
      <c r="AF5" s="7">
        <v>0</v>
      </c>
      <c r="AG5" s="7">
        <v>87.23312</v>
      </c>
      <c r="AH5" s="7">
        <v>64.180000000000007</v>
      </c>
      <c r="AI5" s="7">
        <v>0.24</v>
      </c>
      <c r="AJ5" s="7">
        <v>48.91</v>
      </c>
      <c r="AK5" s="7">
        <v>60.98</v>
      </c>
      <c r="AL5" s="7">
        <v>69.42</v>
      </c>
      <c r="AM5" s="7">
        <v>67.959999999999994</v>
      </c>
      <c r="AN5" s="7">
        <v>287.88</v>
      </c>
      <c r="AO5" s="7">
        <v>128.7867</v>
      </c>
      <c r="AP5" s="7">
        <v>27.85</v>
      </c>
      <c r="AQ5" s="7">
        <v>61.64</v>
      </c>
      <c r="AR5" s="7">
        <v>34.24</v>
      </c>
      <c r="AS5" s="7">
        <v>274.12</v>
      </c>
      <c r="AT5" s="7">
        <v>41.57</v>
      </c>
      <c r="AU5" s="7">
        <v>60.83</v>
      </c>
      <c r="AV5" s="7">
        <v>103.76</v>
      </c>
      <c r="AW5" s="7">
        <v>110.7</v>
      </c>
      <c r="AX5" s="7">
        <v>0.71599999999999997</v>
      </c>
      <c r="AY5" s="7">
        <v>11.72</v>
      </c>
      <c r="AZ5" s="7">
        <v>6.4017999999999997</v>
      </c>
      <c r="BA5" s="7">
        <v>176.75</v>
      </c>
      <c r="BB5" s="7">
        <v>82.4</v>
      </c>
      <c r="BC5" s="7">
        <v>5.47</v>
      </c>
      <c r="BD5" s="7">
        <v>1.9</v>
      </c>
      <c r="BE5" s="7">
        <v>13.07</v>
      </c>
      <c r="BF5" s="7">
        <v>2.41</v>
      </c>
      <c r="BG5" s="7">
        <v>133.29</v>
      </c>
      <c r="BH5" s="7">
        <v>34.700000000000003</v>
      </c>
      <c r="BI5" s="7">
        <v>0.42</v>
      </c>
      <c r="BJ5" s="7">
        <v>326.89999999999998</v>
      </c>
      <c r="BK5" s="7">
        <v>39.9</v>
      </c>
      <c r="BL5" s="7">
        <v>82.5</v>
      </c>
      <c r="BM5" s="7">
        <v>145.69999999999999</v>
      </c>
      <c r="BN5" s="7">
        <v>1.42</v>
      </c>
      <c r="BO5" s="7">
        <v>30.7</v>
      </c>
      <c r="BP5" s="7">
        <v>33.96</v>
      </c>
      <c r="BQ5" s="7">
        <v>281.04000000000002</v>
      </c>
      <c r="BR5" s="7">
        <v>60.054369999999999</v>
      </c>
      <c r="BS5" s="7">
        <v>163.83109999999999</v>
      </c>
      <c r="BT5" s="7">
        <v>126.8411</v>
      </c>
      <c r="BU5" s="7">
        <v>115.7413</v>
      </c>
      <c r="BV5" s="7">
        <v>114.4534</v>
      </c>
      <c r="BW5" s="7">
        <v>3.9163000000000003E-2</v>
      </c>
      <c r="BX5" s="7">
        <v>4.1064000000000003E-2</v>
      </c>
      <c r="BY5" s="7">
        <v>15.297140000000001</v>
      </c>
      <c r="BZ5" s="7">
        <v>18.995360000000002</v>
      </c>
      <c r="CA5" s="7">
        <v>0</v>
      </c>
      <c r="CB5" s="7">
        <v>0.93506500000000004</v>
      </c>
      <c r="CC5" s="7">
        <v>448.7373</v>
      </c>
      <c r="CD5" s="7">
        <v>454.24209999999999</v>
      </c>
      <c r="CE5" s="7">
        <v>22.2987</v>
      </c>
      <c r="CF5" s="7">
        <v>281.04000000000002</v>
      </c>
      <c r="CG5" s="7">
        <v>84.31</v>
      </c>
      <c r="CH5" s="7">
        <v>97.57</v>
      </c>
      <c r="CI5" s="7">
        <v>275.06</v>
      </c>
      <c r="CJ5" s="7">
        <v>268.43</v>
      </c>
      <c r="CK5" s="7">
        <v>273.43</v>
      </c>
      <c r="CL5" s="7">
        <v>291</v>
      </c>
      <c r="CM5" s="7">
        <v>282.39999999999998</v>
      </c>
      <c r="CN5" s="7">
        <v>282.45999999999998</v>
      </c>
      <c r="CO5" s="7">
        <v>229.76</v>
      </c>
      <c r="CP5" s="7">
        <v>22.47</v>
      </c>
      <c r="CQ5" s="7">
        <v>117.7</v>
      </c>
      <c r="CR5" s="7">
        <v>118.05</v>
      </c>
      <c r="CS5" s="7">
        <v>2.1</v>
      </c>
      <c r="CT5" s="7">
        <v>2.1</v>
      </c>
      <c r="CU5" s="36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</row>
    <row r="6" spans="1:133" s="11" customFormat="1" x14ac:dyDescent="0.25">
      <c r="A6" s="72"/>
      <c r="B6" s="11">
        <v>1</v>
      </c>
      <c r="C6" s="12">
        <v>41390.523043819441</v>
      </c>
      <c r="D6" s="11">
        <v>1</v>
      </c>
      <c r="E6" s="11">
        <v>12</v>
      </c>
      <c r="F6" s="11">
        <v>118</v>
      </c>
      <c r="G6" s="11">
        <v>118</v>
      </c>
      <c r="H6" s="11">
        <v>118</v>
      </c>
      <c r="I6" s="11">
        <v>82.6</v>
      </c>
      <c r="J6" s="11">
        <v>82.6</v>
      </c>
      <c r="K6" s="11">
        <v>1701</v>
      </c>
      <c r="L6" s="11">
        <v>66</v>
      </c>
      <c r="M6" s="11">
        <v>66</v>
      </c>
      <c r="N6" s="11">
        <v>0.28000000000000003</v>
      </c>
      <c r="O6" s="11">
        <v>0.28004600000000002</v>
      </c>
      <c r="P6" s="11">
        <v>1</v>
      </c>
      <c r="Q6" s="11">
        <v>1.0691660000000001</v>
      </c>
      <c r="R6" s="11">
        <v>1.74</v>
      </c>
      <c r="S6" s="11">
        <v>1.73584</v>
      </c>
      <c r="T6" s="11">
        <v>102.94</v>
      </c>
      <c r="U6" s="11">
        <v>102.9375</v>
      </c>
      <c r="V6" s="11">
        <v>3.5</v>
      </c>
      <c r="W6" s="11">
        <v>3.5</v>
      </c>
      <c r="X6" s="11">
        <v>300</v>
      </c>
      <c r="Y6" s="11">
        <v>300</v>
      </c>
      <c r="Z6" s="11">
        <v>3.5</v>
      </c>
      <c r="AA6" s="11">
        <v>3.5</v>
      </c>
      <c r="AB6" s="11">
        <v>300</v>
      </c>
      <c r="AC6" s="11">
        <v>300</v>
      </c>
      <c r="AD6" s="11">
        <v>0</v>
      </c>
      <c r="AE6" s="11">
        <v>89.156930000000003</v>
      </c>
      <c r="AF6" s="11">
        <v>0</v>
      </c>
      <c r="AG6" s="11">
        <v>89.156930000000003</v>
      </c>
      <c r="AH6" s="11">
        <v>64.180000000000007</v>
      </c>
      <c r="AI6" s="11">
        <v>0.24</v>
      </c>
      <c r="AJ6" s="11">
        <v>49.52</v>
      </c>
      <c r="AK6" s="11">
        <v>62.58</v>
      </c>
      <c r="AL6" s="11">
        <v>73.97</v>
      </c>
      <c r="AM6" s="11">
        <v>72.37</v>
      </c>
      <c r="AN6" s="11">
        <v>281.54000000000002</v>
      </c>
      <c r="AO6" s="11">
        <v>130.63</v>
      </c>
      <c r="AP6" s="11">
        <v>29.58</v>
      </c>
      <c r="AQ6" s="11">
        <v>60.73</v>
      </c>
      <c r="AR6" s="11">
        <v>36.25</v>
      </c>
      <c r="AS6" s="11">
        <v>284</v>
      </c>
      <c r="AT6" s="11">
        <v>44.39</v>
      </c>
      <c r="AU6" s="11">
        <v>57.82</v>
      </c>
      <c r="AV6" s="11">
        <v>104.18</v>
      </c>
      <c r="AW6" s="11">
        <v>119.56</v>
      </c>
      <c r="AX6" s="11">
        <v>10000000000</v>
      </c>
      <c r="AY6" s="11">
        <v>10000000000</v>
      </c>
      <c r="AZ6" s="11">
        <v>6.3598999999999997</v>
      </c>
      <c r="BA6" s="11">
        <v>170.12</v>
      </c>
      <c r="BB6" s="11">
        <v>80.680000000000007</v>
      </c>
      <c r="BC6" s="11">
        <v>5.27</v>
      </c>
      <c r="BD6" s="11">
        <v>1.81</v>
      </c>
      <c r="BE6" s="11">
        <v>13.32</v>
      </c>
      <c r="BF6" s="11">
        <v>2.5499999999999998</v>
      </c>
      <c r="BG6" s="11">
        <v>135.31</v>
      </c>
      <c r="BH6" s="11">
        <v>34.29</v>
      </c>
      <c r="BI6" s="11">
        <v>0.42</v>
      </c>
      <c r="BJ6" s="11">
        <v>326.39999999999998</v>
      </c>
      <c r="BK6" s="11">
        <v>41.4</v>
      </c>
      <c r="BL6" s="11">
        <v>83.3</v>
      </c>
      <c r="BM6" s="11">
        <v>148.27000000000001</v>
      </c>
      <c r="BN6" s="11">
        <v>1.45</v>
      </c>
      <c r="BO6" s="11">
        <v>30.62</v>
      </c>
      <c r="BP6" s="11">
        <v>33.78</v>
      </c>
      <c r="BQ6" s="11">
        <v>290.92</v>
      </c>
      <c r="BR6" s="11">
        <v>57.122239999999998</v>
      </c>
      <c r="BS6" s="11">
        <v>168.0778</v>
      </c>
      <c r="BT6" s="11">
        <v>126.7535</v>
      </c>
      <c r="BU6" s="11">
        <v>118.4337</v>
      </c>
      <c r="BV6" s="11">
        <v>117.0457</v>
      </c>
      <c r="BW6" s="11">
        <v>3.9154000000000001E-2</v>
      </c>
      <c r="BX6" s="11">
        <v>4.0335999999999997E-2</v>
      </c>
      <c r="BY6" s="11">
        <v>15.31521</v>
      </c>
      <c r="BZ6" s="11">
        <v>18.995360000000002</v>
      </c>
      <c r="CA6" s="11">
        <v>0</v>
      </c>
      <c r="CB6" s="11">
        <v>0.93506900000000004</v>
      </c>
      <c r="CC6" s="11">
        <v>459.20940000000002</v>
      </c>
      <c r="CD6" s="11">
        <v>464.71480000000003</v>
      </c>
      <c r="CE6" s="11">
        <v>22.315359999999998</v>
      </c>
      <c r="CF6" s="11">
        <v>274.22000000000003</v>
      </c>
      <c r="CG6" s="11">
        <v>81.430000000000007</v>
      </c>
      <c r="CH6" s="11">
        <v>96.87</v>
      </c>
      <c r="CI6" s="11">
        <v>267.77</v>
      </c>
      <c r="CJ6" s="11">
        <v>262.97000000000003</v>
      </c>
      <c r="CK6" s="11">
        <v>269.35000000000002</v>
      </c>
      <c r="CL6" s="11">
        <v>282.88</v>
      </c>
      <c r="CM6" s="11">
        <v>279.24</v>
      </c>
      <c r="CN6" s="11">
        <v>276.39</v>
      </c>
      <c r="CO6" s="11">
        <v>217.47</v>
      </c>
      <c r="CP6" s="11">
        <v>22.22</v>
      </c>
      <c r="CQ6" s="11">
        <v>117.7</v>
      </c>
      <c r="CR6" s="11">
        <v>118.05</v>
      </c>
      <c r="CS6" s="11">
        <v>2.1</v>
      </c>
      <c r="CT6" s="11">
        <v>2.1</v>
      </c>
      <c r="CU6" s="36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</row>
    <row r="7" spans="1:133" s="11" customFormat="1" x14ac:dyDescent="0.25">
      <c r="A7" s="72"/>
      <c r="B7" s="11">
        <v>12</v>
      </c>
      <c r="C7" s="12">
        <v>41390.582747337961</v>
      </c>
      <c r="D7" s="11">
        <v>1</v>
      </c>
      <c r="E7" s="11">
        <v>23</v>
      </c>
      <c r="F7" s="11">
        <v>118</v>
      </c>
      <c r="G7" s="11">
        <v>118</v>
      </c>
      <c r="H7" s="11">
        <v>118</v>
      </c>
      <c r="I7" s="11">
        <v>82.6</v>
      </c>
      <c r="J7" s="11">
        <v>82.6</v>
      </c>
      <c r="K7" s="11">
        <v>1701</v>
      </c>
      <c r="L7" s="11">
        <v>66</v>
      </c>
      <c r="M7" s="11">
        <v>66</v>
      </c>
      <c r="N7" s="11">
        <v>0.28000000000000003</v>
      </c>
      <c r="O7" s="11">
        <v>0.28010400000000002</v>
      </c>
      <c r="P7" s="11">
        <v>1</v>
      </c>
      <c r="Q7" s="11">
        <v>1.069107</v>
      </c>
      <c r="R7" s="11">
        <v>1.74</v>
      </c>
      <c r="S7" s="11">
        <v>1.73584</v>
      </c>
      <c r="T7" s="11">
        <v>102.94</v>
      </c>
      <c r="U7" s="11">
        <v>102.9375</v>
      </c>
      <c r="V7" s="11">
        <v>3.5</v>
      </c>
      <c r="W7" s="11">
        <v>3.5</v>
      </c>
      <c r="X7" s="11">
        <v>300</v>
      </c>
      <c r="Y7" s="11">
        <v>300</v>
      </c>
      <c r="Z7" s="11">
        <v>3.5</v>
      </c>
      <c r="AA7" s="11">
        <v>3.5</v>
      </c>
      <c r="AB7" s="11">
        <v>300</v>
      </c>
      <c r="AC7" s="11">
        <v>300</v>
      </c>
      <c r="AD7" s="11">
        <v>0</v>
      </c>
      <c r="AE7" s="11">
        <v>87.886610000000005</v>
      </c>
      <c r="AF7" s="11">
        <v>0</v>
      </c>
      <c r="AG7" s="11">
        <v>87.886610000000005</v>
      </c>
      <c r="AH7" s="11">
        <v>64.180000000000007</v>
      </c>
      <c r="AI7" s="11">
        <v>0.24</v>
      </c>
      <c r="AJ7" s="11">
        <v>49.51</v>
      </c>
      <c r="AK7" s="11">
        <v>62.46</v>
      </c>
      <c r="AL7" s="11">
        <v>72.67</v>
      </c>
      <c r="AM7" s="11">
        <v>71.319999999999993</v>
      </c>
      <c r="AN7" s="11">
        <v>285.57</v>
      </c>
      <c r="AO7" s="11">
        <v>129.91569999999999</v>
      </c>
      <c r="AP7" s="11">
        <v>29.01</v>
      </c>
      <c r="AQ7" s="11">
        <v>63.83</v>
      </c>
      <c r="AR7" s="11">
        <v>35.729999999999997</v>
      </c>
      <c r="AS7" s="11">
        <v>282.97000000000003</v>
      </c>
      <c r="AT7" s="11">
        <v>43.67</v>
      </c>
      <c r="AU7" s="11">
        <v>61.18</v>
      </c>
      <c r="AV7" s="11">
        <v>105.28</v>
      </c>
      <c r="AW7" s="11">
        <v>112.07</v>
      </c>
      <c r="AX7" s="11">
        <v>0.59899999999999998</v>
      </c>
      <c r="AY7" s="11">
        <v>9.4499999999999993</v>
      </c>
      <c r="AZ7" s="11">
        <v>4.1390000000000002</v>
      </c>
      <c r="BA7" s="11">
        <v>164.7</v>
      </c>
      <c r="BB7" s="11">
        <v>84.65</v>
      </c>
      <c r="BC7" s="11">
        <v>5.28</v>
      </c>
      <c r="BD7" s="11">
        <v>1.8</v>
      </c>
      <c r="BE7" s="11">
        <v>13.29</v>
      </c>
      <c r="BF7" s="11">
        <v>2.62</v>
      </c>
      <c r="BG7" s="11">
        <v>139.66999999999999</v>
      </c>
      <c r="BH7" s="11">
        <v>34.08</v>
      </c>
      <c r="BI7" s="11">
        <v>0.28000000000000003</v>
      </c>
      <c r="BJ7" s="11">
        <v>325.5</v>
      </c>
      <c r="BK7" s="11">
        <v>41.3</v>
      </c>
      <c r="BL7" s="11">
        <v>84</v>
      </c>
      <c r="BM7" s="11">
        <v>146.26</v>
      </c>
      <c r="BN7" s="11">
        <v>1.43</v>
      </c>
      <c r="BO7" s="11">
        <v>30.61</v>
      </c>
      <c r="BP7" s="11">
        <v>33.79</v>
      </c>
      <c r="BQ7" s="11">
        <v>289.74</v>
      </c>
      <c r="BR7" s="11">
        <v>60.296770000000002</v>
      </c>
      <c r="BS7" s="11">
        <v>166.33930000000001</v>
      </c>
      <c r="BT7" s="11">
        <v>126.2921</v>
      </c>
      <c r="BU7" s="11">
        <v>116.1485</v>
      </c>
      <c r="BV7" s="11">
        <v>114.82680000000001</v>
      </c>
      <c r="BW7" s="11">
        <v>3.9162000000000002E-2</v>
      </c>
      <c r="BX7" s="11">
        <v>4.0829999999999998E-2</v>
      </c>
      <c r="BY7" s="11">
        <v>15.405519999999999</v>
      </c>
      <c r="BZ7" s="11">
        <v>18.995360000000002</v>
      </c>
      <c r="CA7" s="11">
        <v>0</v>
      </c>
      <c r="CB7" s="11">
        <v>0.93509399999999998</v>
      </c>
      <c r="CC7" s="11">
        <v>452.35419999999999</v>
      </c>
      <c r="CD7" s="11">
        <v>457.87670000000003</v>
      </c>
      <c r="CE7" s="11">
        <v>22.405889999999999</v>
      </c>
      <c r="CF7" s="11">
        <v>279.86</v>
      </c>
      <c r="CG7" s="11">
        <v>85.55</v>
      </c>
      <c r="CH7" s="11">
        <v>99.01</v>
      </c>
      <c r="CI7" s="11">
        <v>273.76</v>
      </c>
      <c r="CJ7" s="11">
        <v>266.87</v>
      </c>
      <c r="CK7" s="11">
        <v>270.86</v>
      </c>
      <c r="CL7" s="11">
        <v>286.89</v>
      </c>
      <c r="CM7" s="11">
        <v>282.75</v>
      </c>
      <c r="CN7" s="11">
        <v>281.93</v>
      </c>
      <c r="CO7" s="11">
        <v>226.59</v>
      </c>
      <c r="CP7" s="11">
        <v>22.71</v>
      </c>
      <c r="CQ7" s="11">
        <v>117.8</v>
      </c>
      <c r="CR7" s="11">
        <v>118.05</v>
      </c>
      <c r="CS7" s="11">
        <v>2.1</v>
      </c>
      <c r="CT7" s="11">
        <v>2.1</v>
      </c>
      <c r="CU7" s="36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</row>
    <row r="8" spans="1:133" s="13" customFormat="1" ht="16.5" customHeight="1" x14ac:dyDescent="0.25">
      <c r="A8" s="72"/>
      <c r="B8" s="13">
        <v>13</v>
      </c>
      <c r="C8" s="14">
        <v>41390.589522986113</v>
      </c>
      <c r="D8" s="13">
        <v>1</v>
      </c>
      <c r="E8" s="13">
        <v>23</v>
      </c>
      <c r="F8" s="13">
        <v>118</v>
      </c>
      <c r="G8" s="13">
        <v>118</v>
      </c>
      <c r="H8" s="13">
        <v>118</v>
      </c>
      <c r="I8" s="13">
        <v>82.6</v>
      </c>
      <c r="J8" s="13">
        <v>82.6</v>
      </c>
      <c r="K8" s="13">
        <v>1701</v>
      </c>
      <c r="L8" s="13">
        <v>66</v>
      </c>
      <c r="M8" s="13">
        <v>66</v>
      </c>
      <c r="N8" s="13">
        <v>0.28000000000000003</v>
      </c>
      <c r="O8" s="13">
        <v>0.28001100000000001</v>
      </c>
      <c r="P8" s="13">
        <v>1</v>
      </c>
      <c r="Q8" s="13">
        <v>1.069231</v>
      </c>
      <c r="R8" s="13">
        <v>1.74</v>
      </c>
      <c r="S8" s="13">
        <v>1.73584</v>
      </c>
      <c r="T8" s="13">
        <v>102.94</v>
      </c>
      <c r="U8" s="13">
        <v>102.9375</v>
      </c>
      <c r="V8" s="13">
        <v>3.5</v>
      </c>
      <c r="W8" s="13">
        <v>3.5</v>
      </c>
      <c r="X8" s="13">
        <v>300</v>
      </c>
      <c r="Y8" s="13">
        <v>300</v>
      </c>
      <c r="Z8" s="13">
        <v>3.5</v>
      </c>
      <c r="AA8" s="13">
        <v>3.5</v>
      </c>
      <c r="AB8" s="13">
        <v>300</v>
      </c>
      <c r="AC8" s="13">
        <v>300</v>
      </c>
      <c r="AD8" s="13">
        <v>0</v>
      </c>
      <c r="AE8" s="13">
        <v>88.554739999999995</v>
      </c>
      <c r="AF8" s="13">
        <v>0</v>
      </c>
      <c r="AG8" s="13">
        <v>88.554739999999995</v>
      </c>
      <c r="AH8" s="13">
        <v>64.180000000000007</v>
      </c>
      <c r="AI8" s="13">
        <v>0.24</v>
      </c>
      <c r="AJ8" s="13">
        <v>49.73</v>
      </c>
      <c r="AK8" s="13">
        <v>62.87</v>
      </c>
      <c r="AL8" s="13">
        <v>74.540000000000006</v>
      </c>
      <c r="AM8" s="13">
        <v>73.14</v>
      </c>
      <c r="AN8" s="13">
        <v>286.43</v>
      </c>
      <c r="AO8" s="13">
        <v>130.6439</v>
      </c>
      <c r="AP8" s="13">
        <v>29.71</v>
      </c>
      <c r="AQ8" s="13">
        <v>63.53</v>
      </c>
      <c r="AR8" s="13">
        <v>36.44</v>
      </c>
      <c r="AS8" s="13">
        <v>283.20999999999998</v>
      </c>
      <c r="AT8" s="13">
        <v>44.83</v>
      </c>
      <c r="AU8" s="13">
        <v>60.34</v>
      </c>
      <c r="AV8" s="13">
        <v>105.62</v>
      </c>
      <c r="AW8" s="13">
        <v>116.52</v>
      </c>
      <c r="AX8" s="13">
        <v>0.58499999999999996</v>
      </c>
      <c r="AY8" s="13">
        <v>9.19</v>
      </c>
      <c r="AZ8" s="13">
        <v>5.3689999999999998</v>
      </c>
      <c r="BA8" s="13">
        <v>168.51</v>
      </c>
      <c r="BB8" s="13">
        <v>85.06</v>
      </c>
      <c r="BC8" s="13">
        <v>5.32</v>
      </c>
      <c r="BD8" s="13">
        <v>1.83</v>
      </c>
      <c r="BE8" s="13">
        <v>13.24</v>
      </c>
      <c r="BF8" s="13">
        <v>2.57</v>
      </c>
      <c r="BG8" s="13">
        <v>137.03</v>
      </c>
      <c r="BH8" s="13">
        <v>34.340000000000003</v>
      </c>
      <c r="BI8" s="13">
        <v>0.36</v>
      </c>
      <c r="BJ8" s="13">
        <v>327.7</v>
      </c>
      <c r="BK8" s="13">
        <v>41.1</v>
      </c>
      <c r="BL8" s="13">
        <v>83.8</v>
      </c>
      <c r="BM8" s="13">
        <v>148.18</v>
      </c>
      <c r="BN8" s="13">
        <v>1.44</v>
      </c>
      <c r="BO8" s="13">
        <v>30.63</v>
      </c>
      <c r="BP8" s="13">
        <v>33.81</v>
      </c>
      <c r="BQ8" s="13">
        <v>290.2</v>
      </c>
      <c r="BR8" s="13">
        <v>59.429900000000004</v>
      </c>
      <c r="BS8" s="13">
        <v>167.93610000000001</v>
      </c>
      <c r="BT8" s="13">
        <v>125.49079999999999</v>
      </c>
      <c r="BU8" s="13">
        <v>116.3109</v>
      </c>
      <c r="BV8" s="13">
        <v>114.9661</v>
      </c>
      <c r="BW8" s="13">
        <v>3.9139E-2</v>
      </c>
      <c r="BX8" s="13">
        <v>4.0572999999999998E-2</v>
      </c>
      <c r="BY8" s="13">
        <v>15.561820000000001</v>
      </c>
      <c r="BZ8" s="13">
        <v>18.995360000000002</v>
      </c>
      <c r="CA8" s="13">
        <v>0</v>
      </c>
      <c r="CB8" s="13">
        <v>0.93513400000000002</v>
      </c>
      <c r="CC8" s="13">
        <v>456.06560000000002</v>
      </c>
      <c r="CD8" s="13">
        <v>461.63150000000002</v>
      </c>
      <c r="CE8" s="13">
        <v>22.562139999999999</v>
      </c>
      <c r="CF8" s="13">
        <v>280.05</v>
      </c>
      <c r="CG8" s="13">
        <v>84.84</v>
      </c>
      <c r="CH8" s="13">
        <v>99.06</v>
      </c>
      <c r="CI8" s="13">
        <v>273.18</v>
      </c>
      <c r="CJ8" s="13">
        <v>267.01</v>
      </c>
      <c r="CK8" s="13">
        <v>273.05</v>
      </c>
      <c r="CL8" s="13">
        <v>287.74</v>
      </c>
      <c r="CM8" s="13">
        <v>283.81</v>
      </c>
      <c r="CN8" s="13">
        <v>281.45</v>
      </c>
      <c r="CO8" s="13">
        <v>224.22</v>
      </c>
      <c r="CP8" s="13">
        <v>22.64</v>
      </c>
      <c r="CQ8" s="13">
        <v>117.8</v>
      </c>
      <c r="CR8" s="13">
        <v>118.05</v>
      </c>
      <c r="CS8" s="13">
        <v>2.1</v>
      </c>
      <c r="CT8" s="13">
        <v>2.1</v>
      </c>
      <c r="CU8" s="36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</row>
    <row r="9" spans="1:133" s="13" customFormat="1" ht="16.5" customHeight="1" x14ac:dyDescent="0.25">
      <c r="A9" s="72"/>
      <c r="B9" s="13">
        <v>24</v>
      </c>
      <c r="C9" s="14">
        <v>41390.649233240743</v>
      </c>
      <c r="D9" s="13">
        <v>1</v>
      </c>
      <c r="E9" s="13">
        <v>34</v>
      </c>
      <c r="F9" s="13">
        <v>118</v>
      </c>
      <c r="G9" s="13">
        <v>118</v>
      </c>
      <c r="H9" s="13">
        <v>118</v>
      </c>
      <c r="I9" s="13">
        <v>82.6</v>
      </c>
      <c r="J9" s="13">
        <v>82.6</v>
      </c>
      <c r="K9" s="13">
        <v>1701</v>
      </c>
      <c r="L9" s="13">
        <v>66</v>
      </c>
      <c r="M9" s="13">
        <v>66</v>
      </c>
      <c r="N9" s="13">
        <v>0.28000000000000003</v>
      </c>
      <c r="O9" s="13">
        <v>0.28009400000000001</v>
      </c>
      <c r="P9" s="13">
        <v>1</v>
      </c>
      <c r="Q9" s="13">
        <v>1.0691120000000001</v>
      </c>
      <c r="R9" s="13">
        <v>1.74</v>
      </c>
      <c r="S9" s="13">
        <v>1.73584</v>
      </c>
      <c r="T9" s="13">
        <v>102.94</v>
      </c>
      <c r="U9" s="13">
        <v>102.9375</v>
      </c>
      <c r="V9" s="13">
        <v>3.5</v>
      </c>
      <c r="W9" s="13">
        <v>3.5</v>
      </c>
      <c r="X9" s="13">
        <v>300</v>
      </c>
      <c r="Y9" s="13">
        <v>300</v>
      </c>
      <c r="Z9" s="13">
        <v>3.5</v>
      </c>
      <c r="AA9" s="13">
        <v>3.5</v>
      </c>
      <c r="AB9" s="13">
        <v>300</v>
      </c>
      <c r="AC9" s="13">
        <v>300</v>
      </c>
      <c r="AD9" s="13">
        <v>0</v>
      </c>
      <c r="AE9" s="13">
        <v>88.432079999999999</v>
      </c>
      <c r="AF9" s="13">
        <v>0</v>
      </c>
      <c r="AG9" s="13">
        <v>88.432079999999999</v>
      </c>
      <c r="AH9" s="13">
        <v>64.180000000000007</v>
      </c>
      <c r="AI9" s="13">
        <v>0.24</v>
      </c>
      <c r="AJ9" s="13">
        <v>49.87</v>
      </c>
      <c r="AK9" s="13">
        <v>63.11</v>
      </c>
      <c r="AL9" s="13">
        <v>74.489999999999995</v>
      </c>
      <c r="AM9" s="13">
        <v>73.39</v>
      </c>
      <c r="AN9" s="13">
        <v>286.45</v>
      </c>
      <c r="AO9" s="13">
        <v>130.709</v>
      </c>
      <c r="AP9" s="13">
        <v>29.72</v>
      </c>
      <c r="AQ9" s="13">
        <v>65.86</v>
      </c>
      <c r="AR9" s="13">
        <v>36.64</v>
      </c>
      <c r="AS9" s="13">
        <v>284.76</v>
      </c>
      <c r="AT9" s="13">
        <v>44.77</v>
      </c>
      <c r="AU9" s="13">
        <v>61.2</v>
      </c>
      <c r="AV9" s="13">
        <v>105.81</v>
      </c>
      <c r="AW9" s="13">
        <v>118.5</v>
      </c>
      <c r="AX9" s="13">
        <v>0.58899999999999997</v>
      </c>
      <c r="AY9" s="13">
        <v>9.27</v>
      </c>
      <c r="AZ9" s="13">
        <v>6.2667999999999999</v>
      </c>
      <c r="BA9" s="13">
        <v>162.49</v>
      </c>
      <c r="BB9" s="13">
        <v>84.86</v>
      </c>
      <c r="BC9" s="13">
        <v>5.3</v>
      </c>
      <c r="BD9" s="13">
        <v>1.8</v>
      </c>
      <c r="BE9" s="13">
        <v>13.25</v>
      </c>
      <c r="BF9" s="13">
        <v>2.71</v>
      </c>
      <c r="BG9" s="13">
        <v>143.46</v>
      </c>
      <c r="BH9" s="13">
        <v>33.93</v>
      </c>
      <c r="BI9" s="13">
        <v>0.41</v>
      </c>
      <c r="BJ9" s="13">
        <v>328.6</v>
      </c>
      <c r="BK9" s="13">
        <v>41.2</v>
      </c>
      <c r="BL9" s="13">
        <v>84</v>
      </c>
      <c r="BM9" s="13">
        <v>146.19</v>
      </c>
      <c r="BN9" s="13">
        <v>1.43</v>
      </c>
      <c r="BO9" s="13">
        <v>30.61</v>
      </c>
      <c r="BP9" s="13">
        <v>33.81</v>
      </c>
      <c r="BQ9" s="13">
        <v>291.55</v>
      </c>
      <c r="BR9" s="13">
        <v>60.223280000000003</v>
      </c>
      <c r="BS9" s="13">
        <v>167.7003</v>
      </c>
      <c r="BT9" s="13">
        <v>125.5746</v>
      </c>
      <c r="BU9" s="13">
        <v>116.1378</v>
      </c>
      <c r="BV9" s="13">
        <v>114.8151</v>
      </c>
      <c r="BW9" s="13">
        <v>3.9143999999999998E-2</v>
      </c>
      <c r="BX9" s="13">
        <v>4.0645000000000001E-2</v>
      </c>
      <c r="BY9" s="13">
        <v>15.54641</v>
      </c>
      <c r="BZ9" s="13">
        <v>18.995360000000002</v>
      </c>
      <c r="CA9" s="13">
        <v>0</v>
      </c>
      <c r="CB9" s="13">
        <v>0.93513000000000002</v>
      </c>
      <c r="CC9" s="13">
        <v>455.2371</v>
      </c>
      <c r="CD9" s="13">
        <v>460.79919999999998</v>
      </c>
      <c r="CE9" s="13">
        <v>22.546769999999999</v>
      </c>
      <c r="CF9" s="13">
        <v>278.63</v>
      </c>
      <c r="CG9" s="13">
        <v>85.16</v>
      </c>
      <c r="CH9" s="13">
        <v>99.48</v>
      </c>
      <c r="CI9" s="13">
        <v>273.60000000000002</v>
      </c>
      <c r="CJ9" s="13">
        <v>266.12</v>
      </c>
      <c r="CK9" s="13">
        <v>272.16000000000003</v>
      </c>
      <c r="CL9" s="13">
        <v>286.64</v>
      </c>
      <c r="CM9" s="13">
        <v>280.31</v>
      </c>
      <c r="CN9" s="13">
        <v>280.08999999999997</v>
      </c>
      <c r="CO9" s="13">
        <v>227.31</v>
      </c>
      <c r="CP9" s="13">
        <v>24.43</v>
      </c>
      <c r="CQ9" s="13">
        <v>117.8</v>
      </c>
      <c r="CR9" s="13">
        <v>118.05</v>
      </c>
      <c r="CS9" s="13">
        <v>2.1</v>
      </c>
      <c r="CT9" s="13">
        <v>2.1</v>
      </c>
      <c r="CU9" s="36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spans="1:133" s="15" customFormat="1" x14ac:dyDescent="0.25">
      <c r="A10" s="72"/>
      <c r="B10" s="15">
        <v>25</v>
      </c>
      <c r="C10" s="16">
        <v>41390.656017222223</v>
      </c>
      <c r="D10" s="15">
        <v>1</v>
      </c>
      <c r="E10" s="15">
        <v>34</v>
      </c>
      <c r="F10" s="15">
        <v>118</v>
      </c>
      <c r="G10" s="15">
        <v>118</v>
      </c>
      <c r="H10" s="15">
        <v>118.1</v>
      </c>
      <c r="I10" s="15">
        <v>82.6</v>
      </c>
      <c r="J10" s="15">
        <v>82.6</v>
      </c>
      <c r="K10" s="15">
        <v>1701</v>
      </c>
      <c r="L10" s="15">
        <v>66</v>
      </c>
      <c r="M10" s="15">
        <v>66</v>
      </c>
      <c r="N10" s="15">
        <v>0.28000000000000003</v>
      </c>
      <c r="O10" s="15">
        <v>0.280026</v>
      </c>
      <c r="P10" s="15">
        <v>1</v>
      </c>
      <c r="Q10" s="15">
        <v>1.06908</v>
      </c>
      <c r="R10" s="15">
        <v>1.74</v>
      </c>
      <c r="S10" s="15">
        <v>1.73584</v>
      </c>
      <c r="T10" s="15">
        <v>102.94</v>
      </c>
      <c r="U10" s="15">
        <v>102.9375</v>
      </c>
      <c r="V10" s="15">
        <v>3.5</v>
      </c>
      <c r="W10" s="15">
        <v>3.5</v>
      </c>
      <c r="X10" s="15">
        <v>300</v>
      </c>
      <c r="Y10" s="15">
        <v>300</v>
      </c>
      <c r="Z10" s="15">
        <v>3.5</v>
      </c>
      <c r="AA10" s="15">
        <v>3.5</v>
      </c>
      <c r="AB10" s="15">
        <v>300</v>
      </c>
      <c r="AC10" s="15">
        <v>300</v>
      </c>
      <c r="AD10" s="15">
        <v>0</v>
      </c>
      <c r="AE10" s="15">
        <v>88.78828</v>
      </c>
      <c r="AF10" s="15">
        <v>0</v>
      </c>
      <c r="AG10" s="15">
        <v>88.78828</v>
      </c>
      <c r="AH10" s="15">
        <v>64.180000000000007</v>
      </c>
      <c r="AI10" s="15">
        <v>0.24</v>
      </c>
      <c r="AJ10" s="15">
        <v>49.63</v>
      </c>
      <c r="AK10" s="15">
        <v>63.25</v>
      </c>
      <c r="AL10" s="15">
        <v>75.92</v>
      </c>
      <c r="AM10" s="15">
        <v>74.77</v>
      </c>
      <c r="AN10" s="15">
        <v>286.10000000000002</v>
      </c>
      <c r="AO10" s="15">
        <v>131.0959</v>
      </c>
      <c r="AP10" s="15">
        <v>30.11</v>
      </c>
      <c r="AQ10" s="15">
        <v>64.44</v>
      </c>
      <c r="AR10" s="15">
        <v>37.020000000000003</v>
      </c>
      <c r="AS10" s="15">
        <v>284.35000000000002</v>
      </c>
      <c r="AT10" s="15">
        <v>45.81</v>
      </c>
      <c r="AU10" s="15">
        <v>60.71</v>
      </c>
      <c r="AV10" s="15">
        <v>106.31</v>
      </c>
      <c r="AW10" s="15">
        <v>113.46</v>
      </c>
      <c r="AX10" s="15">
        <v>0.64300000000000002</v>
      </c>
      <c r="AY10" s="15">
        <v>10.28</v>
      </c>
      <c r="AZ10" s="15">
        <v>6.3410000000000002</v>
      </c>
      <c r="BA10" s="15">
        <v>162.93</v>
      </c>
      <c r="BB10" s="15">
        <v>85.21</v>
      </c>
      <c r="BC10" s="15">
        <v>5.32</v>
      </c>
      <c r="BD10" s="15">
        <v>1.84</v>
      </c>
      <c r="BE10" s="15">
        <v>13.24</v>
      </c>
      <c r="BF10" s="15">
        <v>2.64</v>
      </c>
      <c r="BG10" s="15">
        <v>139.99</v>
      </c>
      <c r="BH10" s="15">
        <v>34.56</v>
      </c>
      <c r="BI10" s="15">
        <v>0.41</v>
      </c>
      <c r="BJ10" s="15">
        <v>329.2</v>
      </c>
      <c r="BK10" s="15">
        <v>41.1</v>
      </c>
      <c r="BL10" s="15">
        <v>84.2</v>
      </c>
      <c r="BM10" s="15">
        <v>150.18</v>
      </c>
      <c r="BN10" s="15">
        <v>1.44</v>
      </c>
      <c r="BO10" s="15">
        <v>30.65</v>
      </c>
      <c r="BP10" s="15">
        <v>33.82</v>
      </c>
      <c r="BQ10" s="15">
        <v>291.27999999999997</v>
      </c>
      <c r="BR10" s="15">
        <v>59.725259999999999</v>
      </c>
      <c r="BS10" s="15">
        <v>168.9821</v>
      </c>
      <c r="BT10" s="15">
        <v>124.40649999999999</v>
      </c>
      <c r="BU10" s="15">
        <v>115.50360000000001</v>
      </c>
      <c r="BV10" s="15">
        <v>114.178</v>
      </c>
      <c r="BW10" s="15">
        <v>3.9087999999999998E-2</v>
      </c>
      <c r="BX10" s="15">
        <v>4.0432000000000003E-2</v>
      </c>
      <c r="BY10" s="15">
        <v>15.775259999999999</v>
      </c>
      <c r="BZ10" s="15">
        <v>18.995360000000002</v>
      </c>
      <c r="CA10" s="15">
        <v>0</v>
      </c>
      <c r="CB10" s="15">
        <v>0.93518900000000005</v>
      </c>
      <c r="CC10" s="15">
        <v>457.29309999999998</v>
      </c>
      <c r="CD10" s="15">
        <v>462.9196</v>
      </c>
      <c r="CE10" s="15">
        <v>22.77458</v>
      </c>
      <c r="CF10" s="15">
        <v>279.31</v>
      </c>
      <c r="CG10" s="15">
        <v>85.05</v>
      </c>
      <c r="CH10" s="15">
        <v>99.73</v>
      </c>
      <c r="CI10" s="15">
        <v>271.86</v>
      </c>
      <c r="CJ10" s="15">
        <v>266.72000000000003</v>
      </c>
      <c r="CK10" s="15">
        <v>272.51</v>
      </c>
      <c r="CL10" s="15">
        <v>285.83</v>
      </c>
      <c r="CM10" s="15">
        <v>282.14</v>
      </c>
      <c r="CN10" s="15">
        <v>281.55</v>
      </c>
      <c r="CO10" s="15">
        <v>223.72</v>
      </c>
      <c r="CP10" s="15">
        <v>24.42</v>
      </c>
      <c r="CQ10" s="15">
        <v>117.8</v>
      </c>
      <c r="CR10" s="15">
        <v>118.05</v>
      </c>
      <c r="CS10" s="15">
        <v>2.1</v>
      </c>
      <c r="CT10" s="15">
        <v>2.1</v>
      </c>
      <c r="CU10" s="36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</row>
    <row r="11" spans="1:133" s="15" customFormat="1" x14ac:dyDescent="0.25">
      <c r="A11" s="72"/>
      <c r="B11" s="15">
        <v>36</v>
      </c>
      <c r="C11" s="16">
        <v>41390.715749583331</v>
      </c>
      <c r="D11" s="15">
        <v>1</v>
      </c>
      <c r="E11" s="15">
        <v>45</v>
      </c>
      <c r="F11" s="15">
        <v>118</v>
      </c>
      <c r="G11" s="15">
        <v>118</v>
      </c>
      <c r="H11" s="15">
        <v>118</v>
      </c>
      <c r="I11" s="15">
        <v>82.6</v>
      </c>
      <c r="J11" s="15">
        <v>82.6</v>
      </c>
      <c r="K11" s="15">
        <v>1701</v>
      </c>
      <c r="L11" s="15">
        <v>66</v>
      </c>
      <c r="M11" s="15">
        <v>66</v>
      </c>
      <c r="N11" s="15">
        <v>0.28000000000000003</v>
      </c>
      <c r="O11" s="15">
        <v>0.27998499999999998</v>
      </c>
      <c r="P11" s="15">
        <v>1</v>
      </c>
      <c r="Q11" s="15">
        <v>1.0691120000000001</v>
      </c>
      <c r="R11" s="15">
        <v>1.74</v>
      </c>
      <c r="S11" s="15">
        <v>1.73584</v>
      </c>
      <c r="T11" s="15">
        <v>102.94</v>
      </c>
      <c r="U11" s="15">
        <v>102.9375</v>
      </c>
      <c r="V11" s="15">
        <v>3.5</v>
      </c>
      <c r="W11" s="15">
        <v>3.5</v>
      </c>
      <c r="X11" s="15">
        <v>300</v>
      </c>
      <c r="Y11" s="15">
        <v>300</v>
      </c>
      <c r="Z11" s="15">
        <v>3.5</v>
      </c>
      <c r="AA11" s="15">
        <v>3.5</v>
      </c>
      <c r="AB11" s="15">
        <v>300</v>
      </c>
      <c r="AC11" s="15">
        <v>300</v>
      </c>
      <c r="AD11" s="15">
        <v>0</v>
      </c>
      <c r="AE11" s="15">
        <v>88.48</v>
      </c>
      <c r="AF11" s="15">
        <v>0</v>
      </c>
      <c r="AG11" s="15">
        <v>88.48</v>
      </c>
      <c r="AH11" s="15">
        <v>64.180000000000007</v>
      </c>
      <c r="AI11" s="15">
        <v>0.24</v>
      </c>
      <c r="AJ11" s="15">
        <v>50.1</v>
      </c>
      <c r="AK11" s="15">
        <v>62.71</v>
      </c>
      <c r="AL11" s="15">
        <v>74.83</v>
      </c>
      <c r="AM11" s="15">
        <v>73.83</v>
      </c>
      <c r="AN11" s="15">
        <v>287.72000000000003</v>
      </c>
      <c r="AO11" s="15">
        <v>130.8554</v>
      </c>
      <c r="AP11" s="15">
        <v>30.05</v>
      </c>
      <c r="AQ11" s="15">
        <v>62.86</v>
      </c>
      <c r="AR11" s="15">
        <v>36.79</v>
      </c>
      <c r="AS11" s="15">
        <v>278.08</v>
      </c>
      <c r="AT11" s="15">
        <v>44.79</v>
      </c>
      <c r="AU11" s="15">
        <v>61.35</v>
      </c>
      <c r="AV11" s="15">
        <v>106.13</v>
      </c>
      <c r="AW11" s="15">
        <v>117.98</v>
      </c>
      <c r="AX11" s="15">
        <v>0.67600000000000005</v>
      </c>
      <c r="AY11" s="15">
        <v>10.91</v>
      </c>
      <c r="AZ11" s="15">
        <v>7.6950000000000003</v>
      </c>
      <c r="BA11" s="15">
        <v>168.21</v>
      </c>
      <c r="BB11" s="15">
        <v>42.55</v>
      </c>
      <c r="BC11" s="15">
        <v>5.36</v>
      </c>
      <c r="BD11" s="15">
        <v>1.84</v>
      </c>
      <c r="BE11" s="15">
        <v>13.08</v>
      </c>
      <c r="BF11" s="15">
        <v>2.5499999999999998</v>
      </c>
      <c r="BG11" s="15">
        <v>138.9</v>
      </c>
      <c r="BH11" s="15">
        <v>34.299999999999997</v>
      </c>
      <c r="BI11" s="15">
        <v>0.49</v>
      </c>
      <c r="BJ11" s="15">
        <v>330.7</v>
      </c>
      <c r="BK11" s="15">
        <v>40</v>
      </c>
      <c r="BL11" s="15">
        <v>82.2</v>
      </c>
      <c r="BM11" s="15">
        <v>145.16999999999999</v>
      </c>
      <c r="BN11" s="15">
        <v>1.44</v>
      </c>
      <c r="BO11" s="15">
        <v>30.68</v>
      </c>
      <c r="BP11" s="15">
        <v>33.950000000000003</v>
      </c>
      <c r="BQ11" s="15">
        <v>285.07</v>
      </c>
      <c r="BR11" s="15">
        <v>60.376510000000003</v>
      </c>
      <c r="BS11" s="15">
        <v>167.94479999999999</v>
      </c>
      <c r="BT11" s="15">
        <v>124.5745</v>
      </c>
      <c r="BU11" s="15">
        <v>115.19070000000001</v>
      </c>
      <c r="BV11" s="15">
        <v>113.9132</v>
      </c>
      <c r="BW11" s="15">
        <v>3.9141000000000002E-2</v>
      </c>
      <c r="BX11" s="15">
        <v>4.0622999999999999E-2</v>
      </c>
      <c r="BY11" s="15">
        <v>15.742190000000001</v>
      </c>
      <c r="BZ11" s="15">
        <v>18.995360000000002</v>
      </c>
      <c r="CA11" s="15">
        <v>0</v>
      </c>
      <c r="CB11" s="15">
        <v>0.93518000000000001</v>
      </c>
      <c r="CC11" s="15">
        <v>455.57060000000001</v>
      </c>
      <c r="CD11" s="15">
        <v>461.19</v>
      </c>
      <c r="CE11" s="15">
        <v>22.743230000000001</v>
      </c>
      <c r="CF11" s="15">
        <v>281.17</v>
      </c>
      <c r="CG11" s="15">
        <v>85</v>
      </c>
      <c r="CH11" s="15">
        <v>99.52</v>
      </c>
      <c r="CI11" s="15">
        <v>273.22000000000003</v>
      </c>
      <c r="CJ11" s="15">
        <v>265.64999999999998</v>
      </c>
      <c r="CK11" s="15">
        <v>273.33</v>
      </c>
      <c r="CL11" s="15">
        <v>289</v>
      </c>
      <c r="CM11" s="15">
        <v>282.20999999999998</v>
      </c>
      <c r="CN11" s="15">
        <v>282.11</v>
      </c>
      <c r="CO11" s="15">
        <v>229.96</v>
      </c>
      <c r="CP11" s="15">
        <v>23.47</v>
      </c>
      <c r="CQ11" s="15">
        <v>117.6</v>
      </c>
      <c r="CR11" s="15">
        <v>118.05</v>
      </c>
      <c r="CS11" s="15">
        <v>2.1</v>
      </c>
      <c r="CT11" s="15">
        <v>2.1</v>
      </c>
      <c r="CU11" s="36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</row>
    <row r="12" spans="1:133" s="21" customFormat="1" x14ac:dyDescent="0.25">
      <c r="A12" s="72" t="s">
        <v>97</v>
      </c>
      <c r="B12" s="21">
        <v>1</v>
      </c>
      <c r="C12" s="22">
        <v>41393.435218043982</v>
      </c>
      <c r="D12" s="21">
        <v>2</v>
      </c>
      <c r="E12" s="21">
        <v>1</v>
      </c>
      <c r="F12" s="21">
        <v>367</v>
      </c>
      <c r="G12" s="21">
        <v>367</v>
      </c>
      <c r="H12" s="21">
        <v>367.1</v>
      </c>
      <c r="I12" s="21">
        <v>82.6</v>
      </c>
      <c r="J12" s="21">
        <v>82.6</v>
      </c>
      <c r="K12" s="21">
        <v>1701</v>
      </c>
      <c r="L12" s="21">
        <v>20</v>
      </c>
      <c r="M12" s="21">
        <v>20</v>
      </c>
      <c r="N12" s="21">
        <v>0.19</v>
      </c>
      <c r="O12" s="21">
        <v>0.18996299999999999</v>
      </c>
      <c r="P12" s="21">
        <v>1</v>
      </c>
      <c r="Q12" s="21">
        <v>1.069725</v>
      </c>
      <c r="R12" s="21">
        <v>-3.64</v>
      </c>
      <c r="S12" s="21">
        <v>-3.6364749999999999</v>
      </c>
      <c r="T12" s="21">
        <v>133.76</v>
      </c>
      <c r="U12" s="21">
        <v>133.76560000000001</v>
      </c>
      <c r="V12" s="21">
        <v>3.5</v>
      </c>
      <c r="W12" s="21">
        <v>3.5</v>
      </c>
      <c r="X12" s="21">
        <v>300</v>
      </c>
      <c r="Y12" s="21">
        <v>300</v>
      </c>
      <c r="Z12" s="21">
        <v>3.96</v>
      </c>
      <c r="AA12" s="21">
        <v>3.96875</v>
      </c>
      <c r="AB12" s="21">
        <v>300</v>
      </c>
      <c r="AC12" s="21">
        <v>300</v>
      </c>
      <c r="AD12" s="21">
        <v>0</v>
      </c>
      <c r="AE12" s="21">
        <v>97.842240000000004</v>
      </c>
      <c r="AF12" s="21">
        <v>0</v>
      </c>
      <c r="AG12" s="21">
        <v>97.842240000000004</v>
      </c>
      <c r="AH12" s="21">
        <v>40</v>
      </c>
      <c r="AI12" s="21">
        <v>0.17</v>
      </c>
      <c r="AJ12" s="21">
        <v>53.3</v>
      </c>
      <c r="AK12" s="21">
        <v>73.83</v>
      </c>
      <c r="AL12" s="21">
        <v>53.59</v>
      </c>
      <c r="AM12" s="21">
        <v>53.68</v>
      </c>
      <c r="AN12" s="21">
        <v>482.89</v>
      </c>
      <c r="AO12" s="21">
        <v>137.7389</v>
      </c>
      <c r="AP12" s="21">
        <v>36.67</v>
      </c>
      <c r="AQ12" s="21">
        <v>68.08</v>
      </c>
      <c r="AR12" s="21">
        <v>46.27</v>
      </c>
      <c r="AS12" s="21">
        <v>415.72</v>
      </c>
      <c r="AT12" s="21">
        <v>16.920000000000002</v>
      </c>
      <c r="AU12" s="21">
        <v>40.47</v>
      </c>
      <c r="AV12" s="21">
        <v>97.35</v>
      </c>
      <c r="AW12" s="21">
        <v>111.23</v>
      </c>
      <c r="AX12" s="21">
        <v>0.35299999999999998</v>
      </c>
      <c r="AY12" s="21">
        <v>5.17</v>
      </c>
      <c r="AZ12" s="21">
        <v>4.3144999999999998</v>
      </c>
      <c r="BA12" s="21">
        <v>162.63999999999999</v>
      </c>
      <c r="BB12" s="21">
        <v>52.89</v>
      </c>
      <c r="BC12" s="21">
        <v>7.99</v>
      </c>
      <c r="BD12" s="21">
        <v>1</v>
      </c>
      <c r="BE12" s="21">
        <v>9.61</v>
      </c>
      <c r="BF12" s="21">
        <v>2.58</v>
      </c>
      <c r="BG12" s="21">
        <v>307.57</v>
      </c>
      <c r="BH12" s="21">
        <v>12.5</v>
      </c>
      <c r="BI12" s="21">
        <v>0.28999999999999998</v>
      </c>
      <c r="BJ12" s="21">
        <v>234.3</v>
      </c>
      <c r="BK12" s="21">
        <v>27.1</v>
      </c>
      <c r="BL12" s="21">
        <v>84.4</v>
      </c>
      <c r="BM12" s="21">
        <v>59.4</v>
      </c>
      <c r="BN12" s="21">
        <v>1.57</v>
      </c>
      <c r="BO12" s="21">
        <v>29.88</v>
      </c>
      <c r="BP12" s="21">
        <v>36.22</v>
      </c>
      <c r="BQ12" s="21">
        <v>431.18</v>
      </c>
      <c r="BR12" s="21">
        <v>42.661349999999999</v>
      </c>
      <c r="BS12" s="21">
        <v>153.68799999999999</v>
      </c>
      <c r="BT12" s="21">
        <v>56.520890000000001</v>
      </c>
      <c r="BU12" s="21">
        <v>47.913870000000003</v>
      </c>
      <c r="BV12" s="21">
        <v>47.731140000000003</v>
      </c>
      <c r="BW12" s="21">
        <v>8.9649000000000006E-2</v>
      </c>
      <c r="BX12" s="21">
        <v>9.3476000000000004E-2</v>
      </c>
      <c r="BY12" s="21">
        <v>48.832709999999999</v>
      </c>
      <c r="BZ12" s="21">
        <v>18.995360000000002</v>
      </c>
      <c r="CA12" s="21">
        <v>0</v>
      </c>
      <c r="CB12" s="21">
        <v>0.93511699999999998</v>
      </c>
      <c r="CC12" s="21">
        <v>506.38499999999999</v>
      </c>
      <c r="CD12" s="21">
        <v>520.42100000000005</v>
      </c>
      <c r="CE12" s="21">
        <v>56.303440000000002</v>
      </c>
      <c r="CF12" s="21">
        <v>428.13</v>
      </c>
      <c r="CG12" s="21">
        <v>67.819999999999993</v>
      </c>
      <c r="CH12" s="21">
        <v>85.36</v>
      </c>
      <c r="CI12" s="21">
        <v>397.44</v>
      </c>
      <c r="CJ12" s="21">
        <v>411.81</v>
      </c>
      <c r="CK12" s="21">
        <v>425.58</v>
      </c>
      <c r="CL12" s="21">
        <v>469.73</v>
      </c>
      <c r="CM12" s="21">
        <v>442.79</v>
      </c>
      <c r="CN12" s="21">
        <v>442.34</v>
      </c>
      <c r="CO12" s="21">
        <v>397.04</v>
      </c>
      <c r="CP12" s="21">
        <v>22.04</v>
      </c>
      <c r="CQ12" s="21">
        <v>365.7</v>
      </c>
      <c r="CR12" s="21">
        <v>367.05</v>
      </c>
      <c r="CS12" s="21">
        <v>6.6</v>
      </c>
      <c r="CT12" s="21">
        <v>6.6</v>
      </c>
      <c r="CU12" s="36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</row>
    <row r="13" spans="1:133" s="21" customFormat="1" x14ac:dyDescent="0.25">
      <c r="A13" s="72"/>
      <c r="B13" s="21">
        <v>12</v>
      </c>
      <c r="C13" s="22">
        <v>41393.494964699072</v>
      </c>
      <c r="D13" s="21">
        <v>2</v>
      </c>
      <c r="E13" s="21">
        <v>12</v>
      </c>
      <c r="F13" s="21">
        <v>367</v>
      </c>
      <c r="G13" s="21">
        <v>367</v>
      </c>
      <c r="H13" s="21">
        <v>367</v>
      </c>
      <c r="I13" s="21">
        <v>82.6</v>
      </c>
      <c r="J13" s="21">
        <v>82.6</v>
      </c>
      <c r="K13" s="21">
        <v>1701</v>
      </c>
      <c r="L13" s="21">
        <v>20</v>
      </c>
      <c r="M13" s="21">
        <v>20</v>
      </c>
      <c r="N13" s="21">
        <v>0.19</v>
      </c>
      <c r="O13" s="21">
        <v>0.18998100000000001</v>
      </c>
      <c r="P13" s="21">
        <v>1</v>
      </c>
      <c r="Q13" s="21">
        <v>1.069982</v>
      </c>
      <c r="R13" s="21">
        <v>-3.64</v>
      </c>
      <c r="S13" s="21">
        <v>-3.6364749999999999</v>
      </c>
      <c r="T13" s="21">
        <v>133.76</v>
      </c>
      <c r="U13" s="21">
        <v>133.76560000000001</v>
      </c>
      <c r="V13" s="21">
        <v>3.5</v>
      </c>
      <c r="W13" s="21">
        <v>3.5</v>
      </c>
      <c r="X13" s="21">
        <v>300</v>
      </c>
      <c r="Y13" s="21">
        <v>300</v>
      </c>
      <c r="Z13" s="21">
        <v>3.96</v>
      </c>
      <c r="AA13" s="21">
        <v>3.96875</v>
      </c>
      <c r="AB13" s="21">
        <v>300</v>
      </c>
      <c r="AC13" s="21">
        <v>300</v>
      </c>
      <c r="AD13" s="21">
        <v>0</v>
      </c>
      <c r="AE13" s="21">
        <v>93.200419999999994</v>
      </c>
      <c r="AF13" s="21">
        <v>0</v>
      </c>
      <c r="AG13" s="21">
        <v>93.200419999999994</v>
      </c>
      <c r="AH13" s="21">
        <v>40</v>
      </c>
      <c r="AI13" s="21">
        <v>0.17</v>
      </c>
      <c r="AJ13" s="21">
        <v>53.28</v>
      </c>
      <c r="AK13" s="21">
        <v>74.62</v>
      </c>
      <c r="AL13" s="21">
        <v>53.71</v>
      </c>
      <c r="AM13" s="21">
        <v>54.61</v>
      </c>
      <c r="AN13" s="21">
        <v>506.61</v>
      </c>
      <c r="AO13" s="21">
        <v>138.358</v>
      </c>
      <c r="AP13" s="21">
        <v>37.69</v>
      </c>
      <c r="AQ13" s="21">
        <v>75.510000000000005</v>
      </c>
      <c r="AR13" s="21">
        <v>47.79</v>
      </c>
      <c r="AS13" s="21">
        <v>408.77</v>
      </c>
      <c r="AT13" s="21">
        <v>16.03</v>
      </c>
      <c r="AU13" s="21">
        <v>59.6</v>
      </c>
      <c r="AV13" s="21">
        <v>97.27</v>
      </c>
      <c r="AW13" s="21">
        <v>111.48</v>
      </c>
      <c r="AX13" s="21">
        <v>0.36499999999999999</v>
      </c>
      <c r="AY13" s="21">
        <v>5.37</v>
      </c>
      <c r="AZ13" s="21">
        <v>4.4733999999999998</v>
      </c>
      <c r="BA13" s="21">
        <v>141.61000000000001</v>
      </c>
      <c r="BB13" s="21">
        <v>51.51</v>
      </c>
      <c r="BC13" s="21">
        <v>8.26</v>
      </c>
      <c r="BD13" s="21">
        <v>1.01</v>
      </c>
      <c r="BE13" s="21">
        <v>9.19</v>
      </c>
      <c r="BF13" s="21">
        <v>2.82</v>
      </c>
      <c r="BG13" s="21">
        <v>344.24</v>
      </c>
      <c r="BH13" s="21">
        <v>12.24</v>
      </c>
      <c r="BI13" s="21">
        <v>0.3</v>
      </c>
      <c r="BJ13" s="21">
        <v>237.7</v>
      </c>
      <c r="BK13" s="21">
        <v>26.3</v>
      </c>
      <c r="BL13" s="21">
        <v>87.1</v>
      </c>
      <c r="BM13" s="21">
        <v>57.01</v>
      </c>
      <c r="BN13" s="21">
        <v>1.49</v>
      </c>
      <c r="BO13" s="21">
        <v>29.88</v>
      </c>
      <c r="BP13" s="21">
        <v>36.44</v>
      </c>
      <c r="BQ13" s="21">
        <v>424.33</v>
      </c>
      <c r="BR13" s="21">
        <v>60.7149</v>
      </c>
      <c r="BS13" s="21">
        <v>153.71809999999999</v>
      </c>
      <c r="BT13" s="21">
        <v>56.462859999999999</v>
      </c>
      <c r="BU13" s="21">
        <v>45.284019999999998</v>
      </c>
      <c r="BV13" s="21">
        <v>45.254480000000001</v>
      </c>
      <c r="BW13" s="21">
        <v>8.9675000000000005E-2</v>
      </c>
      <c r="BX13" s="21">
        <v>9.5687999999999995E-2</v>
      </c>
      <c r="BY13" s="21">
        <v>48.948540000000001</v>
      </c>
      <c r="BZ13" s="21">
        <v>18.995360000000002</v>
      </c>
      <c r="CA13" s="21">
        <v>0</v>
      </c>
      <c r="CB13" s="21">
        <v>0.93508000000000002</v>
      </c>
      <c r="CC13" s="21">
        <v>481.15170000000001</v>
      </c>
      <c r="CD13" s="21">
        <v>495.21960000000001</v>
      </c>
      <c r="CE13" s="21">
        <v>56.420050000000003</v>
      </c>
      <c r="CF13" s="21">
        <v>454.9</v>
      </c>
      <c r="CG13" s="21">
        <v>79.150000000000006</v>
      </c>
      <c r="CH13" s="21">
        <v>90.34</v>
      </c>
      <c r="CI13" s="21">
        <v>417.48</v>
      </c>
      <c r="CJ13" s="21">
        <v>431.45</v>
      </c>
      <c r="CK13" s="21">
        <v>441.21</v>
      </c>
      <c r="CL13" s="21">
        <v>489.31</v>
      </c>
      <c r="CM13" s="21">
        <v>465.09</v>
      </c>
      <c r="CN13" s="21">
        <v>470.32</v>
      </c>
      <c r="CO13" s="21">
        <v>422.64</v>
      </c>
      <c r="CP13" s="21">
        <v>25.68</v>
      </c>
      <c r="CQ13" s="21">
        <v>366.4</v>
      </c>
      <c r="CR13" s="21">
        <v>367.05</v>
      </c>
      <c r="CS13" s="21">
        <v>6.6</v>
      </c>
      <c r="CT13" s="21">
        <v>6.6</v>
      </c>
      <c r="CU13" s="36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</row>
    <row r="14" spans="1:133" s="9" customFormat="1" x14ac:dyDescent="0.25">
      <c r="A14" s="72"/>
      <c r="B14" s="9">
        <v>13</v>
      </c>
      <c r="C14" s="10">
        <v>41393.503952870371</v>
      </c>
      <c r="D14" s="9">
        <v>2</v>
      </c>
      <c r="E14" s="9">
        <v>12</v>
      </c>
      <c r="F14" s="9">
        <v>367</v>
      </c>
      <c r="G14" s="9">
        <v>367</v>
      </c>
      <c r="H14" s="9">
        <v>367</v>
      </c>
      <c r="I14" s="9">
        <v>82.6</v>
      </c>
      <c r="J14" s="9">
        <v>82.6</v>
      </c>
      <c r="K14" s="9">
        <v>1701</v>
      </c>
      <c r="L14" s="9">
        <v>20</v>
      </c>
      <c r="M14" s="9">
        <v>20</v>
      </c>
      <c r="N14" s="9">
        <v>0.19</v>
      </c>
      <c r="O14" s="9">
        <v>0.19001299999999999</v>
      </c>
      <c r="P14" s="9">
        <v>1</v>
      </c>
      <c r="Q14" s="9">
        <v>1.0700270000000001</v>
      </c>
      <c r="R14" s="9">
        <v>-3.64</v>
      </c>
      <c r="S14" s="9">
        <v>-3.6364749999999999</v>
      </c>
      <c r="T14" s="9">
        <v>133.76</v>
      </c>
      <c r="U14" s="9">
        <v>133.76560000000001</v>
      </c>
      <c r="V14" s="9">
        <v>3.5</v>
      </c>
      <c r="W14" s="9">
        <v>3.5</v>
      </c>
      <c r="X14" s="9">
        <v>300</v>
      </c>
      <c r="Y14" s="9">
        <v>300</v>
      </c>
      <c r="Z14" s="9">
        <v>3.96</v>
      </c>
      <c r="AA14" s="9">
        <v>3.96875</v>
      </c>
      <c r="AB14" s="9">
        <v>300</v>
      </c>
      <c r="AC14" s="9">
        <v>300</v>
      </c>
      <c r="AD14" s="9">
        <v>0</v>
      </c>
      <c r="AE14" s="9">
        <v>95.681979999999996</v>
      </c>
      <c r="AF14" s="9">
        <v>0</v>
      </c>
      <c r="AG14" s="9">
        <v>95.681979999999996</v>
      </c>
      <c r="AH14" s="9">
        <v>40</v>
      </c>
      <c r="AI14" s="9">
        <v>0.17</v>
      </c>
      <c r="AJ14" s="9">
        <v>53.16</v>
      </c>
      <c r="AK14" s="9">
        <v>74.25</v>
      </c>
      <c r="AL14" s="9">
        <v>53.51</v>
      </c>
      <c r="AM14" s="9">
        <v>54.37</v>
      </c>
      <c r="AN14" s="9">
        <v>493.22</v>
      </c>
      <c r="AO14" s="9">
        <v>137.77500000000001</v>
      </c>
      <c r="AP14" s="9">
        <v>36.68</v>
      </c>
      <c r="AQ14" s="9">
        <v>72.95</v>
      </c>
      <c r="AR14" s="9">
        <v>46.72</v>
      </c>
      <c r="AS14" s="9">
        <v>413.63</v>
      </c>
      <c r="AT14" s="9">
        <v>16.829999999999998</v>
      </c>
      <c r="AU14" s="9">
        <v>48.41</v>
      </c>
      <c r="AV14" s="9">
        <v>97.67</v>
      </c>
      <c r="AW14" s="9">
        <v>115.83</v>
      </c>
      <c r="AX14" s="9">
        <v>0.34899999999999998</v>
      </c>
      <c r="AY14" s="9">
        <v>5.1100000000000003</v>
      </c>
      <c r="AZ14" s="9">
        <v>4.1550000000000002</v>
      </c>
      <c r="BA14" s="9">
        <v>151.76</v>
      </c>
      <c r="BB14" s="9">
        <v>54.87</v>
      </c>
      <c r="BC14" s="9">
        <v>8.1300000000000008</v>
      </c>
      <c r="BD14" s="9">
        <v>1.01</v>
      </c>
      <c r="BE14" s="9">
        <v>9.4499999999999993</v>
      </c>
      <c r="BF14" s="9">
        <v>2.7</v>
      </c>
      <c r="BG14" s="9">
        <v>325.02</v>
      </c>
      <c r="BH14" s="9">
        <v>12.48</v>
      </c>
      <c r="BI14" s="9">
        <v>0.28000000000000003</v>
      </c>
      <c r="BJ14" s="9">
        <v>236</v>
      </c>
      <c r="BK14" s="9">
        <v>26.8</v>
      </c>
      <c r="BL14" s="9">
        <v>86</v>
      </c>
      <c r="BM14" s="9">
        <v>58.94</v>
      </c>
      <c r="BN14" s="9">
        <v>1.54</v>
      </c>
      <c r="BO14" s="9">
        <v>29.89</v>
      </c>
      <c r="BP14" s="9">
        <v>36.31</v>
      </c>
      <c r="BQ14" s="9">
        <v>428.91</v>
      </c>
      <c r="BR14" s="9">
        <v>50.242190000000001</v>
      </c>
      <c r="BS14" s="9">
        <v>153.42140000000001</v>
      </c>
      <c r="BT14" s="9">
        <v>56.581589999999998</v>
      </c>
      <c r="BU14" s="9">
        <v>46.829470000000001</v>
      </c>
      <c r="BV14" s="9">
        <v>46.719760000000001</v>
      </c>
      <c r="BW14" s="9">
        <v>8.9613999999999999E-2</v>
      </c>
      <c r="BX14" s="9">
        <v>9.4388E-2</v>
      </c>
      <c r="BY14" s="9">
        <v>48.718960000000003</v>
      </c>
      <c r="BZ14" s="9">
        <v>18.995360000000002</v>
      </c>
      <c r="CA14" s="9">
        <v>0</v>
      </c>
      <c r="CB14" s="9">
        <v>0.93514399999999998</v>
      </c>
      <c r="CC14" s="9">
        <v>494.67250000000001</v>
      </c>
      <c r="CD14" s="9">
        <v>508.67899999999997</v>
      </c>
      <c r="CE14" s="9">
        <v>56.19021</v>
      </c>
      <c r="CF14" s="9">
        <v>443.95</v>
      </c>
      <c r="CG14" s="9">
        <v>74.37</v>
      </c>
      <c r="CH14" s="9">
        <v>88.66</v>
      </c>
      <c r="CI14" s="9">
        <v>407.04</v>
      </c>
      <c r="CJ14" s="9">
        <v>420.57</v>
      </c>
      <c r="CK14" s="9">
        <v>429.33</v>
      </c>
      <c r="CL14" s="9">
        <v>475.74</v>
      </c>
      <c r="CM14" s="9">
        <v>453.81</v>
      </c>
      <c r="CN14" s="9">
        <v>458.38</v>
      </c>
      <c r="CO14" s="9">
        <v>409.72</v>
      </c>
      <c r="CP14" s="9">
        <v>25.04</v>
      </c>
      <c r="CQ14" s="9">
        <v>366.3</v>
      </c>
      <c r="CR14" s="9">
        <v>367.05</v>
      </c>
      <c r="CS14" s="9">
        <v>6.6</v>
      </c>
      <c r="CT14" s="9">
        <v>6.6</v>
      </c>
      <c r="CU14" s="36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</row>
    <row r="15" spans="1:133" s="9" customFormat="1" x14ac:dyDescent="0.25">
      <c r="A15" s="72"/>
      <c r="B15" s="9">
        <v>24</v>
      </c>
      <c r="C15" s="10">
        <v>41393.563676423611</v>
      </c>
      <c r="D15" s="9">
        <v>2</v>
      </c>
      <c r="E15" s="9">
        <v>23</v>
      </c>
      <c r="F15" s="9">
        <v>367</v>
      </c>
      <c r="G15" s="9">
        <v>367</v>
      </c>
      <c r="H15" s="9">
        <v>367</v>
      </c>
      <c r="I15" s="9">
        <v>82.6</v>
      </c>
      <c r="J15" s="9">
        <v>82.6</v>
      </c>
      <c r="K15" s="9">
        <v>1701</v>
      </c>
      <c r="L15" s="9">
        <v>20</v>
      </c>
      <c r="M15" s="9">
        <v>20</v>
      </c>
      <c r="N15" s="9">
        <v>0.19</v>
      </c>
      <c r="O15" s="9">
        <v>0.18997600000000001</v>
      </c>
      <c r="P15" s="9">
        <v>1</v>
      </c>
      <c r="Q15" s="9">
        <v>1.069412</v>
      </c>
      <c r="R15" s="9">
        <v>-3.64</v>
      </c>
      <c r="S15" s="9">
        <v>-3.6364749999999999</v>
      </c>
      <c r="T15" s="9">
        <v>133.76</v>
      </c>
      <c r="U15" s="9">
        <v>133.76560000000001</v>
      </c>
      <c r="V15" s="9">
        <v>3.5</v>
      </c>
      <c r="W15" s="9">
        <v>3.5</v>
      </c>
      <c r="X15" s="9">
        <v>300</v>
      </c>
      <c r="Y15" s="9">
        <v>300</v>
      </c>
      <c r="Z15" s="9">
        <v>3.96</v>
      </c>
      <c r="AA15" s="9">
        <v>3.96875</v>
      </c>
      <c r="AB15" s="9">
        <v>300</v>
      </c>
      <c r="AC15" s="9">
        <v>300</v>
      </c>
      <c r="AD15" s="9">
        <v>0</v>
      </c>
      <c r="AE15" s="9">
        <v>94.76885</v>
      </c>
      <c r="AF15" s="9">
        <v>0</v>
      </c>
      <c r="AG15" s="9">
        <v>94.76885</v>
      </c>
      <c r="AH15" s="9">
        <v>40</v>
      </c>
      <c r="AI15" s="9">
        <v>0.17</v>
      </c>
      <c r="AJ15" s="9">
        <v>53.47</v>
      </c>
      <c r="AK15" s="9">
        <v>74.319999999999993</v>
      </c>
      <c r="AL15" s="9">
        <v>53.31</v>
      </c>
      <c r="AM15" s="9">
        <v>54.43</v>
      </c>
      <c r="AN15" s="9">
        <v>502.44</v>
      </c>
      <c r="AO15" s="9">
        <v>137.947</v>
      </c>
      <c r="AP15" s="9">
        <v>36.85</v>
      </c>
      <c r="AQ15" s="9">
        <v>76.09</v>
      </c>
      <c r="AR15" s="9">
        <v>46.8</v>
      </c>
      <c r="AS15" s="9">
        <v>410.33</v>
      </c>
      <c r="AT15" s="9">
        <v>16.46</v>
      </c>
      <c r="AU15" s="9">
        <v>52.07</v>
      </c>
      <c r="AV15" s="9">
        <v>97.49</v>
      </c>
      <c r="AW15" s="9">
        <v>114.26</v>
      </c>
      <c r="AX15" s="9">
        <v>0.37</v>
      </c>
      <c r="AY15" s="9">
        <v>5.45</v>
      </c>
      <c r="AZ15" s="9">
        <v>4.2675999999999998</v>
      </c>
      <c r="BA15" s="9">
        <v>151.44</v>
      </c>
      <c r="BB15" s="9">
        <v>50.18</v>
      </c>
      <c r="BC15" s="9">
        <v>8.2799999999999994</v>
      </c>
      <c r="BD15" s="9">
        <v>1.02</v>
      </c>
      <c r="BE15" s="9">
        <v>9.23</v>
      </c>
      <c r="BF15" s="9">
        <v>2.7</v>
      </c>
      <c r="BG15" s="9">
        <v>328.03</v>
      </c>
      <c r="BH15" s="9">
        <v>12.3</v>
      </c>
      <c r="BI15" s="9">
        <v>0.28999999999999998</v>
      </c>
      <c r="BJ15" s="9">
        <v>237.3</v>
      </c>
      <c r="BK15" s="9">
        <v>26.5</v>
      </c>
      <c r="BL15" s="9">
        <v>86</v>
      </c>
      <c r="BM15" s="9">
        <v>57.57</v>
      </c>
      <c r="BN15" s="9">
        <v>1.52</v>
      </c>
      <c r="BO15" s="9">
        <v>29.88</v>
      </c>
      <c r="BP15" s="9">
        <v>36.4</v>
      </c>
      <c r="BQ15" s="9">
        <v>425.84</v>
      </c>
      <c r="BR15" s="9">
        <v>53.916460000000001</v>
      </c>
      <c r="BS15" s="9">
        <v>153.6045</v>
      </c>
      <c r="BT15" s="9">
        <v>56.25629</v>
      </c>
      <c r="BU15" s="9">
        <v>45.780810000000002</v>
      </c>
      <c r="BV15" s="9">
        <v>45.717370000000003</v>
      </c>
      <c r="BW15" s="9">
        <v>8.9782000000000001E-2</v>
      </c>
      <c r="BX15" s="9">
        <v>9.5199000000000006E-2</v>
      </c>
      <c r="BY15" s="9">
        <v>49.352449999999997</v>
      </c>
      <c r="BZ15" s="9">
        <v>18.995360000000002</v>
      </c>
      <c r="CA15" s="9">
        <v>0</v>
      </c>
      <c r="CB15" s="9">
        <v>0.93496699999999999</v>
      </c>
      <c r="CC15" s="9">
        <v>489.64210000000003</v>
      </c>
      <c r="CD15" s="9">
        <v>503.8075</v>
      </c>
      <c r="CE15" s="9">
        <v>56.824689999999997</v>
      </c>
      <c r="CF15" s="9">
        <v>452.07</v>
      </c>
      <c r="CG15" s="9">
        <v>77.91</v>
      </c>
      <c r="CH15" s="9">
        <v>90.16</v>
      </c>
      <c r="CI15" s="9">
        <v>413.74</v>
      </c>
      <c r="CJ15" s="9">
        <v>425.37</v>
      </c>
      <c r="CK15" s="9">
        <v>438.5</v>
      </c>
      <c r="CL15" s="9">
        <v>491.3</v>
      </c>
      <c r="CM15" s="9">
        <v>460.6</v>
      </c>
      <c r="CN15" s="9">
        <v>465.47</v>
      </c>
      <c r="CO15" s="9">
        <v>421.41</v>
      </c>
      <c r="CP15" s="9">
        <v>26.8</v>
      </c>
      <c r="CQ15" s="9">
        <v>366.6</v>
      </c>
      <c r="CR15" s="9">
        <v>367.05</v>
      </c>
      <c r="CS15" s="9">
        <v>6.6</v>
      </c>
      <c r="CT15" s="9">
        <v>6.6</v>
      </c>
      <c r="CU15" s="36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</row>
    <row r="16" spans="1:133" s="17" customFormat="1" x14ac:dyDescent="0.25">
      <c r="A16" s="72"/>
      <c r="B16" s="17">
        <v>25</v>
      </c>
      <c r="C16" s="18">
        <v>41393.578110740738</v>
      </c>
      <c r="D16" s="17">
        <v>2</v>
      </c>
      <c r="E16" s="17">
        <v>23</v>
      </c>
      <c r="F16" s="17">
        <v>367</v>
      </c>
      <c r="G16" s="17">
        <v>367</v>
      </c>
      <c r="H16" s="17">
        <v>367</v>
      </c>
      <c r="I16" s="17">
        <v>82.6</v>
      </c>
      <c r="J16" s="17">
        <v>82.6</v>
      </c>
      <c r="K16" s="17">
        <v>1701</v>
      </c>
      <c r="L16" s="17">
        <v>20</v>
      </c>
      <c r="M16" s="17">
        <v>20</v>
      </c>
      <c r="N16" s="17">
        <v>0.19</v>
      </c>
      <c r="O16" s="17">
        <v>0.19009400000000001</v>
      </c>
      <c r="P16" s="17">
        <v>1</v>
      </c>
      <c r="Q16" s="17">
        <v>1.0694509999999999</v>
      </c>
      <c r="R16" s="17">
        <v>-3.64</v>
      </c>
      <c r="S16" s="17">
        <v>-3.6364749999999999</v>
      </c>
      <c r="T16" s="17">
        <v>133.76</v>
      </c>
      <c r="U16" s="17">
        <v>133.76560000000001</v>
      </c>
      <c r="V16" s="17">
        <v>3.5</v>
      </c>
      <c r="W16" s="17">
        <v>3.5</v>
      </c>
      <c r="X16" s="17">
        <v>300</v>
      </c>
      <c r="Y16" s="17">
        <v>300</v>
      </c>
      <c r="Z16" s="17">
        <v>3.96</v>
      </c>
      <c r="AA16" s="17">
        <v>3.96875</v>
      </c>
      <c r="AB16" s="17">
        <v>300</v>
      </c>
      <c r="AC16" s="17">
        <v>300</v>
      </c>
      <c r="AD16" s="17">
        <v>0</v>
      </c>
      <c r="AE16" s="17">
        <v>96.412350000000004</v>
      </c>
      <c r="AF16" s="17">
        <v>0</v>
      </c>
      <c r="AG16" s="17">
        <v>96.412350000000004</v>
      </c>
      <c r="AH16" s="17">
        <v>40</v>
      </c>
      <c r="AI16" s="17">
        <v>0.17</v>
      </c>
      <c r="AJ16" s="17">
        <v>53.08</v>
      </c>
      <c r="AK16" s="17">
        <v>73.89</v>
      </c>
      <c r="AL16" s="17">
        <v>53.29</v>
      </c>
      <c r="AM16" s="17">
        <v>54.22</v>
      </c>
      <c r="AN16" s="17">
        <v>491.08</v>
      </c>
      <c r="AO16" s="17">
        <v>137.49440000000001</v>
      </c>
      <c r="AP16" s="17">
        <v>36.06</v>
      </c>
      <c r="AQ16" s="17">
        <v>72.02</v>
      </c>
      <c r="AR16" s="17">
        <v>46.01</v>
      </c>
      <c r="AS16" s="17">
        <v>413.8</v>
      </c>
      <c r="AT16" s="17">
        <v>17.239999999999998</v>
      </c>
      <c r="AU16" s="17">
        <v>45.01</v>
      </c>
      <c r="AV16" s="17">
        <v>97.87</v>
      </c>
      <c r="AW16" s="17">
        <v>110.85</v>
      </c>
      <c r="AX16" s="17">
        <v>0.36899999999999999</v>
      </c>
      <c r="AY16" s="17">
        <v>5.44</v>
      </c>
      <c r="AZ16" s="17">
        <v>3.4961000000000002</v>
      </c>
      <c r="BA16" s="17">
        <v>160.1</v>
      </c>
      <c r="BB16" s="17">
        <v>55.4</v>
      </c>
      <c r="BC16" s="17">
        <v>8.1</v>
      </c>
      <c r="BD16" s="17">
        <v>1.03</v>
      </c>
      <c r="BE16" s="17">
        <v>9.4700000000000006</v>
      </c>
      <c r="BF16" s="17">
        <v>2.59</v>
      </c>
      <c r="BG16" s="17">
        <v>311.61</v>
      </c>
      <c r="BH16" s="17">
        <v>12.65</v>
      </c>
      <c r="BI16" s="17">
        <v>0.24</v>
      </c>
      <c r="BJ16" s="17">
        <v>235.8</v>
      </c>
      <c r="BK16" s="17">
        <v>26.8</v>
      </c>
      <c r="BL16" s="17">
        <v>85.6</v>
      </c>
      <c r="BM16" s="17">
        <v>59.95</v>
      </c>
      <c r="BN16" s="17">
        <v>1.55</v>
      </c>
      <c r="BO16" s="17">
        <v>29.9</v>
      </c>
      <c r="BP16" s="17">
        <v>36.299999999999997</v>
      </c>
      <c r="BQ16" s="17">
        <v>429.3</v>
      </c>
      <c r="BR16" s="17">
        <v>47.039529999999999</v>
      </c>
      <c r="BS16" s="17">
        <v>153.42509999999999</v>
      </c>
      <c r="BT16" s="17">
        <v>56.635080000000002</v>
      </c>
      <c r="BU16" s="17">
        <v>47.32405</v>
      </c>
      <c r="BV16" s="17">
        <v>47.182580000000002</v>
      </c>
      <c r="BW16" s="17">
        <v>8.9584999999999998E-2</v>
      </c>
      <c r="BX16" s="17">
        <v>9.3967999999999996E-2</v>
      </c>
      <c r="BY16" s="17">
        <v>48.61365</v>
      </c>
      <c r="BZ16" s="17">
        <v>18.995360000000002</v>
      </c>
      <c r="CA16" s="17">
        <v>0</v>
      </c>
      <c r="CB16" s="17">
        <v>0.93517399999999995</v>
      </c>
      <c r="CC16" s="17">
        <v>498.62349999999998</v>
      </c>
      <c r="CD16" s="17">
        <v>512.60670000000005</v>
      </c>
      <c r="CE16" s="17">
        <v>56.084429999999998</v>
      </c>
      <c r="CF16" s="17">
        <v>442.84</v>
      </c>
      <c r="CG16" s="17">
        <v>71.709999999999994</v>
      </c>
      <c r="CH16" s="17">
        <v>87.57</v>
      </c>
      <c r="CI16" s="17">
        <v>406.83</v>
      </c>
      <c r="CJ16" s="17">
        <v>419.27</v>
      </c>
      <c r="CK16" s="17">
        <v>427.28</v>
      </c>
      <c r="CL16" s="17">
        <v>475.81</v>
      </c>
      <c r="CM16" s="17">
        <v>451.19</v>
      </c>
      <c r="CN16" s="17">
        <v>457.15</v>
      </c>
      <c r="CO16" s="17">
        <v>405.76</v>
      </c>
      <c r="CP16" s="17">
        <v>25.66</v>
      </c>
      <c r="CQ16" s="17">
        <v>366.3</v>
      </c>
      <c r="CR16" s="17">
        <v>367.05</v>
      </c>
      <c r="CS16" s="17">
        <v>6.6</v>
      </c>
      <c r="CT16" s="17">
        <v>6.6</v>
      </c>
      <c r="CU16" s="36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</row>
    <row r="17" spans="1:133" s="17" customFormat="1" x14ac:dyDescent="0.25">
      <c r="A17" s="72"/>
      <c r="B17" s="17">
        <v>35</v>
      </c>
      <c r="C17" s="18">
        <v>41393.636421817129</v>
      </c>
      <c r="D17" s="17">
        <v>2</v>
      </c>
      <c r="E17" s="17">
        <v>34</v>
      </c>
      <c r="F17" s="17">
        <v>367</v>
      </c>
      <c r="G17" s="17">
        <v>367</v>
      </c>
      <c r="H17" s="17">
        <v>367</v>
      </c>
      <c r="I17" s="17">
        <v>82.6</v>
      </c>
      <c r="J17" s="17">
        <v>82.6</v>
      </c>
      <c r="K17" s="17">
        <v>1701</v>
      </c>
      <c r="L17" s="17">
        <v>20</v>
      </c>
      <c r="M17" s="17">
        <v>20</v>
      </c>
      <c r="N17" s="17">
        <v>0.19</v>
      </c>
      <c r="O17" s="17">
        <v>0.18998200000000001</v>
      </c>
      <c r="P17" s="17">
        <v>1</v>
      </c>
      <c r="Q17" s="17">
        <v>1.0693969999999999</v>
      </c>
      <c r="R17" s="17">
        <v>-3.64</v>
      </c>
      <c r="S17" s="17">
        <v>-3.6364749999999999</v>
      </c>
      <c r="T17" s="17">
        <v>133.76</v>
      </c>
      <c r="U17" s="17">
        <v>133.76560000000001</v>
      </c>
      <c r="V17" s="17">
        <v>3.5</v>
      </c>
      <c r="W17" s="17">
        <v>3.5</v>
      </c>
      <c r="X17" s="17">
        <v>300</v>
      </c>
      <c r="Y17" s="17">
        <v>300</v>
      </c>
      <c r="Z17" s="17">
        <v>3.96</v>
      </c>
      <c r="AA17" s="17">
        <v>3.96875</v>
      </c>
      <c r="AB17" s="17">
        <v>300</v>
      </c>
      <c r="AC17" s="17">
        <v>300</v>
      </c>
      <c r="AD17" s="17">
        <v>0</v>
      </c>
      <c r="AE17" s="17">
        <v>95.284840000000003</v>
      </c>
      <c r="AF17" s="17">
        <v>0</v>
      </c>
      <c r="AG17" s="17">
        <v>95.284840000000003</v>
      </c>
      <c r="AH17" s="17">
        <v>40</v>
      </c>
      <c r="AI17" s="17">
        <v>0.17</v>
      </c>
      <c r="AJ17" s="17">
        <v>53.27</v>
      </c>
      <c r="AK17" s="17">
        <v>74.06</v>
      </c>
      <c r="AL17" s="17">
        <v>53.1</v>
      </c>
      <c r="AM17" s="17">
        <v>54.2</v>
      </c>
      <c r="AN17" s="17">
        <v>500.96</v>
      </c>
      <c r="AO17" s="17">
        <v>138.12450000000001</v>
      </c>
      <c r="AP17" s="17">
        <v>36.82</v>
      </c>
      <c r="AQ17" s="17">
        <v>75.02</v>
      </c>
      <c r="AR17" s="17">
        <v>46.64</v>
      </c>
      <c r="AS17" s="17">
        <v>408.42</v>
      </c>
      <c r="AT17" s="17">
        <v>16.28</v>
      </c>
      <c r="AU17" s="17">
        <v>50.66</v>
      </c>
      <c r="AV17" s="17">
        <v>97.47</v>
      </c>
      <c r="AW17" s="17">
        <v>115.43</v>
      </c>
      <c r="AX17" s="17">
        <v>0.39100000000000001</v>
      </c>
      <c r="AY17" s="17">
        <v>5.79</v>
      </c>
      <c r="AZ17" s="17">
        <v>4.5755999999999997</v>
      </c>
      <c r="BA17" s="17">
        <v>156.21</v>
      </c>
      <c r="BB17" s="17">
        <v>46.81</v>
      </c>
      <c r="BC17" s="17">
        <v>8.23</v>
      </c>
      <c r="BD17" s="17">
        <v>1.03</v>
      </c>
      <c r="BE17" s="17">
        <v>9.25</v>
      </c>
      <c r="BF17" s="17">
        <v>2.6</v>
      </c>
      <c r="BG17" s="17">
        <v>317.58999999999997</v>
      </c>
      <c r="BH17" s="17">
        <v>12.55</v>
      </c>
      <c r="BI17" s="17">
        <v>0.31</v>
      </c>
      <c r="BJ17" s="17">
        <v>237.2</v>
      </c>
      <c r="BK17" s="17">
        <v>26.3</v>
      </c>
      <c r="BL17" s="17">
        <v>85.4</v>
      </c>
      <c r="BM17" s="17">
        <v>58.63</v>
      </c>
      <c r="BN17" s="17">
        <v>1.53</v>
      </c>
      <c r="BO17" s="17">
        <v>29.91</v>
      </c>
      <c r="BP17" s="17">
        <v>36.43</v>
      </c>
      <c r="BQ17" s="17">
        <v>423.92</v>
      </c>
      <c r="BR17" s="17">
        <v>52.501089999999998</v>
      </c>
      <c r="BS17" s="17">
        <v>153.21680000000001</v>
      </c>
      <c r="BT17" s="17">
        <v>56.622839999999997</v>
      </c>
      <c r="BU17" s="17">
        <v>46.694560000000003</v>
      </c>
      <c r="BV17" s="17">
        <v>46.583069999999999</v>
      </c>
      <c r="BW17" s="17">
        <v>8.9591000000000004E-2</v>
      </c>
      <c r="BX17" s="17">
        <v>9.4470999999999999E-2</v>
      </c>
      <c r="BY17" s="17">
        <v>48.63458</v>
      </c>
      <c r="BZ17" s="17">
        <v>18.995360000000002</v>
      </c>
      <c r="CA17" s="17">
        <v>0</v>
      </c>
      <c r="CB17" s="17">
        <v>0.93516900000000003</v>
      </c>
      <c r="CC17" s="17">
        <v>492.50170000000003</v>
      </c>
      <c r="CD17" s="17">
        <v>506.49059999999997</v>
      </c>
      <c r="CE17" s="17">
        <v>56.106610000000003</v>
      </c>
      <c r="CF17" s="17">
        <v>451.25</v>
      </c>
      <c r="CG17" s="17">
        <v>76.900000000000006</v>
      </c>
      <c r="CH17" s="17">
        <v>89.94</v>
      </c>
      <c r="CI17" s="17">
        <v>413.39</v>
      </c>
      <c r="CJ17" s="17">
        <v>426.65</v>
      </c>
      <c r="CK17" s="17">
        <v>434.55</v>
      </c>
      <c r="CL17" s="17">
        <v>489.55</v>
      </c>
      <c r="CM17" s="17">
        <v>458.79</v>
      </c>
      <c r="CN17" s="17">
        <v>464.62</v>
      </c>
      <c r="CO17" s="17">
        <v>420.51</v>
      </c>
      <c r="CP17" s="17">
        <v>25.47</v>
      </c>
      <c r="CQ17" s="17">
        <v>366.3</v>
      </c>
      <c r="CR17" s="17">
        <v>367.05</v>
      </c>
      <c r="CS17" s="17">
        <v>6.6</v>
      </c>
      <c r="CT17" s="17">
        <v>6.6</v>
      </c>
      <c r="CU17" s="36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</row>
    <row r="18" spans="1:133" s="19" customFormat="1" x14ac:dyDescent="0.25">
      <c r="A18" s="72"/>
      <c r="B18" s="19">
        <v>36</v>
      </c>
      <c r="C18" s="20">
        <v>41393.648236469904</v>
      </c>
      <c r="D18" s="19">
        <v>2</v>
      </c>
      <c r="E18" s="19">
        <v>34</v>
      </c>
      <c r="F18" s="19">
        <v>367</v>
      </c>
      <c r="G18" s="19">
        <v>367</v>
      </c>
      <c r="H18" s="19">
        <v>367</v>
      </c>
      <c r="I18" s="19">
        <v>82.6</v>
      </c>
      <c r="J18" s="19">
        <v>82.6</v>
      </c>
      <c r="K18" s="19">
        <v>1701</v>
      </c>
      <c r="L18" s="19">
        <v>20</v>
      </c>
      <c r="M18" s="19">
        <v>20</v>
      </c>
      <c r="N18" s="19">
        <v>0.19</v>
      </c>
      <c r="O18" s="19">
        <v>0.18998200000000001</v>
      </c>
      <c r="P18" s="19">
        <v>1</v>
      </c>
      <c r="Q18" s="19">
        <v>1.0694330000000001</v>
      </c>
      <c r="R18" s="19">
        <v>-3.64</v>
      </c>
      <c r="S18" s="19">
        <v>-3.6364749999999999</v>
      </c>
      <c r="T18" s="19">
        <v>133.76</v>
      </c>
      <c r="U18" s="19">
        <v>133.76560000000001</v>
      </c>
      <c r="V18" s="19">
        <v>3.5</v>
      </c>
      <c r="W18" s="19">
        <v>3.5</v>
      </c>
      <c r="X18" s="19">
        <v>300</v>
      </c>
      <c r="Y18" s="19">
        <v>300</v>
      </c>
      <c r="Z18" s="19">
        <v>3.96</v>
      </c>
      <c r="AA18" s="19">
        <v>3.96875</v>
      </c>
      <c r="AB18" s="19">
        <v>300</v>
      </c>
      <c r="AC18" s="19">
        <v>300</v>
      </c>
      <c r="AD18" s="19">
        <v>0</v>
      </c>
      <c r="AE18" s="19">
        <v>96.614590000000007</v>
      </c>
      <c r="AF18" s="19">
        <v>0</v>
      </c>
      <c r="AG18" s="19">
        <v>96.614590000000007</v>
      </c>
      <c r="AH18" s="19">
        <v>40</v>
      </c>
      <c r="AI18" s="19">
        <v>0.17</v>
      </c>
      <c r="AJ18" s="19">
        <v>53.22</v>
      </c>
      <c r="AK18" s="19">
        <v>74</v>
      </c>
      <c r="AL18" s="19">
        <v>53.34</v>
      </c>
      <c r="AM18" s="19">
        <v>54.31</v>
      </c>
      <c r="AN18" s="19">
        <v>492.01</v>
      </c>
      <c r="AO18" s="19">
        <v>137.90190000000001</v>
      </c>
      <c r="AP18" s="19">
        <v>36.380000000000003</v>
      </c>
      <c r="AQ18" s="19">
        <v>72.47</v>
      </c>
      <c r="AR18" s="19">
        <v>46.21</v>
      </c>
      <c r="AS18" s="19">
        <v>414.13</v>
      </c>
      <c r="AT18" s="19">
        <v>16.96</v>
      </c>
      <c r="AU18" s="19">
        <v>45.25</v>
      </c>
      <c r="AV18" s="19">
        <v>97.7</v>
      </c>
      <c r="AW18" s="19">
        <v>115.64</v>
      </c>
      <c r="AX18" s="19">
        <v>0.36599999999999999</v>
      </c>
      <c r="AY18" s="19">
        <v>5.38</v>
      </c>
      <c r="AZ18" s="19">
        <v>3.5247999999999999</v>
      </c>
      <c r="BA18" s="19">
        <v>163.09</v>
      </c>
      <c r="BB18" s="19">
        <v>46.89</v>
      </c>
      <c r="BC18" s="19">
        <v>8.07</v>
      </c>
      <c r="BD18" s="19">
        <v>1.02</v>
      </c>
      <c r="BE18" s="19">
        <v>9.43</v>
      </c>
      <c r="BF18" s="19">
        <v>2.57</v>
      </c>
      <c r="BG18" s="19">
        <v>309.20999999999998</v>
      </c>
      <c r="BH18" s="19">
        <v>12.67</v>
      </c>
      <c r="BI18" s="19">
        <v>0.24</v>
      </c>
      <c r="BJ18" s="19">
        <v>236.1</v>
      </c>
      <c r="BK18" s="19">
        <v>26.8</v>
      </c>
      <c r="BL18" s="19">
        <v>85.5</v>
      </c>
      <c r="BM18" s="19">
        <v>60.05</v>
      </c>
      <c r="BN18" s="19">
        <v>1.55</v>
      </c>
      <c r="BO18" s="19">
        <v>29.9</v>
      </c>
      <c r="BP18" s="19">
        <v>36.299999999999997</v>
      </c>
      <c r="BQ18" s="19">
        <v>429.35</v>
      </c>
      <c r="BR18" s="19">
        <v>47.268120000000003</v>
      </c>
      <c r="BS18" s="19">
        <v>153.38050000000001</v>
      </c>
      <c r="BT18" s="19">
        <v>56.59496</v>
      </c>
      <c r="BU18" s="19">
        <v>47.370820000000002</v>
      </c>
      <c r="BV18" s="19">
        <v>47.221530000000001</v>
      </c>
      <c r="BW18" s="19">
        <v>8.9608999999999994E-2</v>
      </c>
      <c r="BX18" s="19">
        <v>9.3921000000000004E-2</v>
      </c>
      <c r="BY18" s="19">
        <v>48.690989999999999</v>
      </c>
      <c r="BZ18" s="19">
        <v>18.995360000000002</v>
      </c>
      <c r="CA18" s="19">
        <v>0</v>
      </c>
      <c r="CB18" s="19">
        <v>0.93515300000000001</v>
      </c>
      <c r="CC18" s="19">
        <v>499.72460000000001</v>
      </c>
      <c r="CD18" s="19">
        <v>513.72640000000001</v>
      </c>
      <c r="CE18" s="19">
        <v>56.159579999999998</v>
      </c>
      <c r="CF18" s="19">
        <v>443.63</v>
      </c>
      <c r="CG18" s="19">
        <v>71.92</v>
      </c>
      <c r="CH18" s="19">
        <v>87.69</v>
      </c>
      <c r="CI18" s="19">
        <v>404.43</v>
      </c>
      <c r="CJ18" s="19">
        <v>418.32</v>
      </c>
      <c r="CK18" s="19">
        <v>429.54</v>
      </c>
      <c r="CL18" s="19">
        <v>477.29</v>
      </c>
      <c r="CM18" s="19">
        <v>451.25</v>
      </c>
      <c r="CN18" s="19">
        <v>458.05</v>
      </c>
      <c r="CO18" s="19">
        <v>406.83</v>
      </c>
      <c r="CP18" s="19">
        <v>25.21</v>
      </c>
      <c r="CQ18" s="19">
        <v>366.3</v>
      </c>
      <c r="CR18" s="19">
        <v>367.05</v>
      </c>
      <c r="CS18" s="19">
        <v>6.6</v>
      </c>
      <c r="CT18" s="19">
        <v>6.6</v>
      </c>
      <c r="CU18" s="36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</row>
    <row r="19" spans="1:133" s="19" customFormat="1" x14ac:dyDescent="0.25">
      <c r="A19" s="72"/>
      <c r="B19" s="19">
        <v>47</v>
      </c>
      <c r="C19" s="20">
        <v>41393.707966747686</v>
      </c>
      <c r="D19" s="19">
        <v>2</v>
      </c>
      <c r="E19" s="19">
        <v>45</v>
      </c>
      <c r="F19" s="19">
        <v>367</v>
      </c>
      <c r="G19" s="19">
        <v>367</v>
      </c>
      <c r="H19" s="19">
        <v>367</v>
      </c>
      <c r="I19" s="19">
        <v>82.6</v>
      </c>
      <c r="J19" s="19">
        <v>82.6</v>
      </c>
      <c r="K19" s="19">
        <v>1701</v>
      </c>
      <c r="L19" s="19">
        <v>20</v>
      </c>
      <c r="M19" s="19">
        <v>20</v>
      </c>
      <c r="N19" s="19">
        <v>0.19</v>
      </c>
      <c r="O19" s="19">
        <v>0.189969</v>
      </c>
      <c r="P19" s="19">
        <v>1</v>
      </c>
      <c r="Q19" s="19">
        <v>1.0695680000000001</v>
      </c>
      <c r="R19" s="19">
        <v>-3.64</v>
      </c>
      <c r="S19" s="19">
        <v>-3.6364749999999999</v>
      </c>
      <c r="T19" s="19">
        <v>133.76</v>
      </c>
      <c r="U19" s="19">
        <v>133.76560000000001</v>
      </c>
      <c r="V19" s="19">
        <v>3.5</v>
      </c>
      <c r="W19" s="19">
        <v>3.5</v>
      </c>
      <c r="X19" s="19">
        <v>300</v>
      </c>
      <c r="Y19" s="19">
        <v>300</v>
      </c>
      <c r="Z19" s="19">
        <v>3.96</v>
      </c>
      <c r="AA19" s="19">
        <v>3.96875</v>
      </c>
      <c r="AB19" s="19">
        <v>300</v>
      </c>
      <c r="AC19" s="19">
        <v>300</v>
      </c>
      <c r="AD19" s="19">
        <v>0</v>
      </c>
      <c r="AE19" s="19">
        <v>95.721509999999995</v>
      </c>
      <c r="AF19" s="19">
        <v>0</v>
      </c>
      <c r="AG19" s="19">
        <v>95.721509999999995</v>
      </c>
      <c r="AH19" s="19">
        <v>40</v>
      </c>
      <c r="AI19" s="19">
        <v>0.17</v>
      </c>
      <c r="AJ19" s="19">
        <v>53.75</v>
      </c>
      <c r="AK19" s="19">
        <v>74.27</v>
      </c>
      <c r="AL19" s="19">
        <v>54.2</v>
      </c>
      <c r="AM19" s="19">
        <v>55.52</v>
      </c>
      <c r="AN19" s="19">
        <v>492.86</v>
      </c>
      <c r="AO19" s="19">
        <v>139.0496</v>
      </c>
      <c r="AP19" s="19">
        <v>37.85</v>
      </c>
      <c r="AQ19" s="19">
        <v>72.150000000000006</v>
      </c>
      <c r="AR19" s="19">
        <v>47.85</v>
      </c>
      <c r="AS19" s="19">
        <v>411.28</v>
      </c>
      <c r="AT19" s="19">
        <v>16.34</v>
      </c>
      <c r="AU19" s="19">
        <v>51.22</v>
      </c>
      <c r="AV19" s="19">
        <v>97.25</v>
      </c>
      <c r="AW19" s="19">
        <v>121.42</v>
      </c>
      <c r="AX19" s="19">
        <v>0.33</v>
      </c>
      <c r="AY19" s="19">
        <v>4.8</v>
      </c>
      <c r="AZ19" s="19">
        <v>3.0918999999999999</v>
      </c>
      <c r="BA19" s="19">
        <v>146.36000000000001</v>
      </c>
      <c r="BB19" s="19">
        <v>20.6</v>
      </c>
      <c r="BC19" s="19">
        <v>8.08</v>
      </c>
      <c r="BD19" s="19">
        <v>1</v>
      </c>
      <c r="BE19" s="19">
        <v>9.4499999999999993</v>
      </c>
      <c r="BF19" s="19">
        <v>2.69</v>
      </c>
      <c r="BG19" s="19">
        <v>325.55</v>
      </c>
      <c r="BH19" s="19">
        <v>12.37</v>
      </c>
      <c r="BI19" s="19">
        <v>0.21</v>
      </c>
      <c r="BJ19" s="19">
        <v>236.4</v>
      </c>
      <c r="BK19" s="19">
        <v>26.6</v>
      </c>
      <c r="BL19" s="19">
        <v>85.4</v>
      </c>
      <c r="BM19" s="19">
        <v>58.06</v>
      </c>
      <c r="BN19" s="19">
        <v>1.54</v>
      </c>
      <c r="BO19" s="19">
        <v>29.88</v>
      </c>
      <c r="BP19" s="19">
        <v>36.36</v>
      </c>
      <c r="BQ19" s="19">
        <v>426.74</v>
      </c>
      <c r="BR19" s="19">
        <v>53.073799999999999</v>
      </c>
      <c r="BS19" s="19">
        <v>154.85040000000001</v>
      </c>
      <c r="BT19" s="19">
        <v>56.48122</v>
      </c>
      <c r="BU19" s="19">
        <v>46.674439999999997</v>
      </c>
      <c r="BV19" s="19">
        <v>46.568829999999998</v>
      </c>
      <c r="BW19" s="19">
        <v>8.9666999999999997E-2</v>
      </c>
      <c r="BX19" s="19">
        <v>9.4510999999999998E-2</v>
      </c>
      <c r="BY19" s="19">
        <v>48.919110000000003</v>
      </c>
      <c r="BZ19" s="19">
        <v>18.995360000000002</v>
      </c>
      <c r="CA19" s="19">
        <v>0</v>
      </c>
      <c r="CB19" s="19">
        <v>0.93508899999999995</v>
      </c>
      <c r="CC19" s="19">
        <v>494.86579999999998</v>
      </c>
      <c r="CD19" s="19">
        <v>508.92770000000002</v>
      </c>
      <c r="CE19" s="19">
        <v>56.390520000000002</v>
      </c>
      <c r="CF19" s="19">
        <v>445.02</v>
      </c>
      <c r="CG19" s="19">
        <v>78.36</v>
      </c>
      <c r="CH19" s="19">
        <v>90.67</v>
      </c>
      <c r="CI19" s="19">
        <v>410.77</v>
      </c>
      <c r="CJ19" s="19">
        <v>420.96</v>
      </c>
      <c r="CK19" s="19">
        <v>431.56</v>
      </c>
      <c r="CL19" s="19">
        <v>477.63</v>
      </c>
      <c r="CM19" s="19">
        <v>452.71</v>
      </c>
      <c r="CN19" s="19">
        <v>460.85</v>
      </c>
      <c r="CO19" s="19">
        <v>412.69</v>
      </c>
      <c r="CP19" s="19">
        <v>25.66</v>
      </c>
      <c r="CQ19" s="19">
        <v>365.5</v>
      </c>
      <c r="CR19" s="19">
        <v>367.05</v>
      </c>
      <c r="CS19" s="19">
        <v>6.5</v>
      </c>
      <c r="CT19" s="19">
        <v>6.6</v>
      </c>
      <c r="CU19" s="36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</row>
    <row r="20" spans="1:133" s="1" customFormat="1" ht="60" x14ac:dyDescent="0.25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  <c r="K20" s="1" t="s">
        <v>9</v>
      </c>
      <c r="L20" s="6" t="s">
        <v>10</v>
      </c>
      <c r="M20" s="6" t="s">
        <v>11</v>
      </c>
      <c r="N20" s="1" t="s">
        <v>12</v>
      </c>
      <c r="O20" s="1" t="s">
        <v>13</v>
      </c>
      <c r="P20" s="1" t="s">
        <v>14</v>
      </c>
      <c r="Q20" s="1" t="s">
        <v>15</v>
      </c>
      <c r="R20" s="1" t="s">
        <v>16</v>
      </c>
      <c r="S20" s="1" t="s">
        <v>17</v>
      </c>
      <c r="T20" s="1" t="s">
        <v>18</v>
      </c>
      <c r="U20" s="1" t="s">
        <v>19</v>
      </c>
      <c r="V20" s="1" t="s">
        <v>20</v>
      </c>
      <c r="W20" s="1" t="s">
        <v>21</v>
      </c>
      <c r="X20" s="1" t="s">
        <v>22</v>
      </c>
      <c r="Y20" s="1" t="s">
        <v>23</v>
      </c>
      <c r="Z20" s="1" t="s">
        <v>24</v>
      </c>
      <c r="AA20" s="1" t="s">
        <v>25</v>
      </c>
      <c r="AB20" s="1" t="s">
        <v>26</v>
      </c>
      <c r="AC20" s="1" t="s">
        <v>27</v>
      </c>
      <c r="AD20" s="1" t="s">
        <v>28</v>
      </c>
      <c r="AE20" s="1" t="s">
        <v>29</v>
      </c>
      <c r="AF20" s="1" t="s">
        <v>30</v>
      </c>
      <c r="AG20" s="1" t="s">
        <v>31</v>
      </c>
      <c r="AH20" s="1" t="s">
        <v>32</v>
      </c>
      <c r="AI20" s="1" t="s">
        <v>33</v>
      </c>
      <c r="AJ20" s="1" t="s">
        <v>34</v>
      </c>
      <c r="AK20" s="1" t="s">
        <v>35</v>
      </c>
      <c r="AL20" s="1" t="s">
        <v>36</v>
      </c>
      <c r="AM20" s="1" t="s">
        <v>37</v>
      </c>
      <c r="AN20" s="1" t="s">
        <v>38</v>
      </c>
      <c r="AO20" s="1" t="s">
        <v>39</v>
      </c>
      <c r="AP20" s="1" t="s">
        <v>40</v>
      </c>
      <c r="AQ20" s="1" t="s">
        <v>41</v>
      </c>
      <c r="AR20" s="1" t="s">
        <v>42</v>
      </c>
      <c r="AS20" s="1" t="s">
        <v>43</v>
      </c>
      <c r="AT20" s="1" t="s">
        <v>44</v>
      </c>
      <c r="AU20" s="1" t="s">
        <v>45</v>
      </c>
      <c r="AV20" s="1" t="s">
        <v>46</v>
      </c>
      <c r="AW20" s="1" t="s">
        <v>47</v>
      </c>
      <c r="AX20" s="6" t="s">
        <v>48</v>
      </c>
      <c r="AY20" s="6" t="s">
        <v>49</v>
      </c>
      <c r="AZ20" s="6" t="s">
        <v>50</v>
      </c>
      <c r="BA20" s="6" t="s">
        <v>51</v>
      </c>
      <c r="BB20" s="6" t="s">
        <v>52</v>
      </c>
      <c r="BC20" s="6" t="s">
        <v>53</v>
      </c>
      <c r="BD20" s="6" t="s">
        <v>54</v>
      </c>
      <c r="BE20" s="6"/>
      <c r="BF20" s="6" t="s">
        <v>55</v>
      </c>
      <c r="BG20" s="6" t="s">
        <v>56</v>
      </c>
      <c r="BH20" s="1" t="s">
        <v>57</v>
      </c>
      <c r="BI20" s="1" t="s">
        <v>58</v>
      </c>
      <c r="BJ20" s="1" t="s">
        <v>59</v>
      </c>
      <c r="BK20" s="1" t="s">
        <v>60</v>
      </c>
      <c r="BL20" s="1" t="s">
        <v>61</v>
      </c>
      <c r="BM20" s="1" t="s">
        <v>62</v>
      </c>
      <c r="BN20" s="1" t="s">
        <v>63</v>
      </c>
      <c r="BO20" s="1" t="s">
        <v>64</v>
      </c>
      <c r="BP20" s="1" t="s">
        <v>65</v>
      </c>
      <c r="BQ20" s="1" t="s">
        <v>66</v>
      </c>
      <c r="BR20" s="1" t="s">
        <v>67</v>
      </c>
      <c r="BS20" s="1" t="s">
        <v>68</v>
      </c>
      <c r="BT20" s="1" t="s">
        <v>69</v>
      </c>
      <c r="BU20" s="1" t="s">
        <v>70</v>
      </c>
      <c r="BV20" s="1" t="s">
        <v>71</v>
      </c>
      <c r="BW20" s="1" t="s">
        <v>72</v>
      </c>
      <c r="BX20" s="1" t="s">
        <v>73</v>
      </c>
      <c r="BY20" s="1" t="s">
        <v>74</v>
      </c>
      <c r="BZ20" s="1" t="s">
        <v>75</v>
      </c>
      <c r="CA20" s="1" t="s">
        <v>76</v>
      </c>
      <c r="CB20" s="1" t="s">
        <v>77</v>
      </c>
      <c r="CC20" s="1" t="s">
        <v>78</v>
      </c>
      <c r="CD20" s="1" t="s">
        <v>79</v>
      </c>
      <c r="CE20" s="1" t="s">
        <v>80</v>
      </c>
      <c r="CF20" s="1" t="s">
        <v>81</v>
      </c>
      <c r="CG20" s="1" t="s">
        <v>82</v>
      </c>
      <c r="CH20" s="1" t="s">
        <v>83</v>
      </c>
      <c r="CI20" s="1" t="s">
        <v>84</v>
      </c>
      <c r="CJ20" s="1" t="s">
        <v>85</v>
      </c>
      <c r="CK20" s="1" t="s">
        <v>86</v>
      </c>
      <c r="CL20" s="1" t="s">
        <v>87</v>
      </c>
      <c r="CM20" s="1" t="s">
        <v>88</v>
      </c>
      <c r="CN20" s="1" t="s">
        <v>89</v>
      </c>
      <c r="CO20" s="1" t="s">
        <v>90</v>
      </c>
      <c r="CP20" s="1" t="s">
        <v>91</v>
      </c>
      <c r="CQ20" s="1" t="s">
        <v>92</v>
      </c>
      <c r="CR20" s="1" t="s">
        <v>93</v>
      </c>
      <c r="CS20" s="1" t="s">
        <v>94</v>
      </c>
      <c r="CT20" s="1" t="s">
        <v>95</v>
      </c>
      <c r="CU20" s="6" t="s">
        <v>114</v>
      </c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</row>
    <row r="21" spans="1:133" x14ac:dyDescent="0.25">
      <c r="A21" s="72" t="s">
        <v>98</v>
      </c>
      <c r="B21" s="43">
        <v>25</v>
      </c>
      <c r="C21" s="44">
        <v>41407.642234074076</v>
      </c>
      <c r="D21" s="43">
        <v>3</v>
      </c>
      <c r="E21" s="43">
        <v>1</v>
      </c>
      <c r="F21" s="43">
        <v>617</v>
      </c>
      <c r="G21" s="43">
        <v>617</v>
      </c>
      <c r="H21" s="43">
        <v>617</v>
      </c>
      <c r="I21" s="43">
        <v>82.6</v>
      </c>
      <c r="J21" s="43">
        <v>82.6</v>
      </c>
      <c r="K21" s="43">
        <v>1701</v>
      </c>
      <c r="L21" s="43">
        <v>26</v>
      </c>
      <c r="M21" s="43">
        <v>26</v>
      </c>
      <c r="N21" s="43">
        <v>0.16</v>
      </c>
      <c r="O21" s="43">
        <v>0.15987599999999999</v>
      </c>
      <c r="P21" s="43">
        <v>1</v>
      </c>
      <c r="Q21" s="43">
        <v>1.0694090000000001</v>
      </c>
      <c r="R21" s="43">
        <v>-3.16</v>
      </c>
      <c r="S21" s="43">
        <v>-3.1640630000000001</v>
      </c>
      <c r="T21" s="43">
        <v>177.97</v>
      </c>
      <c r="U21" s="43">
        <v>177.96879999999999</v>
      </c>
      <c r="V21" s="43">
        <v>3.5</v>
      </c>
      <c r="W21" s="43">
        <v>3.5</v>
      </c>
      <c r="X21" s="43">
        <v>300</v>
      </c>
      <c r="Y21" s="43">
        <v>300</v>
      </c>
      <c r="Z21" s="43">
        <v>3.5</v>
      </c>
      <c r="AA21" s="43">
        <v>3.5</v>
      </c>
      <c r="AB21" s="43">
        <v>300</v>
      </c>
      <c r="AC21" s="43">
        <v>300</v>
      </c>
      <c r="AD21" s="43">
        <v>0</v>
      </c>
      <c r="AE21" s="43">
        <v>129.0095</v>
      </c>
      <c r="AF21" s="43">
        <v>0</v>
      </c>
      <c r="AG21" s="43">
        <v>129.0095</v>
      </c>
      <c r="AH21" s="43">
        <v>40</v>
      </c>
      <c r="AI21" s="43">
        <v>0.17</v>
      </c>
      <c r="AJ21" s="43">
        <v>73.239999999999995</v>
      </c>
      <c r="AK21" s="43">
        <v>104.6</v>
      </c>
      <c r="AL21" s="43">
        <v>112.19</v>
      </c>
      <c r="AM21" s="43">
        <v>114.36</v>
      </c>
      <c r="AN21" s="43">
        <v>568.29999999999995</v>
      </c>
      <c r="AO21" s="43">
        <v>193.58969999999999</v>
      </c>
      <c r="AP21" s="43">
        <v>93.3</v>
      </c>
      <c r="AQ21" s="43">
        <v>120.61</v>
      </c>
      <c r="AR21" s="43">
        <v>107.17</v>
      </c>
      <c r="AS21" s="43">
        <v>593.67999999999995</v>
      </c>
      <c r="AT21" s="43">
        <v>18.88</v>
      </c>
      <c r="AU21" s="43">
        <v>59.35</v>
      </c>
      <c r="AV21" s="43">
        <v>98.26</v>
      </c>
      <c r="AW21" s="43">
        <v>113.17</v>
      </c>
      <c r="AX21" s="43">
        <v>0.123</v>
      </c>
      <c r="AY21" s="43">
        <v>1.68</v>
      </c>
      <c r="AZ21" s="53">
        <v>1.0485</v>
      </c>
      <c r="BA21" s="43">
        <v>64.73</v>
      </c>
      <c r="BB21" s="43">
        <v>20.78</v>
      </c>
      <c r="BC21" s="43">
        <v>8.86</v>
      </c>
      <c r="BD21" s="43">
        <v>0.81</v>
      </c>
      <c r="BE21" s="43">
        <v>8.25</v>
      </c>
      <c r="BF21" s="43">
        <v>4.08</v>
      </c>
      <c r="BG21" s="43">
        <v>583.49</v>
      </c>
      <c r="BH21" s="43">
        <v>9.19</v>
      </c>
      <c r="BI21" s="43">
        <v>0.08</v>
      </c>
      <c r="BJ21" s="43">
        <v>221.5</v>
      </c>
      <c r="BK21" s="43">
        <v>24.4</v>
      </c>
      <c r="BL21" s="43">
        <v>88</v>
      </c>
      <c r="BM21" s="43">
        <v>60.06</v>
      </c>
      <c r="BN21" s="43">
        <v>2.08</v>
      </c>
      <c r="BO21" s="43">
        <v>29.71</v>
      </c>
      <c r="BP21" s="43">
        <v>37</v>
      </c>
      <c r="BQ21" s="43">
        <v>618.11</v>
      </c>
      <c r="BR21" s="43">
        <v>60.139270000000003</v>
      </c>
      <c r="BS21" s="43">
        <v>214.28210000000001</v>
      </c>
      <c r="BT21" s="43">
        <v>43.956989999999998</v>
      </c>
      <c r="BU21" s="43">
        <v>39.909599999999998</v>
      </c>
      <c r="BV21" s="43">
        <v>39.484760000000001</v>
      </c>
      <c r="BW21" s="43">
        <v>8.9172000000000001E-2</v>
      </c>
      <c r="BX21" s="43">
        <v>8.8262999999999994E-2</v>
      </c>
      <c r="BY21" s="43">
        <v>83.451930000000004</v>
      </c>
      <c r="BZ21" s="43">
        <v>18.995360000000002</v>
      </c>
      <c r="CA21" s="43">
        <v>0</v>
      </c>
      <c r="CB21" s="43">
        <v>0.93318000000000001</v>
      </c>
      <c r="CC21" s="43">
        <v>673.04629999999997</v>
      </c>
      <c r="CD21" s="43">
        <v>695.64710000000002</v>
      </c>
      <c r="CE21" s="43">
        <v>90.446299999999994</v>
      </c>
      <c r="CF21" s="43">
        <v>480.17</v>
      </c>
      <c r="CG21" s="43">
        <v>78.790000000000006</v>
      </c>
      <c r="CH21" s="43">
        <v>92.34</v>
      </c>
      <c r="CI21" s="43">
        <v>463.31</v>
      </c>
      <c r="CJ21" s="43">
        <v>487.42</v>
      </c>
      <c r="CK21" s="43">
        <v>498.88</v>
      </c>
      <c r="CL21" s="43">
        <v>535.1</v>
      </c>
      <c r="CM21" s="43">
        <v>526.34</v>
      </c>
      <c r="CN21" s="43">
        <v>523.85</v>
      </c>
      <c r="CO21" s="43">
        <v>444.58</v>
      </c>
      <c r="CP21" s="43">
        <v>29.18</v>
      </c>
      <c r="CQ21" s="43">
        <v>616.79999999999995</v>
      </c>
      <c r="CR21" s="43">
        <v>617.04999999999995</v>
      </c>
      <c r="CS21" s="43">
        <v>11.1</v>
      </c>
      <c r="CT21" s="43">
        <v>11.1</v>
      </c>
      <c r="CU21" s="5"/>
      <c r="DY21"/>
      <c r="DZ21"/>
      <c r="EA21"/>
      <c r="EB21"/>
      <c r="EC21"/>
    </row>
    <row r="22" spans="1:133" x14ac:dyDescent="0.25">
      <c r="A22" s="72"/>
      <c r="B22" s="43">
        <v>36</v>
      </c>
      <c r="C22" s="44">
        <v>41407.701753715279</v>
      </c>
      <c r="D22" s="43">
        <v>3</v>
      </c>
      <c r="E22" s="43">
        <v>12</v>
      </c>
      <c r="F22" s="43">
        <v>617</v>
      </c>
      <c r="G22" s="43">
        <v>617</v>
      </c>
      <c r="H22" s="43">
        <v>617.1</v>
      </c>
      <c r="I22" s="43">
        <v>82.6</v>
      </c>
      <c r="J22" s="43">
        <v>82.6</v>
      </c>
      <c r="K22" s="43">
        <v>1701</v>
      </c>
      <c r="L22" s="43">
        <v>26</v>
      </c>
      <c r="M22" s="43">
        <v>26</v>
      </c>
      <c r="N22" s="43">
        <v>0.16</v>
      </c>
      <c r="O22" s="43">
        <v>0.159917</v>
      </c>
      <c r="P22" s="43">
        <v>1</v>
      </c>
      <c r="Q22" s="43">
        <v>1.0694889999999999</v>
      </c>
      <c r="R22" s="43">
        <v>-3.16</v>
      </c>
      <c r="S22" s="43">
        <v>-3.1640630000000001</v>
      </c>
      <c r="T22" s="43">
        <v>177.97</v>
      </c>
      <c r="U22" s="43">
        <v>177.96879999999999</v>
      </c>
      <c r="V22" s="43">
        <v>3.5</v>
      </c>
      <c r="W22" s="43">
        <v>3.5</v>
      </c>
      <c r="X22" s="43">
        <v>300</v>
      </c>
      <c r="Y22" s="43">
        <v>300</v>
      </c>
      <c r="Z22" s="43">
        <v>3.5</v>
      </c>
      <c r="AA22" s="43">
        <v>3.5</v>
      </c>
      <c r="AB22" s="43">
        <v>300</v>
      </c>
      <c r="AC22" s="43">
        <v>300</v>
      </c>
      <c r="AD22" s="43">
        <v>0</v>
      </c>
      <c r="AE22" s="43">
        <v>131.5257</v>
      </c>
      <c r="AF22" s="43">
        <v>0</v>
      </c>
      <c r="AG22" s="43">
        <v>131.5257</v>
      </c>
      <c r="AH22" s="43">
        <v>40</v>
      </c>
      <c r="AI22" s="43">
        <v>0.17</v>
      </c>
      <c r="AJ22" s="43">
        <v>74.55</v>
      </c>
      <c r="AK22" s="43">
        <v>104.54</v>
      </c>
      <c r="AL22" s="43">
        <v>115.55</v>
      </c>
      <c r="AM22" s="43">
        <v>118.15</v>
      </c>
      <c r="AN22" s="43">
        <v>557.32000000000005</v>
      </c>
      <c r="AO22" s="43">
        <v>196.96789999999999</v>
      </c>
      <c r="AP22" s="43">
        <v>97.15</v>
      </c>
      <c r="AQ22" s="43">
        <v>112.94</v>
      </c>
      <c r="AR22" s="43">
        <v>111.45</v>
      </c>
      <c r="AS22" s="43">
        <v>594.16</v>
      </c>
      <c r="AT22" s="43">
        <v>18.399999999999999</v>
      </c>
      <c r="AU22" s="43">
        <v>58.87</v>
      </c>
      <c r="AV22" s="43">
        <v>97.94</v>
      </c>
      <c r="AW22" s="43">
        <v>111.94</v>
      </c>
      <c r="AX22" s="43">
        <v>8.6999999999999994E-2</v>
      </c>
      <c r="AY22" s="43">
        <v>1.18</v>
      </c>
      <c r="AZ22" s="53">
        <v>10000000000</v>
      </c>
      <c r="BA22" s="43">
        <v>55.74</v>
      </c>
      <c r="BB22" s="43">
        <v>26.98</v>
      </c>
      <c r="BC22" s="43">
        <v>8.6</v>
      </c>
      <c r="BD22" s="43">
        <v>0.76</v>
      </c>
      <c r="BE22" s="43">
        <v>8.61</v>
      </c>
      <c r="BF22" s="43">
        <v>4.2300000000000004</v>
      </c>
      <c r="BG22" s="43">
        <v>604.77</v>
      </c>
      <c r="BH22" s="43">
        <v>8.8699999999999992</v>
      </c>
      <c r="BI22" s="43">
        <v>10000000000</v>
      </c>
      <c r="BJ22" s="43">
        <v>220.4</v>
      </c>
      <c r="BK22" s="43">
        <v>24.5</v>
      </c>
      <c r="BL22" s="43">
        <v>86</v>
      </c>
      <c r="BM22" s="43">
        <v>57.81</v>
      </c>
      <c r="BN22" s="43">
        <v>2.12</v>
      </c>
      <c r="BO22" s="43">
        <v>29.68</v>
      </c>
      <c r="BP22" s="43">
        <v>36.97</v>
      </c>
      <c r="BQ22" s="43">
        <v>618.04999999999995</v>
      </c>
      <c r="BR22" s="43">
        <v>59.819110000000002</v>
      </c>
      <c r="BS22" s="43">
        <v>217.6695</v>
      </c>
      <c r="BT22" s="43">
        <v>44.11486</v>
      </c>
      <c r="BU22" s="43">
        <v>41.238630000000001</v>
      </c>
      <c r="BV22" s="43">
        <v>40.75367</v>
      </c>
      <c r="BW22" s="43">
        <v>8.9899000000000007E-2</v>
      </c>
      <c r="BX22" s="43">
        <v>8.8025000000000006E-2</v>
      </c>
      <c r="BY22" s="43">
        <v>82.235680000000002</v>
      </c>
      <c r="BZ22" s="43">
        <v>18.995360000000002</v>
      </c>
      <c r="CA22" s="43">
        <v>0</v>
      </c>
      <c r="CB22" s="43">
        <v>0.93384699999999998</v>
      </c>
      <c r="CC22" s="43">
        <v>685.93910000000005</v>
      </c>
      <c r="CD22" s="43">
        <v>708.2346</v>
      </c>
      <c r="CE22" s="43">
        <v>89.230890000000002</v>
      </c>
      <c r="CF22" s="43">
        <v>472.85</v>
      </c>
      <c r="CG22" s="43">
        <v>82.33</v>
      </c>
      <c r="CH22" s="43">
        <v>94.3</v>
      </c>
      <c r="CI22" s="43">
        <v>453.57</v>
      </c>
      <c r="CJ22" s="43">
        <v>477.62</v>
      </c>
      <c r="CK22" s="43">
        <v>490.87</v>
      </c>
      <c r="CL22" s="43">
        <v>521.01</v>
      </c>
      <c r="CM22" s="43">
        <v>514.84</v>
      </c>
      <c r="CN22" s="43">
        <v>515.72</v>
      </c>
      <c r="CO22" s="43">
        <v>437.46</v>
      </c>
      <c r="CP22" s="43">
        <v>27.33</v>
      </c>
      <c r="CQ22" s="43">
        <v>613.70000000000005</v>
      </c>
      <c r="CR22" s="43">
        <v>617.05999999999995</v>
      </c>
      <c r="CS22" s="43">
        <v>11</v>
      </c>
      <c r="CT22" s="43">
        <v>11.1</v>
      </c>
      <c r="CU22" s="5"/>
      <c r="DY22"/>
      <c r="DZ22"/>
      <c r="EA22"/>
      <c r="EB22"/>
      <c r="EC22"/>
    </row>
    <row r="23" spans="1:133" x14ac:dyDescent="0.25">
      <c r="A23" s="72"/>
      <c r="B23" s="15">
        <v>37</v>
      </c>
      <c r="C23" s="16">
        <v>41407.71037872685</v>
      </c>
      <c r="D23" s="15">
        <v>3</v>
      </c>
      <c r="E23" s="15">
        <v>12</v>
      </c>
      <c r="F23" s="15">
        <v>617</v>
      </c>
      <c r="G23" s="15">
        <v>617</v>
      </c>
      <c r="H23" s="15">
        <v>617</v>
      </c>
      <c r="I23" s="15">
        <v>82.6</v>
      </c>
      <c r="J23" s="15">
        <v>82.6</v>
      </c>
      <c r="K23" s="15">
        <v>1701</v>
      </c>
      <c r="L23" s="15">
        <v>26</v>
      </c>
      <c r="M23" s="15">
        <v>26</v>
      </c>
      <c r="N23" s="15">
        <v>0.16</v>
      </c>
      <c r="O23" s="15">
        <v>0.159914</v>
      </c>
      <c r="P23" s="15">
        <v>1</v>
      </c>
      <c r="Q23" s="15">
        <v>1.0694680000000001</v>
      </c>
      <c r="R23" s="15">
        <v>-3.16</v>
      </c>
      <c r="S23" s="15">
        <v>-3.1640630000000001</v>
      </c>
      <c r="T23" s="15">
        <v>177.97</v>
      </c>
      <c r="U23" s="15">
        <v>177.96879999999999</v>
      </c>
      <c r="V23" s="15">
        <v>3.5</v>
      </c>
      <c r="W23" s="15">
        <v>3.5</v>
      </c>
      <c r="X23" s="15">
        <v>300</v>
      </c>
      <c r="Y23" s="15">
        <v>300</v>
      </c>
      <c r="Z23" s="15">
        <v>3.5</v>
      </c>
      <c r="AA23" s="15">
        <v>3.5</v>
      </c>
      <c r="AB23" s="15">
        <v>300</v>
      </c>
      <c r="AC23" s="15">
        <v>300</v>
      </c>
      <c r="AD23" s="15">
        <v>0</v>
      </c>
      <c r="AE23" s="15">
        <v>130.95660000000001</v>
      </c>
      <c r="AF23" s="15">
        <v>0</v>
      </c>
      <c r="AG23" s="15">
        <v>130.95660000000001</v>
      </c>
      <c r="AH23" s="15">
        <v>40</v>
      </c>
      <c r="AI23" s="15">
        <v>0.17</v>
      </c>
      <c r="AJ23" s="15">
        <v>74.349999999999994</v>
      </c>
      <c r="AK23" s="15">
        <v>104.29</v>
      </c>
      <c r="AL23" s="15">
        <v>114.25</v>
      </c>
      <c r="AM23" s="15">
        <v>116.81</v>
      </c>
      <c r="AN23" s="15">
        <v>558.92999999999995</v>
      </c>
      <c r="AO23" s="15">
        <v>196.52850000000001</v>
      </c>
      <c r="AP23" s="15">
        <v>96.44</v>
      </c>
      <c r="AQ23" s="15">
        <v>112.5</v>
      </c>
      <c r="AR23" s="15">
        <v>110.64</v>
      </c>
      <c r="AS23" s="15">
        <v>592.82000000000005</v>
      </c>
      <c r="AT23" s="15">
        <v>17.809999999999999</v>
      </c>
      <c r="AU23" s="15">
        <v>59.38</v>
      </c>
      <c r="AV23" s="15">
        <v>97.88</v>
      </c>
      <c r="AW23" s="15">
        <v>112.67</v>
      </c>
      <c r="AX23" s="15">
        <v>8.1000000000000003E-2</v>
      </c>
      <c r="AY23" s="15">
        <v>1.0900000000000001</v>
      </c>
      <c r="AZ23" s="54">
        <v>10000000000</v>
      </c>
      <c r="BA23" s="15">
        <v>55.28</v>
      </c>
      <c r="BB23" s="15">
        <v>26.19</v>
      </c>
      <c r="BC23" s="15">
        <v>8.61</v>
      </c>
      <c r="BD23" s="15">
        <v>0.75</v>
      </c>
      <c r="BE23" s="15">
        <v>8.56</v>
      </c>
      <c r="BF23" s="15">
        <v>4.2699999999999996</v>
      </c>
      <c r="BG23" s="15">
        <v>610.95000000000005</v>
      </c>
      <c r="BH23" s="15">
        <v>8.7100000000000009</v>
      </c>
      <c r="BI23" s="15">
        <v>10000000000</v>
      </c>
      <c r="BJ23" s="15">
        <v>220.2</v>
      </c>
      <c r="BK23" s="15">
        <v>24.5</v>
      </c>
      <c r="BL23" s="15">
        <v>86.1</v>
      </c>
      <c r="BM23" s="15">
        <v>56.59</v>
      </c>
      <c r="BN23" s="15">
        <v>2.11</v>
      </c>
      <c r="BO23" s="15">
        <v>29.67</v>
      </c>
      <c r="BP23" s="15">
        <v>36.97</v>
      </c>
      <c r="BQ23" s="15">
        <v>616.95000000000005</v>
      </c>
      <c r="BR23" s="15">
        <v>60.27599</v>
      </c>
      <c r="BS23" s="15">
        <v>216.43709999999999</v>
      </c>
      <c r="BT23" s="15">
        <v>44.121850000000002</v>
      </c>
      <c r="BU23" s="15">
        <v>41.104950000000002</v>
      </c>
      <c r="BV23" s="15">
        <v>40.626669999999997</v>
      </c>
      <c r="BW23" s="15">
        <v>8.9949000000000001E-2</v>
      </c>
      <c r="BX23" s="15">
        <v>8.8204000000000005E-2</v>
      </c>
      <c r="BY23" s="15">
        <v>82.191090000000003</v>
      </c>
      <c r="BZ23" s="15">
        <v>18.995360000000002</v>
      </c>
      <c r="CA23" s="15">
        <v>0</v>
      </c>
      <c r="CB23" s="15">
        <v>0.93387500000000001</v>
      </c>
      <c r="CC23" s="15">
        <v>683.44899999999996</v>
      </c>
      <c r="CD23" s="15">
        <v>705.73329999999999</v>
      </c>
      <c r="CE23" s="15">
        <v>89.187290000000004</v>
      </c>
      <c r="CF23" s="15">
        <v>470.71</v>
      </c>
      <c r="CG23" s="15">
        <v>80.67</v>
      </c>
      <c r="CH23" s="15">
        <v>93.1</v>
      </c>
      <c r="CI23" s="15">
        <v>454.22</v>
      </c>
      <c r="CJ23" s="15">
        <v>479.04</v>
      </c>
      <c r="CK23" s="15">
        <v>492.12</v>
      </c>
      <c r="CL23" s="15">
        <v>523.01</v>
      </c>
      <c r="CM23" s="15">
        <v>516.61</v>
      </c>
      <c r="CN23" s="15">
        <v>515.97</v>
      </c>
      <c r="CO23" s="15">
        <v>437.54</v>
      </c>
      <c r="CP23" s="15">
        <v>27.67</v>
      </c>
      <c r="CQ23" s="15">
        <v>613.9</v>
      </c>
      <c r="CR23" s="15">
        <v>617.04999999999995</v>
      </c>
      <c r="CS23" s="15">
        <v>11</v>
      </c>
      <c r="CT23" s="15">
        <v>11.1</v>
      </c>
      <c r="CU23" s="5"/>
      <c r="DY23"/>
      <c r="DZ23"/>
      <c r="EA23"/>
      <c r="EB23"/>
      <c r="EC23"/>
    </row>
    <row r="24" spans="1:133" x14ac:dyDescent="0.25">
      <c r="A24" s="72"/>
      <c r="B24" s="15">
        <v>48</v>
      </c>
      <c r="C24" s="16">
        <v>41407.770023900463</v>
      </c>
      <c r="D24" s="15">
        <v>3</v>
      </c>
      <c r="E24" s="15">
        <v>23</v>
      </c>
      <c r="F24" s="15">
        <v>617</v>
      </c>
      <c r="G24" s="15">
        <v>617</v>
      </c>
      <c r="H24" s="15">
        <v>617</v>
      </c>
      <c r="I24" s="15">
        <v>82.6</v>
      </c>
      <c r="J24" s="15">
        <v>82.6</v>
      </c>
      <c r="K24" s="15">
        <v>1701</v>
      </c>
      <c r="L24" s="15">
        <v>26</v>
      </c>
      <c r="M24" s="15">
        <v>26</v>
      </c>
      <c r="N24" s="15">
        <v>0.16</v>
      </c>
      <c r="O24" s="15">
        <v>0.15989900000000001</v>
      </c>
      <c r="P24" s="15">
        <v>1</v>
      </c>
      <c r="Q24" s="15">
        <v>1.0693999999999999</v>
      </c>
      <c r="R24" s="15">
        <v>-3.16</v>
      </c>
      <c r="S24" s="15">
        <v>-3.1640630000000001</v>
      </c>
      <c r="T24" s="15">
        <v>177.97</v>
      </c>
      <c r="U24" s="15">
        <v>177.96879999999999</v>
      </c>
      <c r="V24" s="15">
        <v>3.5</v>
      </c>
      <c r="W24" s="15">
        <v>3.5</v>
      </c>
      <c r="X24" s="15">
        <v>300</v>
      </c>
      <c r="Y24" s="15">
        <v>300</v>
      </c>
      <c r="Z24" s="15">
        <v>3.5</v>
      </c>
      <c r="AA24" s="15">
        <v>3.5</v>
      </c>
      <c r="AB24" s="15">
        <v>300</v>
      </c>
      <c r="AC24" s="15">
        <v>300</v>
      </c>
      <c r="AD24" s="15">
        <v>0</v>
      </c>
      <c r="AE24" s="15">
        <v>131.4667</v>
      </c>
      <c r="AF24" s="15">
        <v>0</v>
      </c>
      <c r="AG24" s="15">
        <v>131.4667</v>
      </c>
      <c r="AH24" s="15">
        <v>40</v>
      </c>
      <c r="AI24" s="15">
        <v>0.17</v>
      </c>
      <c r="AJ24" s="15">
        <v>74.66</v>
      </c>
      <c r="AK24" s="15">
        <v>104.58</v>
      </c>
      <c r="AL24" s="15">
        <v>115.37</v>
      </c>
      <c r="AM24" s="15">
        <v>117.97</v>
      </c>
      <c r="AN24" s="15">
        <v>559.29999999999995</v>
      </c>
      <c r="AO24" s="15">
        <v>196.93790000000001</v>
      </c>
      <c r="AP24" s="15">
        <v>97.13</v>
      </c>
      <c r="AQ24" s="15">
        <v>113.45</v>
      </c>
      <c r="AR24" s="15">
        <v>111.34</v>
      </c>
      <c r="AS24" s="15">
        <v>594.20000000000005</v>
      </c>
      <c r="AT24" s="15">
        <v>18.239999999999998</v>
      </c>
      <c r="AU24" s="15">
        <v>58.97</v>
      </c>
      <c r="AV24" s="15">
        <v>97.97</v>
      </c>
      <c r="AW24" s="15">
        <v>112.73</v>
      </c>
      <c r="AX24" s="15">
        <v>8.5999999999999993E-2</v>
      </c>
      <c r="AY24" s="15">
        <v>1.1599999999999999</v>
      </c>
      <c r="AZ24" s="54">
        <v>10000000000</v>
      </c>
      <c r="BA24" s="15">
        <v>58.1</v>
      </c>
      <c r="BB24" s="15">
        <v>26.76</v>
      </c>
      <c r="BC24" s="15">
        <v>8.61</v>
      </c>
      <c r="BD24" s="15">
        <v>0.76</v>
      </c>
      <c r="BE24" s="15">
        <v>8.56</v>
      </c>
      <c r="BF24" s="15">
        <v>4.1399999999999997</v>
      </c>
      <c r="BG24" s="15">
        <v>591.09</v>
      </c>
      <c r="BH24" s="15">
        <v>8.82</v>
      </c>
      <c r="BI24" s="15">
        <v>10000000000</v>
      </c>
      <c r="BJ24" s="15">
        <v>220.7</v>
      </c>
      <c r="BK24" s="15">
        <v>24.5</v>
      </c>
      <c r="BL24" s="15">
        <v>86</v>
      </c>
      <c r="BM24" s="15">
        <v>57.44</v>
      </c>
      <c r="BN24" s="15">
        <v>2.12</v>
      </c>
      <c r="BO24" s="15">
        <v>29.68</v>
      </c>
      <c r="BP24" s="15">
        <v>36.97</v>
      </c>
      <c r="BQ24" s="15">
        <v>618.25</v>
      </c>
      <c r="BR24" s="15">
        <v>59.895420000000001</v>
      </c>
      <c r="BS24" s="15">
        <v>217.62010000000001</v>
      </c>
      <c r="BT24" s="15">
        <v>44.081110000000002</v>
      </c>
      <c r="BU24" s="15">
        <v>41.139609999999998</v>
      </c>
      <c r="BV24" s="15">
        <v>40.653100000000002</v>
      </c>
      <c r="BW24" s="15">
        <v>8.967E-2</v>
      </c>
      <c r="BX24" s="15">
        <v>8.7867000000000001E-2</v>
      </c>
      <c r="BY24" s="15">
        <v>82.437029999999993</v>
      </c>
      <c r="BZ24" s="15">
        <v>18.995360000000002</v>
      </c>
      <c r="CA24" s="15">
        <v>0</v>
      </c>
      <c r="CB24" s="15">
        <v>0.93373600000000001</v>
      </c>
      <c r="CC24" s="15">
        <v>685.58360000000005</v>
      </c>
      <c r="CD24" s="15">
        <v>707.92830000000004</v>
      </c>
      <c r="CE24" s="15">
        <v>89.43468</v>
      </c>
      <c r="CF24" s="15">
        <v>472.26</v>
      </c>
      <c r="CG24" s="15">
        <v>82.18</v>
      </c>
      <c r="CH24" s="15">
        <v>94.09</v>
      </c>
      <c r="CI24" s="15">
        <v>454.12</v>
      </c>
      <c r="CJ24" s="15">
        <v>478.58</v>
      </c>
      <c r="CK24" s="15">
        <v>491.7</v>
      </c>
      <c r="CL24" s="15">
        <v>525.41999999999996</v>
      </c>
      <c r="CM24" s="15">
        <v>515.66999999999996</v>
      </c>
      <c r="CN24" s="15">
        <v>515.24</v>
      </c>
      <c r="CO24" s="15">
        <v>439.24</v>
      </c>
      <c r="CP24" s="15">
        <v>26.81</v>
      </c>
      <c r="CQ24" s="15">
        <v>613.79999999999995</v>
      </c>
      <c r="CR24" s="15">
        <v>617.04</v>
      </c>
      <c r="CS24" s="15">
        <v>11</v>
      </c>
      <c r="CT24" s="15">
        <v>11.1</v>
      </c>
      <c r="CU24" s="5"/>
      <c r="DY24"/>
      <c r="DZ24"/>
      <c r="EA24"/>
      <c r="EB24"/>
      <c r="EC24"/>
    </row>
    <row r="25" spans="1:133" x14ac:dyDescent="0.25">
      <c r="A25" s="72"/>
      <c r="B25" s="45">
        <v>1</v>
      </c>
      <c r="C25" s="46">
        <v>41408.433026076389</v>
      </c>
      <c r="D25" s="45">
        <v>3</v>
      </c>
      <c r="E25" s="45">
        <v>23</v>
      </c>
      <c r="F25" s="45">
        <v>617</v>
      </c>
      <c r="G25" s="45">
        <v>617</v>
      </c>
      <c r="H25" s="45">
        <v>617.1</v>
      </c>
      <c r="I25" s="45">
        <v>82.6</v>
      </c>
      <c r="J25" s="45">
        <v>82.6</v>
      </c>
      <c r="K25" s="45">
        <v>1701</v>
      </c>
      <c r="L25" s="45">
        <v>26</v>
      </c>
      <c r="M25" s="45">
        <v>26</v>
      </c>
      <c r="N25" s="45">
        <v>0.16</v>
      </c>
      <c r="O25" s="45">
        <v>0.15997900000000001</v>
      </c>
      <c r="P25" s="45">
        <v>1</v>
      </c>
      <c r="Q25" s="45">
        <v>1.069442</v>
      </c>
      <c r="R25" s="45">
        <v>-3.16</v>
      </c>
      <c r="S25" s="45">
        <v>-3.1640630000000001</v>
      </c>
      <c r="T25" s="45">
        <v>177.97</v>
      </c>
      <c r="U25" s="45">
        <v>177.96879999999999</v>
      </c>
      <c r="V25" s="45">
        <v>3.5</v>
      </c>
      <c r="W25" s="45">
        <v>3.5</v>
      </c>
      <c r="X25" s="45">
        <v>300</v>
      </c>
      <c r="Y25" s="45">
        <v>300</v>
      </c>
      <c r="Z25" s="45">
        <v>3.5</v>
      </c>
      <c r="AA25" s="45">
        <v>3.5</v>
      </c>
      <c r="AB25" s="45">
        <v>300</v>
      </c>
      <c r="AC25" s="45">
        <v>300</v>
      </c>
      <c r="AD25" s="45">
        <v>0</v>
      </c>
      <c r="AE25" s="45">
        <v>128.07380000000001</v>
      </c>
      <c r="AF25" s="45">
        <v>0</v>
      </c>
      <c r="AG25" s="45">
        <v>128.07259999999999</v>
      </c>
      <c r="AH25" s="45">
        <v>40</v>
      </c>
      <c r="AI25" s="45">
        <v>0.17</v>
      </c>
      <c r="AJ25" s="45">
        <v>72.42</v>
      </c>
      <c r="AK25" s="45">
        <v>104.02</v>
      </c>
      <c r="AL25" s="45">
        <v>111.18</v>
      </c>
      <c r="AM25" s="45">
        <v>112.61</v>
      </c>
      <c r="AN25" s="45">
        <v>575.16999999999996</v>
      </c>
      <c r="AO25" s="45">
        <v>191.76740000000001</v>
      </c>
      <c r="AP25" s="45">
        <v>91.79</v>
      </c>
      <c r="AQ25" s="45">
        <v>118.74</v>
      </c>
      <c r="AR25" s="45">
        <v>106.31</v>
      </c>
      <c r="AS25" s="45">
        <v>584.85</v>
      </c>
      <c r="AT25" s="45">
        <v>19.39</v>
      </c>
      <c r="AU25" s="45">
        <v>58.6</v>
      </c>
      <c r="AV25" s="45">
        <v>98.43</v>
      </c>
      <c r="AW25" s="45">
        <v>118.58</v>
      </c>
      <c r="AX25" s="45">
        <v>0.12</v>
      </c>
      <c r="AY25" s="45">
        <v>1.64</v>
      </c>
      <c r="AZ25" s="55">
        <v>10000000000</v>
      </c>
      <c r="BA25" s="45">
        <v>69.34</v>
      </c>
      <c r="BB25" s="45">
        <v>29.54</v>
      </c>
      <c r="BC25" s="45">
        <v>9.0299999999999994</v>
      </c>
      <c r="BD25" s="45">
        <v>0.85</v>
      </c>
      <c r="BE25" s="45">
        <v>8.1</v>
      </c>
      <c r="BF25" s="45">
        <v>3.93</v>
      </c>
      <c r="BG25" s="45">
        <v>571.51</v>
      </c>
      <c r="BH25" s="45">
        <v>9.4700000000000006</v>
      </c>
      <c r="BI25" s="45">
        <v>10000000000</v>
      </c>
      <c r="BJ25" s="45">
        <v>221.7</v>
      </c>
      <c r="BK25" s="45">
        <v>24</v>
      </c>
      <c r="BL25" s="45">
        <v>87.5</v>
      </c>
      <c r="BM25" s="45">
        <v>61.2</v>
      </c>
      <c r="BN25" s="45">
        <v>2.06</v>
      </c>
      <c r="BO25" s="45">
        <v>29.74</v>
      </c>
      <c r="BP25" s="45">
        <v>37.130000000000003</v>
      </c>
      <c r="BQ25" s="45">
        <v>609.30999999999995</v>
      </c>
      <c r="BR25" s="45">
        <v>59.525210000000001</v>
      </c>
      <c r="BS25" s="45">
        <v>212.22630000000001</v>
      </c>
      <c r="BT25" s="45">
        <v>43.932560000000002</v>
      </c>
      <c r="BU25" s="45">
        <v>39.414819999999999</v>
      </c>
      <c r="BV25" s="45">
        <v>39.015160000000002</v>
      </c>
      <c r="BW25" s="45">
        <v>8.9303999999999994E-2</v>
      </c>
      <c r="BX25" s="45">
        <v>8.8733999999999993E-2</v>
      </c>
      <c r="BY25" s="45">
        <v>83.812079999999995</v>
      </c>
      <c r="BZ25" s="45">
        <v>18.995360000000002</v>
      </c>
      <c r="CA25" s="45">
        <v>0</v>
      </c>
      <c r="CB25" s="45">
        <v>0.93298000000000003</v>
      </c>
      <c r="CC25" s="45">
        <v>667.78290000000004</v>
      </c>
      <c r="CD25" s="45">
        <v>690.48789999999997</v>
      </c>
      <c r="CE25" s="45">
        <v>90.815520000000006</v>
      </c>
      <c r="CF25" s="45">
        <v>486.29</v>
      </c>
      <c r="CG25" s="45">
        <v>78.28</v>
      </c>
      <c r="CH25" s="45">
        <v>92.35</v>
      </c>
      <c r="CI25" s="45">
        <v>465.84</v>
      </c>
      <c r="CJ25" s="45">
        <v>492.16</v>
      </c>
      <c r="CK25" s="45">
        <v>505.32</v>
      </c>
      <c r="CL25" s="45">
        <v>543.48</v>
      </c>
      <c r="CM25" s="45">
        <v>529.4</v>
      </c>
      <c r="CN25" s="45">
        <v>527.91999999999996</v>
      </c>
      <c r="CO25" s="45">
        <v>450.05</v>
      </c>
      <c r="CP25" s="45">
        <v>28.54</v>
      </c>
      <c r="CQ25" s="45">
        <v>616.6</v>
      </c>
      <c r="CR25" s="45">
        <v>617.04999999999995</v>
      </c>
      <c r="CS25" s="45">
        <v>11</v>
      </c>
      <c r="CT25" s="45">
        <v>11.1</v>
      </c>
      <c r="CU25" s="5"/>
      <c r="DY25"/>
      <c r="DZ25"/>
      <c r="EA25"/>
      <c r="EB25"/>
      <c r="EC25"/>
    </row>
    <row r="26" spans="1:133" x14ac:dyDescent="0.25">
      <c r="A26" s="72"/>
      <c r="B26" s="45">
        <v>11</v>
      </c>
      <c r="C26" s="46">
        <v>41408.487415324074</v>
      </c>
      <c r="D26" s="45">
        <v>3</v>
      </c>
      <c r="E26" s="45">
        <v>33</v>
      </c>
      <c r="F26" s="45">
        <v>617</v>
      </c>
      <c r="G26" s="45">
        <v>617</v>
      </c>
      <c r="H26" s="45">
        <v>617</v>
      </c>
      <c r="I26" s="45">
        <v>82.6</v>
      </c>
      <c r="J26" s="45">
        <v>82.6</v>
      </c>
      <c r="K26" s="45">
        <v>1701</v>
      </c>
      <c r="L26" s="45">
        <v>26</v>
      </c>
      <c r="M26" s="45">
        <v>26</v>
      </c>
      <c r="N26" s="45">
        <v>0.16</v>
      </c>
      <c r="O26" s="45">
        <v>0.15989900000000001</v>
      </c>
      <c r="P26" s="45">
        <v>1</v>
      </c>
      <c r="Q26" s="45">
        <v>1.0695190000000001</v>
      </c>
      <c r="R26" s="45">
        <v>-3.16</v>
      </c>
      <c r="S26" s="45">
        <v>-3.1640630000000001</v>
      </c>
      <c r="T26" s="45">
        <v>177.97</v>
      </c>
      <c r="U26" s="45">
        <v>177.96879999999999</v>
      </c>
      <c r="V26" s="45">
        <v>3.5</v>
      </c>
      <c r="W26" s="45">
        <v>3.5</v>
      </c>
      <c r="X26" s="45">
        <v>300</v>
      </c>
      <c r="Y26" s="45">
        <v>300</v>
      </c>
      <c r="Z26" s="45">
        <v>3.5</v>
      </c>
      <c r="AA26" s="45">
        <v>3.5</v>
      </c>
      <c r="AB26" s="45">
        <v>300</v>
      </c>
      <c r="AC26" s="45">
        <v>300</v>
      </c>
      <c r="AD26" s="45">
        <v>0</v>
      </c>
      <c r="AE26" s="45">
        <v>129.53579999999999</v>
      </c>
      <c r="AF26" s="45">
        <v>0</v>
      </c>
      <c r="AG26" s="45">
        <v>129.53579999999999</v>
      </c>
      <c r="AH26" s="45">
        <v>40</v>
      </c>
      <c r="AI26" s="45">
        <v>0.17</v>
      </c>
      <c r="AJ26" s="45">
        <v>73.569999999999993</v>
      </c>
      <c r="AK26" s="45">
        <v>104.01</v>
      </c>
      <c r="AL26" s="45">
        <v>114.04</v>
      </c>
      <c r="AM26" s="45">
        <v>116.46</v>
      </c>
      <c r="AN26" s="45">
        <v>566.51</v>
      </c>
      <c r="AO26" s="45">
        <v>194.37049999999999</v>
      </c>
      <c r="AP26" s="45">
        <v>94.89</v>
      </c>
      <c r="AQ26" s="45">
        <v>113.87</v>
      </c>
      <c r="AR26" s="45">
        <v>109.92</v>
      </c>
      <c r="AS26" s="45">
        <v>583.89</v>
      </c>
      <c r="AT26" s="45">
        <v>19.149999999999999</v>
      </c>
      <c r="AU26" s="45">
        <v>59.08</v>
      </c>
      <c r="AV26" s="45">
        <v>98.21</v>
      </c>
      <c r="AW26" s="45">
        <v>118.84</v>
      </c>
      <c r="AX26" s="45">
        <v>9.4E-2</v>
      </c>
      <c r="AY26" s="45">
        <v>1.26</v>
      </c>
      <c r="AZ26" s="55">
        <v>10000000000</v>
      </c>
      <c r="BA26" s="45">
        <v>60.66</v>
      </c>
      <c r="BB26" s="45">
        <v>26.02</v>
      </c>
      <c r="BC26" s="45">
        <v>8.8000000000000007</v>
      </c>
      <c r="BD26" s="45">
        <v>0.81</v>
      </c>
      <c r="BE26" s="45">
        <v>8.36</v>
      </c>
      <c r="BF26" s="45">
        <v>3.98</v>
      </c>
      <c r="BG26" s="45">
        <v>580.91999999999996</v>
      </c>
      <c r="BH26" s="45">
        <v>9.26</v>
      </c>
      <c r="BI26" s="45">
        <v>10000000000</v>
      </c>
      <c r="BJ26" s="45">
        <v>221.2</v>
      </c>
      <c r="BK26" s="45">
        <v>24</v>
      </c>
      <c r="BL26" s="45">
        <v>86</v>
      </c>
      <c r="BM26" s="45">
        <v>59.54</v>
      </c>
      <c r="BN26" s="45">
        <v>2.09</v>
      </c>
      <c r="BO26" s="45">
        <v>29.73</v>
      </c>
      <c r="BP26" s="45">
        <v>37.130000000000003</v>
      </c>
      <c r="BQ26" s="45">
        <v>607.88</v>
      </c>
      <c r="BR26" s="45">
        <v>60.072710000000001</v>
      </c>
      <c r="BS26" s="45">
        <v>215.04640000000001</v>
      </c>
      <c r="BT26" s="45">
        <v>44.015790000000003</v>
      </c>
      <c r="BU26" s="45">
        <v>40.364870000000003</v>
      </c>
      <c r="BV26" s="45">
        <v>39.917470000000002</v>
      </c>
      <c r="BW26" s="45">
        <v>8.9259000000000005E-2</v>
      </c>
      <c r="BX26" s="45">
        <v>8.8011000000000006E-2</v>
      </c>
      <c r="BY26" s="45">
        <v>82.865939999999995</v>
      </c>
      <c r="BZ26" s="45">
        <v>18.995360000000002</v>
      </c>
      <c r="CA26" s="45">
        <v>0</v>
      </c>
      <c r="CB26" s="45">
        <v>0.93349700000000002</v>
      </c>
      <c r="CC26" s="45">
        <v>676.10940000000005</v>
      </c>
      <c r="CD26" s="45">
        <v>698.5625</v>
      </c>
      <c r="CE26" s="45">
        <v>89.870779999999996</v>
      </c>
      <c r="CF26" s="45">
        <v>483.37</v>
      </c>
      <c r="CG26" s="45">
        <v>83.06</v>
      </c>
      <c r="CH26" s="45">
        <v>94.84</v>
      </c>
      <c r="CI26" s="45">
        <v>461.39</v>
      </c>
      <c r="CJ26" s="45">
        <v>484.68</v>
      </c>
      <c r="CK26" s="45">
        <v>498.91</v>
      </c>
      <c r="CL26" s="45">
        <v>530.64</v>
      </c>
      <c r="CM26" s="45">
        <v>521.34</v>
      </c>
      <c r="CN26" s="45">
        <v>523.88</v>
      </c>
      <c r="CO26" s="45">
        <v>446.76</v>
      </c>
      <c r="CP26" s="45">
        <v>27.95</v>
      </c>
      <c r="CQ26" s="45">
        <v>614.29999999999995</v>
      </c>
      <c r="CR26" s="45">
        <v>617.04999999999995</v>
      </c>
      <c r="CS26" s="45">
        <v>11</v>
      </c>
      <c r="CT26" s="45">
        <v>11.1</v>
      </c>
      <c r="CU26" s="5"/>
      <c r="DY26"/>
      <c r="DZ26"/>
      <c r="EA26"/>
      <c r="EB26"/>
      <c r="EC26"/>
    </row>
    <row r="27" spans="1:133" x14ac:dyDescent="0.25">
      <c r="A27" s="72"/>
      <c r="B27" s="47">
        <v>12</v>
      </c>
      <c r="C27" s="48">
        <v>41408.501096689812</v>
      </c>
      <c r="D27" s="47">
        <v>3</v>
      </c>
      <c r="E27" s="47">
        <v>33</v>
      </c>
      <c r="F27" s="47">
        <v>617</v>
      </c>
      <c r="G27" s="47">
        <v>617</v>
      </c>
      <c r="H27" s="47">
        <v>617.1</v>
      </c>
      <c r="I27" s="47">
        <v>82.6</v>
      </c>
      <c r="J27" s="47">
        <v>82.6</v>
      </c>
      <c r="K27" s="47">
        <v>1701</v>
      </c>
      <c r="L27" s="47">
        <v>26</v>
      </c>
      <c r="M27" s="47">
        <v>26</v>
      </c>
      <c r="N27" s="47">
        <v>0.16</v>
      </c>
      <c r="O27" s="47">
        <v>0.15990399999999999</v>
      </c>
      <c r="P27" s="47">
        <v>1</v>
      </c>
      <c r="Q27" s="47">
        <v>1.0694630000000001</v>
      </c>
      <c r="R27" s="47">
        <v>-3.16</v>
      </c>
      <c r="S27" s="47">
        <v>-3.1640630000000001</v>
      </c>
      <c r="T27" s="47">
        <v>177.97</v>
      </c>
      <c r="U27" s="47">
        <v>177.96879999999999</v>
      </c>
      <c r="V27" s="47">
        <v>3.5</v>
      </c>
      <c r="W27" s="47">
        <v>3.5</v>
      </c>
      <c r="X27" s="47">
        <v>300</v>
      </c>
      <c r="Y27" s="47">
        <v>300</v>
      </c>
      <c r="Z27" s="47">
        <v>3.5</v>
      </c>
      <c r="AA27" s="47">
        <v>3.5</v>
      </c>
      <c r="AB27" s="47">
        <v>300</v>
      </c>
      <c r="AC27" s="47">
        <v>300</v>
      </c>
      <c r="AD27" s="47">
        <v>0</v>
      </c>
      <c r="AE27" s="47">
        <v>126.9145</v>
      </c>
      <c r="AF27" s="47">
        <v>0</v>
      </c>
      <c r="AG27" s="47">
        <v>126.9145</v>
      </c>
      <c r="AH27" s="47">
        <v>40</v>
      </c>
      <c r="AI27" s="47">
        <v>0.17</v>
      </c>
      <c r="AJ27" s="47">
        <v>72.03</v>
      </c>
      <c r="AK27" s="47">
        <v>103.96</v>
      </c>
      <c r="AL27" s="47">
        <v>110.27</v>
      </c>
      <c r="AM27" s="47">
        <v>112.31</v>
      </c>
      <c r="AN27" s="47">
        <v>579.54999999999995</v>
      </c>
      <c r="AO27" s="47">
        <v>190.596</v>
      </c>
      <c r="AP27" s="47">
        <v>90.75</v>
      </c>
      <c r="AQ27" s="47">
        <v>120.09</v>
      </c>
      <c r="AR27" s="47">
        <v>105.4</v>
      </c>
      <c r="AS27" s="47">
        <v>582.28</v>
      </c>
      <c r="AT27" s="47">
        <v>19.53</v>
      </c>
      <c r="AU27" s="47">
        <v>59.68</v>
      </c>
      <c r="AV27" s="47">
        <v>98.47</v>
      </c>
      <c r="AW27" s="47">
        <v>115.65</v>
      </c>
      <c r="AX27" s="47">
        <v>0.128</v>
      </c>
      <c r="AY27" s="47">
        <v>1.75</v>
      </c>
      <c r="AZ27" s="56">
        <v>10000000000</v>
      </c>
      <c r="BA27" s="47">
        <v>74.430000000000007</v>
      </c>
      <c r="BB27" s="47">
        <v>28.44</v>
      </c>
      <c r="BC27" s="47">
        <v>9.17</v>
      </c>
      <c r="BD27" s="47">
        <v>0.88</v>
      </c>
      <c r="BE27" s="47">
        <v>8</v>
      </c>
      <c r="BF27" s="47">
        <v>3.88</v>
      </c>
      <c r="BG27" s="47">
        <v>567.58000000000004</v>
      </c>
      <c r="BH27" s="47">
        <v>9.57</v>
      </c>
      <c r="BI27" s="47">
        <v>10000000000</v>
      </c>
      <c r="BJ27" s="47">
        <v>222.1</v>
      </c>
      <c r="BK27" s="47">
        <v>23.8</v>
      </c>
      <c r="BL27" s="47">
        <v>88</v>
      </c>
      <c r="BM27" s="47">
        <v>61.63</v>
      </c>
      <c r="BN27" s="47">
        <v>2.04</v>
      </c>
      <c r="BO27" s="47">
        <v>29.76</v>
      </c>
      <c r="BP27" s="47">
        <v>37.18</v>
      </c>
      <c r="BQ27" s="47">
        <v>606.69000000000005</v>
      </c>
      <c r="BR27" s="47">
        <v>60.609220000000001</v>
      </c>
      <c r="BS27" s="47">
        <v>211.10570000000001</v>
      </c>
      <c r="BT27" s="47">
        <v>43.928579999999997</v>
      </c>
      <c r="BU27" s="47">
        <v>38.980089999999997</v>
      </c>
      <c r="BV27" s="47">
        <v>38.610959999999999</v>
      </c>
      <c r="BW27" s="47">
        <v>8.9351E-2</v>
      </c>
      <c r="BX27" s="47">
        <v>8.9102000000000001E-2</v>
      </c>
      <c r="BY27" s="47">
        <v>83.892449999999997</v>
      </c>
      <c r="BZ27" s="47">
        <v>18.995360000000002</v>
      </c>
      <c r="CA27" s="47">
        <v>0</v>
      </c>
      <c r="CB27" s="47">
        <v>0.93293300000000001</v>
      </c>
      <c r="CC27" s="47">
        <v>661.53290000000004</v>
      </c>
      <c r="CD27" s="47">
        <v>684.2441</v>
      </c>
      <c r="CE27" s="47">
        <v>90.897450000000006</v>
      </c>
      <c r="CF27" s="47">
        <v>491.5</v>
      </c>
      <c r="CG27" s="47">
        <v>79.709999999999994</v>
      </c>
      <c r="CH27" s="47">
        <v>93.04</v>
      </c>
      <c r="CI27" s="47">
        <v>472.55</v>
      </c>
      <c r="CJ27" s="47">
        <v>496.61</v>
      </c>
      <c r="CK27" s="47">
        <v>510.13</v>
      </c>
      <c r="CL27" s="47">
        <v>541.79</v>
      </c>
      <c r="CM27" s="47">
        <v>532.83000000000004</v>
      </c>
      <c r="CN27" s="47">
        <v>532.64</v>
      </c>
      <c r="CO27" s="47">
        <v>454.56</v>
      </c>
      <c r="CP27" s="47">
        <v>29.93</v>
      </c>
      <c r="CQ27" s="47">
        <v>617.20000000000005</v>
      </c>
      <c r="CR27" s="47">
        <v>617.04999999999995</v>
      </c>
      <c r="CS27" s="47">
        <v>11.1</v>
      </c>
      <c r="CT27" s="47">
        <v>11.1</v>
      </c>
      <c r="CU27" s="5"/>
      <c r="DY27"/>
      <c r="DZ27"/>
      <c r="EA27"/>
      <c r="EB27"/>
      <c r="EC27"/>
    </row>
    <row r="28" spans="1:133" x14ac:dyDescent="0.25">
      <c r="A28" s="72"/>
      <c r="B28" s="47">
        <v>24</v>
      </c>
      <c r="C28" s="48">
        <v>41408.566168368059</v>
      </c>
      <c r="D28" s="47">
        <v>3</v>
      </c>
      <c r="E28" s="47">
        <v>45</v>
      </c>
      <c r="F28" s="47">
        <v>617</v>
      </c>
      <c r="G28" s="47">
        <v>617</v>
      </c>
      <c r="H28" s="47">
        <v>617.1</v>
      </c>
      <c r="I28" s="47">
        <v>82.6</v>
      </c>
      <c r="J28" s="47">
        <v>82.6</v>
      </c>
      <c r="K28" s="47">
        <v>1701</v>
      </c>
      <c r="L28" s="47">
        <v>26</v>
      </c>
      <c r="M28" s="47">
        <v>26</v>
      </c>
      <c r="N28" s="47">
        <v>0.16</v>
      </c>
      <c r="O28" s="47">
        <v>0.160028</v>
      </c>
      <c r="P28" s="47">
        <v>1</v>
      </c>
      <c r="Q28" s="47">
        <v>1.0695539999999999</v>
      </c>
      <c r="R28" s="47">
        <v>-3.16</v>
      </c>
      <c r="S28" s="47">
        <v>-3.1640630000000001</v>
      </c>
      <c r="T28" s="47">
        <v>177.97</v>
      </c>
      <c r="U28" s="47">
        <v>177.96879999999999</v>
      </c>
      <c r="V28" s="47">
        <v>3.5</v>
      </c>
      <c r="W28" s="47">
        <v>3.5</v>
      </c>
      <c r="X28" s="47">
        <v>300</v>
      </c>
      <c r="Y28" s="47">
        <v>300</v>
      </c>
      <c r="Z28" s="47">
        <v>3.5</v>
      </c>
      <c r="AA28" s="47">
        <v>3.5</v>
      </c>
      <c r="AB28" s="47">
        <v>300</v>
      </c>
      <c r="AC28" s="47">
        <v>300</v>
      </c>
      <c r="AD28" s="47">
        <v>0</v>
      </c>
      <c r="AE28" s="47">
        <v>129.53270000000001</v>
      </c>
      <c r="AF28" s="47">
        <v>0</v>
      </c>
      <c r="AG28" s="47">
        <v>129.53270000000001</v>
      </c>
      <c r="AH28" s="47">
        <v>40</v>
      </c>
      <c r="AI28" s="47">
        <v>0.17</v>
      </c>
      <c r="AJ28" s="47">
        <v>73.55</v>
      </c>
      <c r="AK28" s="47">
        <v>104.09</v>
      </c>
      <c r="AL28" s="47">
        <v>114.17</v>
      </c>
      <c r="AM28" s="47">
        <v>116.61</v>
      </c>
      <c r="AN28" s="47">
        <v>566.57000000000005</v>
      </c>
      <c r="AO28" s="47">
        <v>194.3125</v>
      </c>
      <c r="AP28" s="47">
        <v>94.9</v>
      </c>
      <c r="AQ28" s="47">
        <v>113.55</v>
      </c>
      <c r="AR28" s="47">
        <v>109.92</v>
      </c>
      <c r="AS28" s="47">
        <v>581.99</v>
      </c>
      <c r="AT28" s="47">
        <v>19.27</v>
      </c>
      <c r="AU28" s="47">
        <v>58.96</v>
      </c>
      <c r="AV28" s="47">
        <v>98.29</v>
      </c>
      <c r="AW28" s="47">
        <v>119.72</v>
      </c>
      <c r="AX28" s="47">
        <v>9.4E-2</v>
      </c>
      <c r="AY28" s="47">
        <v>1.28</v>
      </c>
      <c r="AZ28" s="56">
        <v>10000000000</v>
      </c>
      <c r="BA28" s="47">
        <v>60.59</v>
      </c>
      <c r="BB28" s="47">
        <v>26.81</v>
      </c>
      <c r="BC28" s="47">
        <v>8.84</v>
      </c>
      <c r="BD28" s="47">
        <v>0.82</v>
      </c>
      <c r="BE28" s="47">
        <v>8.36</v>
      </c>
      <c r="BF28" s="47">
        <v>3.97</v>
      </c>
      <c r="BG28" s="47">
        <v>581.09</v>
      </c>
      <c r="BH28" s="47">
        <v>9.23</v>
      </c>
      <c r="BI28" s="47">
        <v>10000000000</v>
      </c>
      <c r="BJ28" s="47">
        <v>221.2</v>
      </c>
      <c r="BK28" s="47">
        <v>23.9</v>
      </c>
      <c r="BL28" s="47">
        <v>85.8</v>
      </c>
      <c r="BM28" s="47">
        <v>59.2</v>
      </c>
      <c r="BN28" s="47">
        <v>2.09</v>
      </c>
      <c r="BO28" s="47">
        <v>29.73</v>
      </c>
      <c r="BP28" s="47">
        <v>37.15</v>
      </c>
      <c r="BQ28" s="47">
        <v>606.44000000000005</v>
      </c>
      <c r="BR28" s="47">
        <v>59.957500000000003</v>
      </c>
      <c r="BS28" s="47">
        <v>214.97900000000001</v>
      </c>
      <c r="BT28" s="47">
        <v>43.980040000000002</v>
      </c>
      <c r="BU28" s="47">
        <v>40.205919999999999</v>
      </c>
      <c r="BV28" s="47">
        <v>39.77187</v>
      </c>
      <c r="BW28" s="47">
        <v>8.9169999999999999E-2</v>
      </c>
      <c r="BX28" s="47">
        <v>8.8038000000000005E-2</v>
      </c>
      <c r="BY28" s="47">
        <v>83.187709999999996</v>
      </c>
      <c r="BZ28" s="47">
        <v>18.995360000000002</v>
      </c>
      <c r="CA28" s="47">
        <v>0</v>
      </c>
      <c r="CB28" s="47">
        <v>0.93331900000000001</v>
      </c>
      <c r="CC28" s="47">
        <v>676.01440000000002</v>
      </c>
      <c r="CD28" s="47">
        <v>698.55330000000004</v>
      </c>
      <c r="CE28" s="47">
        <v>90.19453</v>
      </c>
      <c r="CF28" s="47">
        <v>481.7</v>
      </c>
      <c r="CG28" s="47">
        <v>83.08</v>
      </c>
      <c r="CH28" s="47">
        <v>94.92</v>
      </c>
      <c r="CI28" s="47">
        <v>464.12</v>
      </c>
      <c r="CJ28" s="47">
        <v>484.91</v>
      </c>
      <c r="CK28" s="47">
        <v>498.58</v>
      </c>
      <c r="CL28" s="47">
        <v>532.30999999999995</v>
      </c>
      <c r="CM28" s="47">
        <v>520.55999999999995</v>
      </c>
      <c r="CN28" s="47">
        <v>521.85</v>
      </c>
      <c r="CO28" s="47">
        <v>446.57</v>
      </c>
      <c r="CP28" s="47">
        <v>27.67</v>
      </c>
      <c r="CQ28" s="47">
        <v>614.4</v>
      </c>
      <c r="CR28" s="47">
        <v>617.05999999999995</v>
      </c>
      <c r="CS28" s="47">
        <v>11</v>
      </c>
      <c r="CT28" s="47">
        <v>11.1</v>
      </c>
      <c r="CU28" s="5"/>
      <c r="DY28"/>
      <c r="DZ28"/>
      <c r="EA28"/>
      <c r="EB28"/>
      <c r="EC28"/>
    </row>
    <row r="29" spans="1:133" x14ac:dyDescent="0.25">
      <c r="A29" s="72" t="s">
        <v>99</v>
      </c>
      <c r="B29" s="51">
        <v>25</v>
      </c>
      <c r="C29" s="52">
        <v>41408.60953021991</v>
      </c>
      <c r="D29" s="51">
        <v>4</v>
      </c>
      <c r="E29" s="51">
        <v>1</v>
      </c>
      <c r="F29" s="51">
        <v>933</v>
      </c>
      <c r="G29" s="51">
        <v>933</v>
      </c>
      <c r="H29" s="51">
        <v>933</v>
      </c>
      <c r="I29" s="51">
        <v>82.6</v>
      </c>
      <c r="J29" s="51">
        <v>82.6</v>
      </c>
      <c r="K29" s="51">
        <v>1701</v>
      </c>
      <c r="L29" s="51">
        <v>14</v>
      </c>
      <c r="M29" s="51">
        <v>14</v>
      </c>
      <c r="N29" s="51">
        <v>0.18</v>
      </c>
      <c r="O29" s="51">
        <v>0.17994499999999999</v>
      </c>
      <c r="P29" s="51">
        <v>1</v>
      </c>
      <c r="Q29" s="51">
        <v>1.0694319999999999</v>
      </c>
      <c r="R29" s="51">
        <v>4.34</v>
      </c>
      <c r="S29" s="51">
        <v>4.3395999999999999</v>
      </c>
      <c r="T29" s="51">
        <v>180.99</v>
      </c>
      <c r="U29" s="51">
        <v>176.53980000000001</v>
      </c>
      <c r="V29" s="51">
        <v>4.7699999999999996</v>
      </c>
      <c r="W29" s="51">
        <v>4.78125</v>
      </c>
      <c r="X29" s="51">
        <v>300</v>
      </c>
      <c r="Y29" s="51">
        <v>300</v>
      </c>
      <c r="Z29" s="51">
        <v>0</v>
      </c>
      <c r="AA29" s="51">
        <v>0</v>
      </c>
      <c r="AB29" s="51">
        <v>300</v>
      </c>
      <c r="AC29" s="51">
        <v>300</v>
      </c>
      <c r="AD29" s="51">
        <v>0</v>
      </c>
      <c r="AE29" s="51">
        <v>144.9126</v>
      </c>
      <c r="AF29" s="51">
        <v>170</v>
      </c>
      <c r="AG29" s="51">
        <v>170</v>
      </c>
      <c r="AH29" s="51">
        <v>20</v>
      </c>
      <c r="AI29" s="51">
        <v>0.15</v>
      </c>
      <c r="AJ29" s="51">
        <v>100.86</v>
      </c>
      <c r="AK29" s="51">
        <v>115.38</v>
      </c>
      <c r="AL29" s="51">
        <v>130.4</v>
      </c>
      <c r="AM29" s="51">
        <v>133.71</v>
      </c>
      <c r="AN29" s="51">
        <v>696.12</v>
      </c>
      <c r="AO29" s="51">
        <v>214.99600000000001</v>
      </c>
      <c r="AP29" s="51">
        <v>116.33</v>
      </c>
      <c r="AQ29" s="51">
        <v>144.87</v>
      </c>
      <c r="AR29" s="51">
        <v>133.25</v>
      </c>
      <c r="AS29" s="51">
        <v>665.26</v>
      </c>
      <c r="AT29" s="51">
        <v>14.07</v>
      </c>
      <c r="AU29" s="51">
        <v>60.5</v>
      </c>
      <c r="AV29" s="51">
        <v>100.2</v>
      </c>
      <c r="AW29" s="51">
        <v>115.37</v>
      </c>
      <c r="AX29" s="51">
        <v>0.70199999999999996</v>
      </c>
      <c r="AY29" s="51">
        <v>11.43</v>
      </c>
      <c r="AZ29" s="57">
        <v>10000000000</v>
      </c>
      <c r="BA29" s="51">
        <v>553.98</v>
      </c>
      <c r="BB29" s="51">
        <v>12.06</v>
      </c>
      <c r="BC29" s="51">
        <v>11.68</v>
      </c>
      <c r="BD29" s="51">
        <v>0.91</v>
      </c>
      <c r="BE29" s="51">
        <v>4.3600000000000003</v>
      </c>
      <c r="BF29" s="51">
        <v>4.83</v>
      </c>
      <c r="BG29" s="51">
        <v>978.8</v>
      </c>
      <c r="BH29" s="51">
        <v>7.77</v>
      </c>
      <c r="BI29" s="51">
        <v>10000000000</v>
      </c>
      <c r="BJ29" s="51">
        <v>213.5</v>
      </c>
      <c r="BK29" s="51">
        <v>18.7</v>
      </c>
      <c r="BL29" s="51">
        <v>87.1</v>
      </c>
      <c r="BM29" s="51">
        <v>56.04</v>
      </c>
      <c r="BN29" s="51">
        <v>2.31</v>
      </c>
      <c r="BO29" s="51">
        <v>29.77</v>
      </c>
      <c r="BP29" s="51">
        <v>39.299999999999997</v>
      </c>
      <c r="BQ29" s="51">
        <v>700.54</v>
      </c>
      <c r="BR29" s="51">
        <v>61.334479999999999</v>
      </c>
      <c r="BS29" s="51">
        <v>230.8194</v>
      </c>
      <c r="BT29" s="51">
        <v>35.992890000000003</v>
      </c>
      <c r="BU29" s="51">
        <v>30.911709999999999</v>
      </c>
      <c r="BV29" s="51">
        <v>31.775179999999999</v>
      </c>
      <c r="BW29" s="51">
        <v>0.104213</v>
      </c>
      <c r="BX29" s="51">
        <v>3.5747000000000001E-2</v>
      </c>
      <c r="BY29" s="51">
        <v>132.70160000000001</v>
      </c>
      <c r="BZ29" s="51">
        <v>23.109190000000002</v>
      </c>
      <c r="CA29" s="51">
        <v>0</v>
      </c>
      <c r="CB29" s="51">
        <v>0.91971499999999995</v>
      </c>
      <c r="CC29" s="51">
        <v>734.04129999999998</v>
      </c>
      <c r="CD29" s="51">
        <v>768.43269999999995</v>
      </c>
      <c r="CE29" s="51">
        <v>137.4787</v>
      </c>
      <c r="CF29" s="51">
        <v>547.11</v>
      </c>
      <c r="CG29" s="51">
        <v>87.18</v>
      </c>
      <c r="CH29" s="51">
        <v>99.47</v>
      </c>
      <c r="CI29" s="51">
        <v>581.26</v>
      </c>
      <c r="CJ29" s="51">
        <v>602.77</v>
      </c>
      <c r="CK29" s="51">
        <v>618.64</v>
      </c>
      <c r="CL29" s="51">
        <v>640.79</v>
      </c>
      <c r="CM29" s="51">
        <v>633.36</v>
      </c>
      <c r="CN29" s="51">
        <v>622.33000000000004</v>
      </c>
      <c r="CO29" s="51">
        <v>558.94000000000005</v>
      </c>
      <c r="CP29" s="51">
        <v>35.43</v>
      </c>
      <c r="CQ29" s="51">
        <v>937.2</v>
      </c>
      <c r="CR29" s="51">
        <v>933.05</v>
      </c>
      <c r="CS29" s="51">
        <v>16.8</v>
      </c>
      <c r="CT29" s="51">
        <v>16.7</v>
      </c>
    </row>
    <row r="30" spans="1:133" x14ac:dyDescent="0.25">
      <c r="A30" s="72"/>
      <c r="B30" s="13">
        <v>4</v>
      </c>
      <c r="C30" s="14">
        <v>41409.479590011571</v>
      </c>
      <c r="D30" s="13">
        <v>4</v>
      </c>
      <c r="E30" s="13">
        <v>12</v>
      </c>
      <c r="F30" s="13">
        <v>933</v>
      </c>
      <c r="G30" s="13">
        <v>933</v>
      </c>
      <c r="H30" s="13">
        <v>933</v>
      </c>
      <c r="I30" s="13">
        <v>82.6</v>
      </c>
      <c r="J30" s="13">
        <v>82.6</v>
      </c>
      <c r="K30" s="13">
        <v>1701</v>
      </c>
      <c r="L30" s="13">
        <v>14</v>
      </c>
      <c r="M30" s="13">
        <v>14</v>
      </c>
      <c r="N30" s="13">
        <v>0.18</v>
      </c>
      <c r="O30" s="13">
        <v>0.17994499999999999</v>
      </c>
      <c r="P30" s="13">
        <v>1</v>
      </c>
      <c r="Q30" s="13">
        <v>1.069035</v>
      </c>
      <c r="R30" s="13">
        <v>4.34</v>
      </c>
      <c r="S30" s="13">
        <v>4.3395999999999999</v>
      </c>
      <c r="T30" s="13">
        <v>180.99</v>
      </c>
      <c r="U30" s="13">
        <v>176.65860000000001</v>
      </c>
      <c r="V30" s="13">
        <v>4.7699999999999996</v>
      </c>
      <c r="W30" s="13">
        <v>4.78125</v>
      </c>
      <c r="X30" s="13">
        <v>300</v>
      </c>
      <c r="Y30" s="13">
        <v>300</v>
      </c>
      <c r="Z30" s="13">
        <v>0</v>
      </c>
      <c r="AA30" s="13">
        <v>0</v>
      </c>
      <c r="AB30" s="13">
        <v>300</v>
      </c>
      <c r="AC30" s="13">
        <v>300</v>
      </c>
      <c r="AD30" s="13">
        <v>0</v>
      </c>
      <c r="AE30" s="13">
        <v>146.5283</v>
      </c>
      <c r="AF30" s="13">
        <v>170</v>
      </c>
      <c r="AG30" s="13">
        <v>170</v>
      </c>
      <c r="AH30" s="13">
        <v>20</v>
      </c>
      <c r="AI30" s="13">
        <v>0.15</v>
      </c>
      <c r="AJ30" s="13">
        <v>100.04</v>
      </c>
      <c r="AK30" s="13">
        <v>116.02</v>
      </c>
      <c r="AL30" s="13">
        <v>130.88999999999999</v>
      </c>
      <c r="AM30" s="13">
        <v>134.31</v>
      </c>
      <c r="AN30" s="13">
        <v>692.81</v>
      </c>
      <c r="AO30" s="13">
        <v>215.6541</v>
      </c>
      <c r="AP30" s="13">
        <v>117.14</v>
      </c>
      <c r="AQ30" s="13">
        <v>142.79</v>
      </c>
      <c r="AR30" s="13">
        <v>132.61000000000001</v>
      </c>
      <c r="AS30" s="13">
        <v>661.9</v>
      </c>
      <c r="AT30" s="13">
        <v>13.75</v>
      </c>
      <c r="AU30" s="13">
        <v>59.31</v>
      </c>
      <c r="AV30" s="13">
        <v>100.07</v>
      </c>
      <c r="AW30" s="13">
        <v>116.39</v>
      </c>
      <c r="AX30" s="13">
        <v>0.623</v>
      </c>
      <c r="AY30" s="13">
        <v>9.9</v>
      </c>
      <c r="AZ30" s="38">
        <v>10000000000</v>
      </c>
      <c r="BA30" s="13">
        <v>851.93</v>
      </c>
      <c r="BB30" s="13">
        <v>13.97</v>
      </c>
      <c r="BC30" s="13">
        <v>11.57</v>
      </c>
      <c r="BD30" s="13">
        <v>0.89</v>
      </c>
      <c r="BE30" s="13">
        <v>4.5</v>
      </c>
      <c r="BF30" s="13">
        <v>4.87</v>
      </c>
      <c r="BG30" s="13">
        <v>991.79</v>
      </c>
      <c r="BH30" s="13">
        <v>7.73</v>
      </c>
      <c r="BI30" s="13">
        <v>10000000000</v>
      </c>
      <c r="BJ30" s="13">
        <v>213.1</v>
      </c>
      <c r="BK30" s="13">
        <v>18.7</v>
      </c>
      <c r="BL30" s="13">
        <v>86.5</v>
      </c>
      <c r="BM30" s="13">
        <v>55.47</v>
      </c>
      <c r="BN30" s="13">
        <v>2.3199999999999998</v>
      </c>
      <c r="BO30" s="13">
        <v>29.77</v>
      </c>
      <c r="BP30" s="13">
        <v>39.33</v>
      </c>
      <c r="BQ30" s="13">
        <v>697.43</v>
      </c>
      <c r="BR30" s="13">
        <v>60.15401</v>
      </c>
      <c r="BS30" s="13">
        <v>232.5684</v>
      </c>
      <c r="BT30" s="13">
        <v>36.039340000000003</v>
      </c>
      <c r="BU30" s="13">
        <v>30.994990000000001</v>
      </c>
      <c r="BV30" s="13">
        <v>31.788409999999999</v>
      </c>
      <c r="BW30" s="13">
        <v>0.104128</v>
      </c>
      <c r="BX30" s="13">
        <v>3.9711000000000003E-2</v>
      </c>
      <c r="BY30" s="13">
        <v>132.43209999999999</v>
      </c>
      <c r="BZ30" s="13">
        <v>21.440069999999999</v>
      </c>
      <c r="CA30" s="13">
        <v>0</v>
      </c>
      <c r="CB30" s="13">
        <v>0.919709</v>
      </c>
      <c r="CC30" s="13">
        <v>738.88919999999996</v>
      </c>
      <c r="CD30" s="13">
        <v>773.21789999999999</v>
      </c>
      <c r="CE30" s="13">
        <v>137.2139</v>
      </c>
      <c r="CF30" s="13">
        <v>546.78</v>
      </c>
      <c r="CG30" s="13">
        <v>84.99</v>
      </c>
      <c r="CH30" s="13">
        <v>97.71</v>
      </c>
      <c r="CI30" s="13">
        <v>573.11</v>
      </c>
      <c r="CJ30" s="13">
        <v>599.01</v>
      </c>
      <c r="CK30" s="13">
        <v>615.77</v>
      </c>
      <c r="CL30" s="13">
        <v>637.99</v>
      </c>
      <c r="CM30" s="13">
        <v>633.16999999999996</v>
      </c>
      <c r="CN30" s="13">
        <v>620.89</v>
      </c>
      <c r="CO30" s="13">
        <v>553.67999999999995</v>
      </c>
      <c r="CP30" s="13">
        <v>32.44</v>
      </c>
      <c r="CQ30" s="13">
        <v>938.7</v>
      </c>
      <c r="CR30" s="13">
        <v>933.05</v>
      </c>
      <c r="CS30" s="13">
        <v>16.8</v>
      </c>
      <c r="CT30" s="13">
        <v>16.7</v>
      </c>
    </row>
    <row r="31" spans="1:133" x14ac:dyDescent="0.25">
      <c r="A31" s="72"/>
      <c r="B31" s="13">
        <v>15</v>
      </c>
      <c r="C31" s="14">
        <v>41409.539263206017</v>
      </c>
      <c r="D31" s="13">
        <v>4</v>
      </c>
      <c r="E31" s="13">
        <v>23</v>
      </c>
      <c r="F31" s="13">
        <v>933</v>
      </c>
      <c r="G31" s="13">
        <v>933</v>
      </c>
      <c r="H31" s="13">
        <v>933</v>
      </c>
      <c r="I31" s="13">
        <v>82.6</v>
      </c>
      <c r="J31" s="13">
        <v>82.6</v>
      </c>
      <c r="K31" s="13">
        <v>1701</v>
      </c>
      <c r="L31" s="13">
        <v>14</v>
      </c>
      <c r="M31" s="13">
        <v>14</v>
      </c>
      <c r="N31" s="13">
        <v>0.18</v>
      </c>
      <c r="O31" s="13">
        <v>0.179951</v>
      </c>
      <c r="P31" s="13">
        <v>1</v>
      </c>
      <c r="Q31" s="13">
        <v>1.0690230000000001</v>
      </c>
      <c r="R31" s="13">
        <v>4.34</v>
      </c>
      <c r="S31" s="13">
        <v>4.3395999999999999</v>
      </c>
      <c r="T31" s="13">
        <v>180.99</v>
      </c>
      <c r="U31" s="13">
        <v>177.0925</v>
      </c>
      <c r="V31" s="13">
        <v>4.7699999999999996</v>
      </c>
      <c r="W31" s="13">
        <v>4.78125</v>
      </c>
      <c r="X31" s="13">
        <v>300</v>
      </c>
      <c r="Y31" s="13">
        <v>300</v>
      </c>
      <c r="Z31" s="13">
        <v>0</v>
      </c>
      <c r="AA31" s="13">
        <v>0</v>
      </c>
      <c r="AB31" s="13">
        <v>300</v>
      </c>
      <c r="AC31" s="13">
        <v>300</v>
      </c>
      <c r="AD31" s="13">
        <v>0</v>
      </c>
      <c r="AE31" s="13">
        <v>150.54689999999999</v>
      </c>
      <c r="AF31" s="13">
        <v>170</v>
      </c>
      <c r="AG31" s="13">
        <v>170</v>
      </c>
      <c r="AH31" s="13">
        <v>20</v>
      </c>
      <c r="AI31" s="13">
        <v>0.15</v>
      </c>
      <c r="AJ31" s="13">
        <v>102.51</v>
      </c>
      <c r="AK31" s="13">
        <v>114.91</v>
      </c>
      <c r="AL31" s="13">
        <v>133.57</v>
      </c>
      <c r="AM31" s="13">
        <v>137.16</v>
      </c>
      <c r="AN31" s="13">
        <v>677.67</v>
      </c>
      <c r="AO31" s="13">
        <v>219.4699</v>
      </c>
      <c r="AP31" s="13">
        <v>120.86</v>
      </c>
      <c r="AQ31" s="13">
        <v>131.85</v>
      </c>
      <c r="AR31" s="13">
        <v>136.65</v>
      </c>
      <c r="AS31" s="13">
        <v>659.51</v>
      </c>
      <c r="AT31" s="13">
        <v>12.71</v>
      </c>
      <c r="AU31" s="13">
        <v>59.81</v>
      </c>
      <c r="AV31" s="13">
        <v>99.67</v>
      </c>
      <c r="AW31" s="13">
        <v>114.02</v>
      </c>
      <c r="AX31" s="13">
        <v>0.49099999999999999</v>
      </c>
      <c r="AY31" s="13">
        <v>7.5</v>
      </c>
      <c r="AZ31" s="38">
        <v>10000000000</v>
      </c>
      <c r="BA31" s="13">
        <v>680.79</v>
      </c>
      <c r="BB31" s="13">
        <v>12.73</v>
      </c>
      <c r="BC31" s="13">
        <v>11.24</v>
      </c>
      <c r="BD31" s="13">
        <v>0.82</v>
      </c>
      <c r="BE31" s="13">
        <v>4.99</v>
      </c>
      <c r="BF31" s="13">
        <v>5.18</v>
      </c>
      <c r="BG31" s="13">
        <v>1058.25</v>
      </c>
      <c r="BH31" s="13">
        <v>7.28</v>
      </c>
      <c r="BI31" s="13">
        <v>10000000000</v>
      </c>
      <c r="BJ31" s="13">
        <v>211.4</v>
      </c>
      <c r="BK31" s="13">
        <v>18.8</v>
      </c>
      <c r="BL31" s="13">
        <v>84.5</v>
      </c>
      <c r="BM31" s="13">
        <v>51.83</v>
      </c>
      <c r="BN31" s="13">
        <v>2.35</v>
      </c>
      <c r="BO31" s="13">
        <v>29.72</v>
      </c>
      <c r="BP31" s="13">
        <v>39.29</v>
      </c>
      <c r="BQ31" s="13">
        <v>694.77</v>
      </c>
      <c r="BR31" s="13">
        <v>60.651200000000003</v>
      </c>
      <c r="BS31" s="13">
        <v>236.01230000000001</v>
      </c>
      <c r="BT31" s="13">
        <v>36.209209999999999</v>
      </c>
      <c r="BU31" s="13">
        <v>31.231629999999999</v>
      </c>
      <c r="BV31" s="13">
        <v>31.838570000000001</v>
      </c>
      <c r="BW31" s="13">
        <v>0.10383100000000001</v>
      </c>
      <c r="BX31" s="13">
        <v>5.0620999999999999E-2</v>
      </c>
      <c r="BY31" s="13">
        <v>131.4306</v>
      </c>
      <c r="BZ31" s="13">
        <v>18.995360000000002</v>
      </c>
      <c r="CA31" s="13">
        <v>0</v>
      </c>
      <c r="CB31" s="13">
        <v>0.91968300000000003</v>
      </c>
      <c r="CC31" s="13">
        <v>750.8202</v>
      </c>
      <c r="CD31" s="13">
        <v>784.89520000000005</v>
      </c>
      <c r="CE31" s="13">
        <v>136.21100000000001</v>
      </c>
      <c r="CF31" s="13">
        <v>534.17999999999995</v>
      </c>
      <c r="CG31" s="13">
        <v>86.64</v>
      </c>
      <c r="CH31" s="13">
        <v>98.87</v>
      </c>
      <c r="CI31" s="13">
        <v>564.54999999999995</v>
      </c>
      <c r="CJ31" s="13">
        <v>587.44000000000005</v>
      </c>
      <c r="CK31" s="13">
        <v>600.72</v>
      </c>
      <c r="CL31" s="13">
        <v>623.91</v>
      </c>
      <c r="CM31" s="13">
        <v>618.29999999999995</v>
      </c>
      <c r="CN31" s="13">
        <v>608.78</v>
      </c>
      <c r="CO31" s="13">
        <v>543.02</v>
      </c>
      <c r="CP31" s="13">
        <v>29.94</v>
      </c>
      <c r="CQ31" s="13">
        <v>926</v>
      </c>
      <c r="CR31" s="13">
        <v>933.04</v>
      </c>
      <c r="CS31" s="13">
        <v>16.600000000000001</v>
      </c>
      <c r="CT31" s="13">
        <v>16.7</v>
      </c>
    </row>
    <row r="32" spans="1:133" x14ac:dyDescent="0.25">
      <c r="A32" s="72"/>
      <c r="B32" s="51">
        <v>16</v>
      </c>
      <c r="C32" s="52">
        <v>41409.548259479168</v>
      </c>
      <c r="D32" s="51">
        <v>4</v>
      </c>
      <c r="E32" s="51">
        <v>23</v>
      </c>
      <c r="F32" s="51">
        <v>933</v>
      </c>
      <c r="G32" s="51">
        <v>933</v>
      </c>
      <c r="H32" s="51">
        <v>933</v>
      </c>
      <c r="I32" s="51">
        <v>82.6</v>
      </c>
      <c r="J32" s="51">
        <v>82.6</v>
      </c>
      <c r="K32" s="51">
        <v>1701</v>
      </c>
      <c r="L32" s="51">
        <v>14</v>
      </c>
      <c r="M32" s="51">
        <v>14</v>
      </c>
      <c r="N32" s="51">
        <v>0.18</v>
      </c>
      <c r="O32" s="51">
        <v>0.17998900000000001</v>
      </c>
      <c r="P32" s="51">
        <v>1</v>
      </c>
      <c r="Q32" s="51">
        <v>1.069072</v>
      </c>
      <c r="R32" s="51">
        <v>4.34</v>
      </c>
      <c r="S32" s="51">
        <v>4.3395999999999999</v>
      </c>
      <c r="T32" s="51">
        <v>180.99</v>
      </c>
      <c r="U32" s="51">
        <v>177.2424</v>
      </c>
      <c r="V32" s="51">
        <v>4.7699999999999996</v>
      </c>
      <c r="W32" s="51">
        <v>4.78125</v>
      </c>
      <c r="X32" s="51">
        <v>300</v>
      </c>
      <c r="Y32" s="51">
        <v>300</v>
      </c>
      <c r="Z32" s="51">
        <v>0</v>
      </c>
      <c r="AA32" s="51">
        <v>0</v>
      </c>
      <c r="AB32" s="51">
        <v>300</v>
      </c>
      <c r="AC32" s="51">
        <v>300</v>
      </c>
      <c r="AD32" s="51">
        <v>0</v>
      </c>
      <c r="AE32" s="51">
        <v>150.31890000000001</v>
      </c>
      <c r="AF32" s="51">
        <v>170</v>
      </c>
      <c r="AG32" s="51">
        <v>170</v>
      </c>
      <c r="AH32" s="51">
        <v>20</v>
      </c>
      <c r="AI32" s="51">
        <v>0.15</v>
      </c>
      <c r="AJ32" s="51">
        <v>102.01</v>
      </c>
      <c r="AK32" s="51">
        <v>115.08</v>
      </c>
      <c r="AL32" s="51">
        <v>132.94999999999999</v>
      </c>
      <c r="AM32" s="51">
        <v>136.47</v>
      </c>
      <c r="AN32" s="51">
        <v>677.3</v>
      </c>
      <c r="AO32" s="51">
        <v>218.81540000000001</v>
      </c>
      <c r="AP32" s="51">
        <v>120.13</v>
      </c>
      <c r="AQ32" s="51">
        <v>133.13</v>
      </c>
      <c r="AR32" s="51">
        <v>135.83000000000001</v>
      </c>
      <c r="AS32" s="51">
        <v>661.84</v>
      </c>
      <c r="AT32" s="51">
        <v>12.81</v>
      </c>
      <c r="AU32" s="51">
        <v>59.06</v>
      </c>
      <c r="AV32" s="51">
        <v>99.62</v>
      </c>
      <c r="AW32" s="51">
        <v>116.19</v>
      </c>
      <c r="AX32" s="51">
        <v>0.47599999999999998</v>
      </c>
      <c r="AY32" s="51">
        <v>7.23</v>
      </c>
      <c r="AZ32" s="57">
        <v>10000000000</v>
      </c>
      <c r="BA32" s="51">
        <v>681.86</v>
      </c>
      <c r="BB32" s="51">
        <v>12.76</v>
      </c>
      <c r="BC32" s="51">
        <v>11.26</v>
      </c>
      <c r="BD32" s="51">
        <v>0.82</v>
      </c>
      <c r="BE32" s="51">
        <v>4.99</v>
      </c>
      <c r="BF32" s="51">
        <v>5.17</v>
      </c>
      <c r="BG32" s="51">
        <v>1051.54</v>
      </c>
      <c r="BH32" s="51">
        <v>7.32</v>
      </c>
      <c r="BI32" s="51">
        <v>10000000000</v>
      </c>
      <c r="BJ32" s="51">
        <v>211.2</v>
      </c>
      <c r="BK32" s="51">
        <v>18.8</v>
      </c>
      <c r="BL32" s="51">
        <v>84.9</v>
      </c>
      <c r="BM32" s="51">
        <v>52.28</v>
      </c>
      <c r="BN32" s="51">
        <v>2.35</v>
      </c>
      <c r="BO32" s="51">
        <v>29.72</v>
      </c>
      <c r="BP32" s="51">
        <v>39.25</v>
      </c>
      <c r="BQ32" s="51">
        <v>696.62</v>
      </c>
      <c r="BR32" s="51">
        <v>59.923389999999998</v>
      </c>
      <c r="BS32" s="51">
        <v>235.20320000000001</v>
      </c>
      <c r="BT32" s="51">
        <v>36.268810000000002</v>
      </c>
      <c r="BU32" s="51">
        <v>31.25919</v>
      </c>
      <c r="BV32" s="51">
        <v>31.856020000000001</v>
      </c>
      <c r="BW32" s="51">
        <v>0.103727</v>
      </c>
      <c r="BX32" s="51">
        <v>5.1131999999999997E-2</v>
      </c>
      <c r="BY32" s="51">
        <v>131.0865</v>
      </c>
      <c r="BZ32" s="51">
        <v>18.995360000000002</v>
      </c>
      <c r="CA32" s="51">
        <v>0</v>
      </c>
      <c r="CB32" s="51">
        <v>0.91967299999999996</v>
      </c>
      <c r="CC32" s="51">
        <v>750.21389999999997</v>
      </c>
      <c r="CD32" s="51">
        <v>784.2</v>
      </c>
      <c r="CE32" s="51">
        <v>135.8674</v>
      </c>
      <c r="CF32" s="51">
        <v>533.49</v>
      </c>
      <c r="CG32" s="51">
        <v>85.82</v>
      </c>
      <c r="CH32" s="51">
        <v>97.89</v>
      </c>
      <c r="CI32" s="51">
        <v>565.42999999999995</v>
      </c>
      <c r="CJ32" s="51">
        <v>587.55999999999995</v>
      </c>
      <c r="CK32" s="51">
        <v>602.96</v>
      </c>
      <c r="CL32" s="51">
        <v>621.46</v>
      </c>
      <c r="CM32" s="51">
        <v>618.65</v>
      </c>
      <c r="CN32" s="51">
        <v>608.29</v>
      </c>
      <c r="CO32" s="51">
        <v>541.6</v>
      </c>
      <c r="CP32" s="51">
        <v>31.68</v>
      </c>
      <c r="CQ32" s="51">
        <v>927.6</v>
      </c>
      <c r="CR32" s="51">
        <v>933.05</v>
      </c>
      <c r="CS32" s="51">
        <v>16.600000000000001</v>
      </c>
      <c r="CT32" s="51">
        <v>16.7</v>
      </c>
    </row>
    <row r="33" spans="1:133" x14ac:dyDescent="0.25">
      <c r="A33" s="72"/>
      <c r="B33" s="51">
        <v>27</v>
      </c>
      <c r="C33" s="52">
        <v>41409.607957534725</v>
      </c>
      <c r="D33" s="51">
        <v>4</v>
      </c>
      <c r="E33" s="51">
        <v>34</v>
      </c>
      <c r="F33" s="51">
        <v>933</v>
      </c>
      <c r="G33" s="51">
        <v>933</v>
      </c>
      <c r="H33" s="51">
        <v>933.1</v>
      </c>
      <c r="I33" s="51">
        <v>82.6</v>
      </c>
      <c r="J33" s="51">
        <v>82.6</v>
      </c>
      <c r="K33" s="51">
        <v>1701</v>
      </c>
      <c r="L33" s="51">
        <v>14</v>
      </c>
      <c r="M33" s="51">
        <v>14</v>
      </c>
      <c r="N33" s="51">
        <v>0.18</v>
      </c>
      <c r="O33" s="51">
        <v>0.18001300000000001</v>
      </c>
      <c r="P33" s="51">
        <v>1</v>
      </c>
      <c r="Q33" s="51">
        <v>1.0690299999999999</v>
      </c>
      <c r="R33" s="51">
        <v>4.34</v>
      </c>
      <c r="S33" s="51">
        <v>4.3395999999999999</v>
      </c>
      <c r="T33" s="51">
        <v>180.99</v>
      </c>
      <c r="U33" s="51">
        <v>176.7809</v>
      </c>
      <c r="V33" s="51">
        <v>4.7699999999999996</v>
      </c>
      <c r="W33" s="51">
        <v>4.78125</v>
      </c>
      <c r="X33" s="51">
        <v>300</v>
      </c>
      <c r="Y33" s="51">
        <v>300</v>
      </c>
      <c r="Z33" s="51">
        <v>0</v>
      </c>
      <c r="AA33" s="51">
        <v>0</v>
      </c>
      <c r="AB33" s="51">
        <v>300</v>
      </c>
      <c r="AC33" s="51">
        <v>300</v>
      </c>
      <c r="AD33" s="51">
        <v>0</v>
      </c>
      <c r="AE33" s="51">
        <v>151.4624</v>
      </c>
      <c r="AF33" s="51">
        <v>170</v>
      </c>
      <c r="AG33" s="51">
        <v>170</v>
      </c>
      <c r="AH33" s="51">
        <v>20</v>
      </c>
      <c r="AI33" s="51">
        <v>0.15</v>
      </c>
      <c r="AJ33" s="51">
        <v>102.51</v>
      </c>
      <c r="AK33" s="51">
        <v>114.77</v>
      </c>
      <c r="AL33" s="51">
        <v>133.97</v>
      </c>
      <c r="AM33" s="51">
        <v>137.68</v>
      </c>
      <c r="AN33" s="51">
        <v>676.82</v>
      </c>
      <c r="AO33" s="51">
        <v>220.20529999999999</v>
      </c>
      <c r="AP33" s="51">
        <v>121.35</v>
      </c>
      <c r="AQ33" s="51">
        <v>130.82</v>
      </c>
      <c r="AR33" s="51">
        <v>137.18</v>
      </c>
      <c r="AS33" s="51">
        <v>660.37</v>
      </c>
      <c r="AT33" s="51">
        <v>12.62</v>
      </c>
      <c r="AU33" s="51">
        <v>59.66</v>
      </c>
      <c r="AV33" s="51">
        <v>99.67</v>
      </c>
      <c r="AW33" s="51">
        <v>111.4</v>
      </c>
      <c r="AX33" s="51">
        <v>0.49</v>
      </c>
      <c r="AY33" s="51">
        <v>7.48</v>
      </c>
      <c r="AZ33" s="57">
        <v>10000000000</v>
      </c>
      <c r="BA33" s="51">
        <v>667.33</v>
      </c>
      <c r="BB33" s="51">
        <v>12.4</v>
      </c>
      <c r="BC33" s="51">
        <v>11.29</v>
      </c>
      <c r="BD33" s="51">
        <v>0.82</v>
      </c>
      <c r="BE33" s="51">
        <v>5.05</v>
      </c>
      <c r="BF33" s="51">
        <v>5.17</v>
      </c>
      <c r="BG33" s="51">
        <v>1054.07</v>
      </c>
      <c r="BH33" s="51">
        <v>7.26</v>
      </c>
      <c r="BI33" s="51">
        <v>10000000000</v>
      </c>
      <c r="BJ33" s="51">
        <v>211</v>
      </c>
      <c r="BK33" s="51">
        <v>18.8</v>
      </c>
      <c r="BL33" s="51">
        <v>84.3</v>
      </c>
      <c r="BM33" s="51">
        <v>51.69</v>
      </c>
      <c r="BN33" s="51">
        <v>2.36</v>
      </c>
      <c r="BO33" s="51">
        <v>29.72</v>
      </c>
      <c r="BP33" s="51">
        <v>39.26</v>
      </c>
      <c r="BQ33" s="51">
        <v>695.43</v>
      </c>
      <c r="BR33" s="51">
        <v>60.51755</v>
      </c>
      <c r="BS33" s="51">
        <v>236.72389999999999</v>
      </c>
      <c r="BT33" s="51">
        <v>36.086539999999999</v>
      </c>
      <c r="BU33" s="51">
        <v>31.19698</v>
      </c>
      <c r="BV33" s="51">
        <v>31.802810000000001</v>
      </c>
      <c r="BW33" s="51">
        <v>0.104047</v>
      </c>
      <c r="BX33" s="51">
        <v>5.0318000000000002E-2</v>
      </c>
      <c r="BY33" s="51">
        <v>132.1515</v>
      </c>
      <c r="BZ33" s="51">
        <v>18.995360000000002</v>
      </c>
      <c r="CA33" s="51">
        <v>0</v>
      </c>
      <c r="CB33" s="51">
        <v>0.91969900000000004</v>
      </c>
      <c r="CC33" s="51">
        <v>753.66210000000001</v>
      </c>
      <c r="CD33" s="51">
        <v>787.92020000000002</v>
      </c>
      <c r="CE33" s="51">
        <v>136.93260000000001</v>
      </c>
      <c r="CF33" s="51">
        <v>533.80999999999995</v>
      </c>
      <c r="CG33" s="51">
        <v>86.92</v>
      </c>
      <c r="CH33" s="51">
        <v>99.01</v>
      </c>
      <c r="CI33" s="51">
        <v>564.67999999999995</v>
      </c>
      <c r="CJ33" s="51">
        <v>587.04</v>
      </c>
      <c r="CK33" s="51">
        <v>601.48</v>
      </c>
      <c r="CL33" s="51">
        <v>620.76</v>
      </c>
      <c r="CM33" s="51">
        <v>616.94000000000005</v>
      </c>
      <c r="CN33" s="51">
        <v>608.32000000000005</v>
      </c>
      <c r="CO33" s="51">
        <v>542.69000000000005</v>
      </c>
      <c r="CP33" s="51">
        <v>29.35</v>
      </c>
      <c r="CQ33" s="51">
        <v>924.7</v>
      </c>
      <c r="CR33" s="51">
        <v>933.07</v>
      </c>
      <c r="CS33" s="51">
        <v>16.600000000000001</v>
      </c>
      <c r="CT33" s="51">
        <v>16.7</v>
      </c>
    </row>
    <row r="34" spans="1:133" x14ac:dyDescent="0.25">
      <c r="A34" s="72"/>
      <c r="B34" s="34">
        <v>28</v>
      </c>
      <c r="C34" s="35">
        <v>41409.624955266205</v>
      </c>
      <c r="D34" s="34">
        <v>4</v>
      </c>
      <c r="E34" s="34">
        <v>34</v>
      </c>
      <c r="F34" s="34">
        <v>933</v>
      </c>
      <c r="G34" s="34">
        <v>933</v>
      </c>
      <c r="H34" s="34">
        <v>933.1</v>
      </c>
      <c r="I34" s="34">
        <v>82.6</v>
      </c>
      <c r="J34" s="34">
        <v>82.6</v>
      </c>
      <c r="K34" s="34">
        <v>1701</v>
      </c>
      <c r="L34" s="34">
        <v>14</v>
      </c>
      <c r="M34" s="34">
        <v>14</v>
      </c>
      <c r="N34" s="34">
        <v>0.18</v>
      </c>
      <c r="O34" s="34">
        <v>0.17994599999999999</v>
      </c>
      <c r="P34" s="34">
        <v>1</v>
      </c>
      <c r="Q34" s="34">
        <v>1.069075</v>
      </c>
      <c r="R34" s="34">
        <v>4.34</v>
      </c>
      <c r="S34" s="34">
        <v>4.3395999999999999</v>
      </c>
      <c r="T34" s="34">
        <v>180.99</v>
      </c>
      <c r="U34" s="34">
        <v>176.31720000000001</v>
      </c>
      <c r="V34" s="34">
        <v>4.7699999999999996</v>
      </c>
      <c r="W34" s="34">
        <v>4.78125</v>
      </c>
      <c r="X34" s="34">
        <v>300</v>
      </c>
      <c r="Y34" s="34">
        <v>300</v>
      </c>
      <c r="Z34" s="34">
        <v>0</v>
      </c>
      <c r="AA34" s="34">
        <v>0</v>
      </c>
      <c r="AB34" s="34">
        <v>300</v>
      </c>
      <c r="AC34" s="34">
        <v>300</v>
      </c>
      <c r="AD34" s="34">
        <v>0</v>
      </c>
      <c r="AE34" s="34">
        <v>146.92310000000001</v>
      </c>
      <c r="AF34" s="34">
        <v>170</v>
      </c>
      <c r="AG34" s="34">
        <v>170</v>
      </c>
      <c r="AH34" s="34">
        <v>20</v>
      </c>
      <c r="AI34" s="34">
        <v>0.15</v>
      </c>
      <c r="AJ34" s="34">
        <v>101.02</v>
      </c>
      <c r="AK34" s="34">
        <v>115.76</v>
      </c>
      <c r="AL34" s="34">
        <v>130.81</v>
      </c>
      <c r="AM34" s="34">
        <v>134.25</v>
      </c>
      <c r="AN34" s="34">
        <v>693.36</v>
      </c>
      <c r="AO34" s="34">
        <v>216.21680000000001</v>
      </c>
      <c r="AP34" s="34">
        <v>117.06</v>
      </c>
      <c r="AQ34" s="34">
        <v>142.63999999999999</v>
      </c>
      <c r="AR34" s="34">
        <v>132.47</v>
      </c>
      <c r="AS34" s="34">
        <v>665.81</v>
      </c>
      <c r="AT34" s="34">
        <v>13.75</v>
      </c>
      <c r="AU34" s="34">
        <v>59.61</v>
      </c>
      <c r="AV34" s="34">
        <v>100.16</v>
      </c>
      <c r="AW34" s="34">
        <v>116.33</v>
      </c>
      <c r="AX34" s="34">
        <v>0.67</v>
      </c>
      <c r="AY34" s="34">
        <v>10.82</v>
      </c>
      <c r="AZ34" s="58">
        <v>10000000000</v>
      </c>
      <c r="BA34" s="34">
        <v>838.62</v>
      </c>
      <c r="BB34" s="34">
        <v>11.45</v>
      </c>
      <c r="BC34" s="34">
        <v>11.7</v>
      </c>
      <c r="BD34" s="34">
        <v>0.9</v>
      </c>
      <c r="BE34" s="34">
        <v>4.5</v>
      </c>
      <c r="BF34" s="34">
        <v>4.87</v>
      </c>
      <c r="BG34" s="34">
        <v>986.02</v>
      </c>
      <c r="BH34" s="34">
        <v>7.69</v>
      </c>
      <c r="BI34" s="34">
        <v>10000000000</v>
      </c>
      <c r="BJ34" s="34">
        <v>212.7</v>
      </c>
      <c r="BK34" s="34">
        <v>18.8</v>
      </c>
      <c r="BL34" s="34">
        <v>86.9</v>
      </c>
      <c r="BM34" s="34">
        <v>55.44</v>
      </c>
      <c r="BN34" s="34">
        <v>2.3199999999999998</v>
      </c>
      <c r="BO34" s="34">
        <v>29.76</v>
      </c>
      <c r="BP34" s="34">
        <v>39.26</v>
      </c>
      <c r="BQ34" s="34">
        <v>700.84</v>
      </c>
      <c r="BR34" s="34">
        <v>60.516820000000003</v>
      </c>
      <c r="BS34" s="34">
        <v>232.9068</v>
      </c>
      <c r="BT34" s="34">
        <v>35.904820000000001</v>
      </c>
      <c r="BU34" s="34">
        <v>30.933229999999998</v>
      </c>
      <c r="BV34" s="34">
        <v>31.74953</v>
      </c>
      <c r="BW34" s="34">
        <v>0.104366</v>
      </c>
      <c r="BX34" s="34">
        <v>3.8228999999999999E-2</v>
      </c>
      <c r="BY34" s="34">
        <v>133.22110000000001</v>
      </c>
      <c r="BZ34" s="34">
        <v>21.781199999999998</v>
      </c>
      <c r="CA34" s="34">
        <v>0</v>
      </c>
      <c r="CB34" s="34">
        <v>0.91972500000000001</v>
      </c>
      <c r="CC34" s="34">
        <v>740.03790000000004</v>
      </c>
      <c r="CD34" s="34">
        <v>774.56500000000005</v>
      </c>
      <c r="CE34" s="34">
        <v>138.00219999999999</v>
      </c>
      <c r="CF34" s="34">
        <v>547.04</v>
      </c>
      <c r="CG34" s="34">
        <v>84.64</v>
      </c>
      <c r="CH34" s="34">
        <v>97.46</v>
      </c>
      <c r="CI34" s="34">
        <v>577.41999999999996</v>
      </c>
      <c r="CJ34" s="34">
        <v>599.84</v>
      </c>
      <c r="CK34" s="34">
        <v>617.19000000000005</v>
      </c>
      <c r="CL34" s="34">
        <v>636.73</v>
      </c>
      <c r="CM34" s="34">
        <v>630.55999999999995</v>
      </c>
      <c r="CN34" s="34">
        <v>621.19000000000005</v>
      </c>
      <c r="CO34" s="34">
        <v>554.70000000000005</v>
      </c>
      <c r="CP34" s="34">
        <v>33.93</v>
      </c>
      <c r="CQ34" s="34">
        <v>937.7</v>
      </c>
      <c r="CR34" s="34">
        <v>933.05</v>
      </c>
      <c r="CS34" s="34">
        <v>16.8</v>
      </c>
      <c r="CT34" s="34">
        <v>16.7</v>
      </c>
    </row>
    <row r="35" spans="1:133" x14ac:dyDescent="0.25">
      <c r="A35" s="72"/>
      <c r="B35" s="34">
        <v>34</v>
      </c>
      <c r="C35" s="35">
        <v>41409.667018622684</v>
      </c>
      <c r="D35" s="34">
        <v>4</v>
      </c>
      <c r="E35" s="34">
        <v>45</v>
      </c>
      <c r="F35" s="34">
        <v>933</v>
      </c>
      <c r="G35" s="34">
        <v>933</v>
      </c>
      <c r="H35" s="34">
        <v>933.1</v>
      </c>
      <c r="I35" s="34">
        <v>82.6</v>
      </c>
      <c r="J35" s="34">
        <v>82.6</v>
      </c>
      <c r="K35" s="34">
        <v>1701</v>
      </c>
      <c r="L35" s="34">
        <v>14</v>
      </c>
      <c r="M35" s="34">
        <v>14</v>
      </c>
      <c r="N35" s="34">
        <v>0.18</v>
      </c>
      <c r="O35" s="34">
        <v>0.17996899999999999</v>
      </c>
      <c r="P35" s="34">
        <v>1</v>
      </c>
      <c r="Q35" s="34">
        <v>1.069007</v>
      </c>
      <c r="R35" s="34">
        <v>4.34</v>
      </c>
      <c r="S35" s="34">
        <v>4.3395999999999999</v>
      </c>
      <c r="T35" s="34">
        <v>180.99</v>
      </c>
      <c r="U35" s="34">
        <v>176.86429999999999</v>
      </c>
      <c r="V35" s="34">
        <v>4.7699999999999996</v>
      </c>
      <c r="W35" s="34">
        <v>4.78125</v>
      </c>
      <c r="X35" s="34">
        <v>300</v>
      </c>
      <c r="Y35" s="34">
        <v>300</v>
      </c>
      <c r="Z35" s="34">
        <v>0</v>
      </c>
      <c r="AA35" s="34">
        <v>0</v>
      </c>
      <c r="AB35" s="34">
        <v>300</v>
      </c>
      <c r="AC35" s="34">
        <v>300</v>
      </c>
      <c r="AD35" s="34">
        <v>0</v>
      </c>
      <c r="AE35" s="34">
        <v>152.05779999999999</v>
      </c>
      <c r="AF35" s="34">
        <v>170</v>
      </c>
      <c r="AG35" s="34">
        <v>170</v>
      </c>
      <c r="AH35" s="34">
        <v>20</v>
      </c>
      <c r="AI35" s="34">
        <v>0.15</v>
      </c>
      <c r="AJ35" s="34">
        <v>102.36</v>
      </c>
      <c r="AK35" s="34">
        <v>114.75</v>
      </c>
      <c r="AL35" s="34">
        <v>133.53</v>
      </c>
      <c r="AM35" s="34">
        <v>137.53</v>
      </c>
      <c r="AN35" s="34">
        <v>674.53</v>
      </c>
      <c r="AO35" s="34">
        <v>220.322</v>
      </c>
      <c r="AP35" s="34">
        <v>121.28</v>
      </c>
      <c r="AQ35" s="34">
        <v>131.04</v>
      </c>
      <c r="AR35" s="34">
        <v>136.97</v>
      </c>
      <c r="AS35" s="34">
        <v>661.64</v>
      </c>
      <c r="AT35" s="34">
        <v>12.25</v>
      </c>
      <c r="AU35" s="34">
        <v>59.09</v>
      </c>
      <c r="AV35" s="34">
        <v>99.56</v>
      </c>
      <c r="AW35" s="34">
        <v>117.38</v>
      </c>
      <c r="AX35" s="34">
        <v>0.47299999999999998</v>
      </c>
      <c r="AY35" s="34">
        <v>7.18</v>
      </c>
      <c r="AZ35" s="58">
        <v>10000000000</v>
      </c>
      <c r="BA35" s="34">
        <v>656.01</v>
      </c>
      <c r="BB35" s="34">
        <v>12.32</v>
      </c>
      <c r="BC35" s="34">
        <v>11.26</v>
      </c>
      <c r="BD35" s="34">
        <v>0.82</v>
      </c>
      <c r="BE35" s="34">
        <v>5.09</v>
      </c>
      <c r="BF35" s="34">
        <v>5.21</v>
      </c>
      <c r="BG35" s="34">
        <v>1058.6099999999999</v>
      </c>
      <c r="BH35" s="34">
        <v>7.28</v>
      </c>
      <c r="BI35" s="34">
        <v>10000000000</v>
      </c>
      <c r="BJ35" s="34">
        <v>210.6</v>
      </c>
      <c r="BK35" s="34">
        <v>18.899999999999999</v>
      </c>
      <c r="BL35" s="34">
        <v>84.3</v>
      </c>
      <c r="BM35" s="34">
        <v>51.97</v>
      </c>
      <c r="BN35" s="34">
        <v>2.37</v>
      </c>
      <c r="BO35" s="34">
        <v>29.72</v>
      </c>
      <c r="BP35" s="34">
        <v>39.22</v>
      </c>
      <c r="BQ35" s="34">
        <v>696.89</v>
      </c>
      <c r="BR35" s="34">
        <v>59.913960000000003</v>
      </c>
      <c r="BS35" s="34">
        <v>236.5915</v>
      </c>
      <c r="BT35" s="34">
        <v>36.119790000000002</v>
      </c>
      <c r="BU35" s="34">
        <v>31.232240000000001</v>
      </c>
      <c r="BV35" s="34">
        <v>31.812139999999999</v>
      </c>
      <c r="BW35" s="34">
        <v>0.103987</v>
      </c>
      <c r="BX35" s="34">
        <v>5.2075999999999997E-2</v>
      </c>
      <c r="BY35" s="34">
        <v>131.9572</v>
      </c>
      <c r="BZ35" s="34">
        <v>18.995360000000002</v>
      </c>
      <c r="CA35" s="34">
        <v>0</v>
      </c>
      <c r="CB35" s="34">
        <v>0.91969400000000001</v>
      </c>
      <c r="CC35" s="34">
        <v>755.41750000000002</v>
      </c>
      <c r="CD35" s="34">
        <v>789.62519999999995</v>
      </c>
      <c r="CE35" s="34">
        <v>136.73859999999999</v>
      </c>
      <c r="CF35" s="34">
        <v>529.59</v>
      </c>
      <c r="CG35" s="34">
        <v>86.41</v>
      </c>
      <c r="CH35" s="34">
        <v>98.46</v>
      </c>
      <c r="CI35" s="34">
        <v>560.25</v>
      </c>
      <c r="CJ35" s="34">
        <v>584.41</v>
      </c>
      <c r="CK35" s="34">
        <v>599.01</v>
      </c>
      <c r="CL35" s="34">
        <v>620.84</v>
      </c>
      <c r="CM35" s="34">
        <v>616.32000000000005</v>
      </c>
      <c r="CN35" s="34">
        <v>606.02</v>
      </c>
      <c r="CO35" s="34">
        <v>539.54999999999995</v>
      </c>
      <c r="CP35" s="34">
        <v>29.37</v>
      </c>
      <c r="CQ35" s="34">
        <v>924.9</v>
      </c>
      <c r="CR35" s="34">
        <v>933.06</v>
      </c>
      <c r="CS35" s="34">
        <v>16.600000000000001</v>
      </c>
      <c r="CT35" s="34">
        <v>16.7</v>
      </c>
    </row>
    <row r="36" spans="1:133" x14ac:dyDescent="0.25">
      <c r="A36" s="72"/>
    </row>
    <row r="37" spans="1:133" s="1" customFormat="1" ht="60" x14ac:dyDescent="0.25"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9</v>
      </c>
      <c r="L37" s="6" t="s">
        <v>10</v>
      </c>
      <c r="M37" s="6" t="s">
        <v>11</v>
      </c>
      <c r="N37" s="1" t="s">
        <v>12</v>
      </c>
      <c r="O37" s="1" t="s">
        <v>13</v>
      </c>
      <c r="P37" s="1" t="s">
        <v>14</v>
      </c>
      <c r="Q37" s="1" t="s">
        <v>15</v>
      </c>
      <c r="R37" s="1" t="s">
        <v>16</v>
      </c>
      <c r="S37" s="1" t="s">
        <v>17</v>
      </c>
      <c r="T37" s="1" t="s">
        <v>18</v>
      </c>
      <c r="U37" s="1" t="s">
        <v>19</v>
      </c>
      <c r="V37" s="1" t="s">
        <v>20</v>
      </c>
      <c r="W37" s="1" t="s">
        <v>21</v>
      </c>
      <c r="X37" s="1" t="s">
        <v>22</v>
      </c>
      <c r="Y37" s="1" t="s">
        <v>23</v>
      </c>
      <c r="Z37" s="1" t="s">
        <v>24</v>
      </c>
      <c r="AA37" s="1" t="s">
        <v>25</v>
      </c>
      <c r="AB37" s="1" t="s">
        <v>26</v>
      </c>
      <c r="AC37" s="1" t="s">
        <v>27</v>
      </c>
      <c r="AD37" s="1" t="s">
        <v>28</v>
      </c>
      <c r="AE37" s="1" t="s">
        <v>29</v>
      </c>
      <c r="AF37" s="1" t="s">
        <v>30</v>
      </c>
      <c r="AG37" s="1" t="s">
        <v>31</v>
      </c>
      <c r="AH37" s="1" t="s">
        <v>32</v>
      </c>
      <c r="AI37" s="1" t="s">
        <v>33</v>
      </c>
      <c r="AJ37" s="1" t="s">
        <v>34</v>
      </c>
      <c r="AK37" s="1" t="s">
        <v>35</v>
      </c>
      <c r="AL37" s="1" t="s">
        <v>36</v>
      </c>
      <c r="AM37" s="1" t="s">
        <v>37</v>
      </c>
      <c r="AN37" s="1" t="s">
        <v>38</v>
      </c>
      <c r="AO37" s="1" t="s">
        <v>39</v>
      </c>
      <c r="AP37" s="1" t="s">
        <v>40</v>
      </c>
      <c r="AQ37" s="1" t="s">
        <v>41</v>
      </c>
      <c r="AR37" s="1" t="s">
        <v>42</v>
      </c>
      <c r="AS37" s="1" t="s">
        <v>43</v>
      </c>
      <c r="AT37" s="1" t="s">
        <v>44</v>
      </c>
      <c r="AU37" s="1" t="s">
        <v>45</v>
      </c>
      <c r="AV37" s="1" t="s">
        <v>46</v>
      </c>
      <c r="AW37" s="1" t="s">
        <v>47</v>
      </c>
      <c r="AX37" s="6" t="s">
        <v>48</v>
      </c>
      <c r="AY37" s="6" t="s">
        <v>49</v>
      </c>
      <c r="AZ37" s="6" t="s">
        <v>50</v>
      </c>
      <c r="BA37" s="6" t="s">
        <v>51</v>
      </c>
      <c r="BB37" s="6" t="s">
        <v>52</v>
      </c>
      <c r="BC37" s="6" t="s">
        <v>53</v>
      </c>
      <c r="BD37" s="6" t="s">
        <v>54</v>
      </c>
      <c r="BE37" s="6" t="s">
        <v>108</v>
      </c>
      <c r="BF37" s="6" t="s">
        <v>55</v>
      </c>
      <c r="BG37" s="6" t="s">
        <v>56</v>
      </c>
      <c r="BH37" s="1" t="s">
        <v>57</v>
      </c>
      <c r="BI37" s="1" t="s">
        <v>58</v>
      </c>
      <c r="BJ37" s="1" t="s">
        <v>59</v>
      </c>
      <c r="BK37" s="1" t="s">
        <v>60</v>
      </c>
      <c r="BL37" s="1" t="s">
        <v>61</v>
      </c>
      <c r="BM37" s="1" t="s">
        <v>62</v>
      </c>
      <c r="BN37" s="1" t="s">
        <v>63</v>
      </c>
      <c r="BO37" s="1" t="s">
        <v>64</v>
      </c>
      <c r="BP37" s="1" t="s">
        <v>65</v>
      </c>
      <c r="BQ37" s="1" t="s">
        <v>66</v>
      </c>
      <c r="BR37" s="1" t="s">
        <v>67</v>
      </c>
      <c r="BS37" s="1" t="s">
        <v>68</v>
      </c>
      <c r="BT37" s="1" t="s">
        <v>69</v>
      </c>
      <c r="BU37" s="1" t="s">
        <v>70</v>
      </c>
      <c r="BV37" s="1" t="s">
        <v>71</v>
      </c>
      <c r="BW37" s="1" t="s">
        <v>72</v>
      </c>
      <c r="BX37" s="1" t="s">
        <v>73</v>
      </c>
      <c r="BY37" s="1" t="s">
        <v>74</v>
      </c>
      <c r="BZ37" s="1" t="s">
        <v>75</v>
      </c>
      <c r="CA37" s="1" t="s">
        <v>76</v>
      </c>
      <c r="CB37" s="1" t="s">
        <v>77</v>
      </c>
      <c r="CC37" s="1" t="s">
        <v>78</v>
      </c>
      <c r="CD37" s="1" t="s">
        <v>79</v>
      </c>
      <c r="CE37" s="1" t="s">
        <v>80</v>
      </c>
      <c r="CF37" s="1" t="s">
        <v>81</v>
      </c>
      <c r="CG37" s="1" t="s">
        <v>82</v>
      </c>
      <c r="CH37" s="1" t="s">
        <v>83</v>
      </c>
      <c r="CI37" s="1" t="s">
        <v>84</v>
      </c>
      <c r="CJ37" s="1" t="s">
        <v>85</v>
      </c>
      <c r="CK37" s="1" t="s">
        <v>86</v>
      </c>
      <c r="CL37" s="1" t="s">
        <v>87</v>
      </c>
      <c r="CM37" s="1" t="s">
        <v>88</v>
      </c>
      <c r="CN37" s="1" t="s">
        <v>89</v>
      </c>
      <c r="CO37" s="1" t="s">
        <v>90</v>
      </c>
      <c r="CP37" s="1" t="s">
        <v>91</v>
      </c>
      <c r="CQ37" s="1" t="s">
        <v>92</v>
      </c>
      <c r="CR37" s="1" t="s">
        <v>93</v>
      </c>
      <c r="CS37" s="1" t="s">
        <v>94</v>
      </c>
      <c r="CT37" s="1" t="s">
        <v>95</v>
      </c>
      <c r="CU37" s="6" t="s">
        <v>114</v>
      </c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</row>
    <row r="38" spans="1:133" x14ac:dyDescent="0.25">
      <c r="A38" s="72" t="s">
        <v>100</v>
      </c>
      <c r="B38" s="2">
        <v>1</v>
      </c>
      <c r="C38" s="4">
        <v>8.9918981481481482E-3</v>
      </c>
      <c r="D38" s="2">
        <v>5</v>
      </c>
      <c r="E38" s="2">
        <v>1</v>
      </c>
      <c r="F38" s="2">
        <v>180</v>
      </c>
      <c r="G38" s="2">
        <v>180</v>
      </c>
      <c r="H38" s="2">
        <v>180</v>
      </c>
      <c r="I38" s="2">
        <v>91.7</v>
      </c>
      <c r="J38" s="2">
        <v>91.7</v>
      </c>
      <c r="K38" s="2">
        <v>1800</v>
      </c>
      <c r="L38" s="2">
        <v>21</v>
      </c>
      <c r="M38" s="2">
        <v>21</v>
      </c>
      <c r="N38" s="2">
        <v>0.14000000000000001</v>
      </c>
      <c r="O38" s="2">
        <v>0.14002899999999999</v>
      </c>
      <c r="P38" s="2">
        <v>1</v>
      </c>
      <c r="Q38" s="2">
        <v>1.0689900000000001</v>
      </c>
      <c r="R38" s="2">
        <v>-1.8</v>
      </c>
      <c r="S38" s="2">
        <v>-1.801758</v>
      </c>
      <c r="T38" s="2">
        <v>116.04</v>
      </c>
      <c r="U38" s="2">
        <v>116.04689999999999</v>
      </c>
      <c r="V38" s="2">
        <v>3.5</v>
      </c>
      <c r="W38" s="2">
        <v>3.5</v>
      </c>
      <c r="X38" s="2">
        <v>300</v>
      </c>
      <c r="Y38" s="2">
        <v>300</v>
      </c>
      <c r="Z38" s="2">
        <v>3.5</v>
      </c>
      <c r="AA38" s="2">
        <v>3.5</v>
      </c>
      <c r="AB38" s="2">
        <v>300</v>
      </c>
      <c r="AC38" s="2">
        <v>300</v>
      </c>
      <c r="AD38" s="2">
        <v>0</v>
      </c>
      <c r="AE38" s="2">
        <v>81.727239999999995</v>
      </c>
      <c r="AF38" s="2">
        <v>0</v>
      </c>
      <c r="AG38" s="2">
        <v>89.886409999999998</v>
      </c>
      <c r="AH38" s="2">
        <v>43</v>
      </c>
      <c r="AI38" s="2">
        <v>0.23</v>
      </c>
      <c r="AJ38" s="2">
        <v>46.35</v>
      </c>
      <c r="AK38" s="2">
        <v>59.84</v>
      </c>
      <c r="AL38" s="2">
        <v>39.28</v>
      </c>
      <c r="AM38" s="2">
        <v>39.46</v>
      </c>
      <c r="AN38" s="2">
        <v>344.32</v>
      </c>
      <c r="AO38" s="2">
        <v>118.7504</v>
      </c>
      <c r="AP38" s="2">
        <v>16.760000000000002</v>
      </c>
      <c r="AQ38" s="2">
        <v>53.22</v>
      </c>
      <c r="AR38" s="2">
        <v>25.93</v>
      </c>
      <c r="AS38" s="2">
        <v>363.69</v>
      </c>
      <c r="AT38" s="2">
        <v>22.52</v>
      </c>
      <c r="AU38" s="2">
        <v>51.07</v>
      </c>
      <c r="AV38" s="2">
        <v>95.12</v>
      </c>
      <c r="AW38" s="2">
        <v>115.98</v>
      </c>
      <c r="AX38" s="2">
        <v>0.33</v>
      </c>
      <c r="AY38" s="2">
        <v>4.8</v>
      </c>
      <c r="AZ38" s="2">
        <v>3.2324000000000002</v>
      </c>
      <c r="BA38" s="2">
        <v>156.02000000000001</v>
      </c>
      <c r="BB38" s="2">
        <v>64.69</v>
      </c>
      <c r="BC38" s="2">
        <v>5.56</v>
      </c>
      <c r="BD38" s="2">
        <v>0.76</v>
      </c>
      <c r="BE38" s="2">
        <v>13.04</v>
      </c>
      <c r="BF38" s="2">
        <v>3.8</v>
      </c>
      <c r="BG38" s="2">
        <v>256.02</v>
      </c>
      <c r="BH38" s="2">
        <v>13.6</v>
      </c>
      <c r="BI38" s="2">
        <v>0.22</v>
      </c>
      <c r="BJ38" s="2">
        <v>274.7</v>
      </c>
      <c r="BK38" s="2">
        <v>39</v>
      </c>
      <c r="BL38" s="2">
        <v>85.2</v>
      </c>
      <c r="BM38" s="2">
        <v>57.22</v>
      </c>
      <c r="BN38" s="2">
        <v>1.3</v>
      </c>
      <c r="BO38" s="2">
        <v>29.66</v>
      </c>
      <c r="BP38" s="2">
        <v>34.07</v>
      </c>
      <c r="BQ38" s="2">
        <v>372.88</v>
      </c>
      <c r="BR38" s="2">
        <v>52.947029999999998</v>
      </c>
      <c r="BS38" s="2">
        <v>140.2723</v>
      </c>
      <c r="BT38" s="2">
        <v>105.4876</v>
      </c>
      <c r="BU38" s="2">
        <v>88.676029999999997</v>
      </c>
      <c r="BV38" s="2">
        <v>87.040859999999995</v>
      </c>
      <c r="BW38" s="2">
        <v>0</v>
      </c>
      <c r="BX38" s="2">
        <v>0</v>
      </c>
      <c r="BY38" s="2">
        <v>22.1676</v>
      </c>
      <c r="BZ38" s="2">
        <v>18.995360000000002</v>
      </c>
      <c r="CA38" s="2">
        <v>0</v>
      </c>
      <c r="CB38" s="2">
        <v>0.93506800000000001</v>
      </c>
      <c r="CC38" s="2">
        <v>447.43459999999999</v>
      </c>
      <c r="CD38" s="2">
        <v>455.07499999999999</v>
      </c>
      <c r="CE38" s="2">
        <v>29.159479999999999</v>
      </c>
      <c r="CF38" s="2">
        <v>327.97</v>
      </c>
      <c r="CG38" s="2">
        <v>71.11</v>
      </c>
      <c r="CH38" s="2">
        <v>85.34</v>
      </c>
      <c r="CI38" s="2">
        <v>315.33999999999997</v>
      </c>
      <c r="CJ38" s="2">
        <v>310.12</v>
      </c>
      <c r="CK38" s="2">
        <v>326.55</v>
      </c>
      <c r="CL38" s="2">
        <v>347.08</v>
      </c>
      <c r="CM38" s="2">
        <v>334.29</v>
      </c>
      <c r="CN38" s="2">
        <v>338.52</v>
      </c>
      <c r="CO38" s="2">
        <v>290.44</v>
      </c>
      <c r="CP38" s="2">
        <v>22.05</v>
      </c>
      <c r="CQ38" s="2">
        <v>179.2</v>
      </c>
      <c r="CR38" s="2">
        <v>180.05</v>
      </c>
      <c r="CS38" s="2">
        <v>3.2</v>
      </c>
      <c r="CT38" s="2">
        <v>3.2</v>
      </c>
    </row>
    <row r="39" spans="1:133" x14ac:dyDescent="0.25">
      <c r="A39" s="72"/>
      <c r="B39" s="2">
        <v>12</v>
      </c>
      <c r="C39" s="4">
        <v>2.698611111111111E-2</v>
      </c>
      <c r="D39" s="2">
        <v>5</v>
      </c>
      <c r="E39" s="2">
        <v>12</v>
      </c>
      <c r="F39" s="2">
        <v>180</v>
      </c>
      <c r="G39" s="2">
        <v>180</v>
      </c>
      <c r="H39" s="2">
        <v>180</v>
      </c>
      <c r="I39" s="2">
        <v>91.7</v>
      </c>
      <c r="J39" s="2">
        <v>91.7</v>
      </c>
      <c r="K39" s="2">
        <v>1800</v>
      </c>
      <c r="L39" s="2">
        <v>21</v>
      </c>
      <c r="M39" s="2">
        <v>21</v>
      </c>
      <c r="N39" s="2">
        <v>0.14000000000000001</v>
      </c>
      <c r="O39" s="2">
        <v>0.13997100000000001</v>
      </c>
      <c r="P39" s="2">
        <v>1</v>
      </c>
      <c r="Q39" s="2">
        <v>1.068892</v>
      </c>
      <c r="R39" s="2">
        <v>-1.8</v>
      </c>
      <c r="S39" s="2">
        <v>-1.801758</v>
      </c>
      <c r="T39" s="2">
        <v>116.04</v>
      </c>
      <c r="U39" s="2">
        <v>116.04689999999999</v>
      </c>
      <c r="V39" s="2">
        <v>3.5</v>
      </c>
      <c r="W39" s="2">
        <v>3.5</v>
      </c>
      <c r="X39" s="2">
        <v>300</v>
      </c>
      <c r="Y39" s="2">
        <v>300</v>
      </c>
      <c r="Z39" s="2">
        <v>3.5</v>
      </c>
      <c r="AA39" s="2">
        <v>3.5</v>
      </c>
      <c r="AB39" s="2">
        <v>300</v>
      </c>
      <c r="AC39" s="2">
        <v>300</v>
      </c>
      <c r="AD39" s="2">
        <v>0</v>
      </c>
      <c r="AE39" s="2">
        <v>83.4101</v>
      </c>
      <c r="AF39" s="2">
        <v>0</v>
      </c>
      <c r="AG39" s="2">
        <v>91.736980000000003</v>
      </c>
      <c r="AH39" s="2">
        <v>43</v>
      </c>
      <c r="AI39" s="2">
        <v>0.23</v>
      </c>
      <c r="AJ39" s="2">
        <v>46.47</v>
      </c>
      <c r="AK39" s="2">
        <v>60.34</v>
      </c>
      <c r="AL39" s="2">
        <v>40.18</v>
      </c>
      <c r="AM39" s="2">
        <v>40.67</v>
      </c>
      <c r="AN39" s="2">
        <v>341.07</v>
      </c>
      <c r="AO39" s="2">
        <v>119.10850000000001</v>
      </c>
      <c r="AP39" s="2">
        <v>16.57</v>
      </c>
      <c r="AQ39" s="2">
        <v>54.62</v>
      </c>
      <c r="AR39" s="2">
        <v>26.01</v>
      </c>
      <c r="AS39" s="2">
        <v>373.6</v>
      </c>
      <c r="AT39" s="2">
        <v>23.61</v>
      </c>
      <c r="AU39" s="2">
        <v>45.31</v>
      </c>
      <c r="AV39" s="2">
        <v>95.34</v>
      </c>
      <c r="AW39" s="2">
        <v>112.36</v>
      </c>
      <c r="AX39" s="2">
        <v>0.33400000000000002</v>
      </c>
      <c r="AY39" s="2">
        <v>4.8600000000000003</v>
      </c>
      <c r="AZ39" s="2">
        <v>2.4992999999999999</v>
      </c>
      <c r="BA39" s="2">
        <v>171.81</v>
      </c>
      <c r="BB39" s="2">
        <v>73.27</v>
      </c>
      <c r="BC39" s="2">
        <v>5.49</v>
      </c>
      <c r="BD39" s="2">
        <v>0.75</v>
      </c>
      <c r="BE39" s="2">
        <v>13.17</v>
      </c>
      <c r="BF39" s="2">
        <v>3.74</v>
      </c>
      <c r="BG39" s="2">
        <v>244.55</v>
      </c>
      <c r="BH39" s="2">
        <v>13.69</v>
      </c>
      <c r="BI39" s="2">
        <v>0.17</v>
      </c>
      <c r="BJ39" s="2">
        <v>274.8</v>
      </c>
      <c r="BK39" s="2">
        <v>40.1</v>
      </c>
      <c r="BL39" s="2">
        <v>86.2</v>
      </c>
      <c r="BM39" s="2">
        <v>59.28</v>
      </c>
      <c r="BN39" s="2">
        <v>1.33</v>
      </c>
      <c r="BO39" s="2">
        <v>29.65</v>
      </c>
      <c r="BP39" s="2">
        <v>33.94</v>
      </c>
      <c r="BQ39" s="2">
        <v>383.08</v>
      </c>
      <c r="BR39" s="2">
        <v>47.39958</v>
      </c>
      <c r="BS39" s="2">
        <v>141.50470000000001</v>
      </c>
      <c r="BT39" s="2">
        <v>104.821</v>
      </c>
      <c r="BU39" s="2">
        <v>89.794979999999995</v>
      </c>
      <c r="BV39" s="2">
        <v>88.241200000000006</v>
      </c>
      <c r="BW39" s="2">
        <v>0</v>
      </c>
      <c r="BX39" s="2">
        <v>0</v>
      </c>
      <c r="BY39" s="2">
        <v>22.347760000000001</v>
      </c>
      <c r="BZ39" s="2">
        <v>18.995360000000002</v>
      </c>
      <c r="CA39" s="2">
        <v>0</v>
      </c>
      <c r="CB39" s="2">
        <v>0.93506299999999998</v>
      </c>
      <c r="CC39" s="2">
        <v>456.59980000000002</v>
      </c>
      <c r="CD39" s="2">
        <v>464.31709999999998</v>
      </c>
      <c r="CE39" s="2">
        <v>29.347760000000001</v>
      </c>
      <c r="CF39" s="2">
        <v>326.22000000000003</v>
      </c>
      <c r="CG39" s="2">
        <v>71.55</v>
      </c>
      <c r="CH39" s="2">
        <v>86.79</v>
      </c>
      <c r="CI39" s="2">
        <v>310.2</v>
      </c>
      <c r="CJ39" s="2">
        <v>307.08999999999997</v>
      </c>
      <c r="CK39" s="2">
        <v>323.58</v>
      </c>
      <c r="CL39" s="2">
        <v>340.66</v>
      </c>
      <c r="CM39" s="2">
        <v>329.74</v>
      </c>
      <c r="CN39" s="2">
        <v>332.86</v>
      </c>
      <c r="CO39" s="2">
        <v>287.68</v>
      </c>
      <c r="CP39" s="2">
        <v>23.21</v>
      </c>
      <c r="CQ39" s="2">
        <v>179.3</v>
      </c>
      <c r="CR39" s="2">
        <v>180.05</v>
      </c>
      <c r="CS39" s="2">
        <v>3.2</v>
      </c>
      <c r="CT39" s="2">
        <v>3.2</v>
      </c>
    </row>
    <row r="40" spans="1:133" x14ac:dyDescent="0.25">
      <c r="A40" s="72"/>
      <c r="B40" s="17">
        <v>13</v>
      </c>
      <c r="C40" s="18">
        <v>7.9618055555555553E-3</v>
      </c>
      <c r="D40" s="17">
        <v>5</v>
      </c>
      <c r="E40" s="17">
        <v>12</v>
      </c>
      <c r="F40" s="17">
        <v>180</v>
      </c>
      <c r="G40" s="17">
        <v>180</v>
      </c>
      <c r="H40" s="17">
        <v>180</v>
      </c>
      <c r="I40" s="17">
        <v>91.7</v>
      </c>
      <c r="J40" s="17">
        <v>91.7</v>
      </c>
      <c r="K40" s="17">
        <v>1800</v>
      </c>
      <c r="L40" s="17">
        <v>21</v>
      </c>
      <c r="M40" s="17">
        <v>21</v>
      </c>
      <c r="N40" s="17">
        <v>0.14000000000000001</v>
      </c>
      <c r="O40" s="17">
        <v>0.139982</v>
      </c>
      <c r="P40" s="17">
        <v>1</v>
      </c>
      <c r="Q40" s="17">
        <v>1.0689789999999999</v>
      </c>
      <c r="R40" s="17">
        <v>-1.8</v>
      </c>
      <c r="S40" s="17">
        <v>-1.801758</v>
      </c>
      <c r="T40" s="17">
        <v>116.04</v>
      </c>
      <c r="U40" s="17">
        <v>116.04689999999999</v>
      </c>
      <c r="V40" s="17">
        <v>3.5</v>
      </c>
      <c r="W40" s="17">
        <v>3.5</v>
      </c>
      <c r="X40" s="17">
        <v>300</v>
      </c>
      <c r="Y40" s="17">
        <v>300</v>
      </c>
      <c r="Z40" s="17">
        <v>3.5</v>
      </c>
      <c r="AA40" s="17">
        <v>3.5</v>
      </c>
      <c r="AB40" s="17">
        <v>300</v>
      </c>
      <c r="AC40" s="17">
        <v>300</v>
      </c>
      <c r="AD40" s="17">
        <v>0</v>
      </c>
      <c r="AE40" s="17">
        <v>83.956829999999997</v>
      </c>
      <c r="AF40" s="17">
        <v>0</v>
      </c>
      <c r="AG40" s="17">
        <v>92.337810000000005</v>
      </c>
      <c r="AH40" s="17">
        <v>43</v>
      </c>
      <c r="AI40" s="17">
        <v>0.23</v>
      </c>
      <c r="AJ40" s="17">
        <v>45.99</v>
      </c>
      <c r="AK40" s="17">
        <v>59.32</v>
      </c>
      <c r="AL40" s="17">
        <v>38.270000000000003</v>
      </c>
      <c r="AM40" s="17">
        <v>38.68</v>
      </c>
      <c r="AN40" s="17">
        <v>335.23</v>
      </c>
      <c r="AO40" s="17">
        <v>117.6802</v>
      </c>
      <c r="AP40" s="17">
        <v>14.94</v>
      </c>
      <c r="AQ40" s="17">
        <v>51.4</v>
      </c>
      <c r="AR40" s="17">
        <v>24.33</v>
      </c>
      <c r="AS40" s="17">
        <v>371.43</v>
      </c>
      <c r="AT40" s="17">
        <v>23.33</v>
      </c>
      <c r="AU40" s="17">
        <v>39.049999999999997</v>
      </c>
      <c r="AV40" s="17">
        <v>94.91</v>
      </c>
      <c r="AW40" s="17">
        <v>117.98</v>
      </c>
      <c r="AX40" s="17">
        <v>0.31900000000000001</v>
      </c>
      <c r="AY40" s="17">
        <v>4.63</v>
      </c>
      <c r="AZ40" s="17">
        <v>2.0165999999999999</v>
      </c>
      <c r="BA40" s="17">
        <v>181.27</v>
      </c>
      <c r="BB40" s="17">
        <v>70.61</v>
      </c>
      <c r="BC40" s="17">
        <v>5.38</v>
      </c>
      <c r="BD40" s="17">
        <v>0.72</v>
      </c>
      <c r="BE40" s="17">
        <v>13.24</v>
      </c>
      <c r="BF40" s="17">
        <v>3.59</v>
      </c>
      <c r="BG40" s="17">
        <v>236.46</v>
      </c>
      <c r="BH40" s="17">
        <v>13.43</v>
      </c>
      <c r="BI40" s="17">
        <v>0.14000000000000001</v>
      </c>
      <c r="BJ40" s="17">
        <v>272.60000000000002</v>
      </c>
      <c r="BK40" s="17">
        <v>40.1</v>
      </c>
      <c r="BL40" s="17">
        <v>84.9</v>
      </c>
      <c r="BM40" s="17">
        <v>57.58</v>
      </c>
      <c r="BN40" s="17">
        <v>1.33</v>
      </c>
      <c r="BO40" s="17">
        <v>29.64</v>
      </c>
      <c r="BP40" s="17">
        <v>33.93</v>
      </c>
      <c r="BQ40" s="17">
        <v>380.52</v>
      </c>
      <c r="BR40" s="17">
        <v>41.312809999999999</v>
      </c>
      <c r="BS40" s="17">
        <v>139.7371</v>
      </c>
      <c r="BT40" s="17">
        <v>105.36539999999999</v>
      </c>
      <c r="BU40" s="17">
        <v>91.030860000000004</v>
      </c>
      <c r="BV40" s="17">
        <v>89.339640000000003</v>
      </c>
      <c r="BW40" s="17">
        <v>0</v>
      </c>
      <c r="BX40" s="17">
        <v>0</v>
      </c>
      <c r="BY40" s="17">
        <v>22.199269999999999</v>
      </c>
      <c r="BZ40" s="17">
        <v>18.995360000000002</v>
      </c>
      <c r="CA40" s="17">
        <v>0</v>
      </c>
      <c r="CB40" s="17">
        <v>0.93506599999999995</v>
      </c>
      <c r="CC40" s="17">
        <v>459.80520000000001</v>
      </c>
      <c r="CD40" s="17">
        <v>467.44850000000002</v>
      </c>
      <c r="CE40" s="17">
        <v>29.199269999999999</v>
      </c>
      <c r="CF40" s="17">
        <v>318.12</v>
      </c>
      <c r="CG40" s="17">
        <v>65.209999999999994</v>
      </c>
      <c r="CH40" s="17">
        <v>83.68</v>
      </c>
      <c r="CI40" s="17">
        <v>309.23</v>
      </c>
      <c r="CJ40" s="17">
        <v>304.72000000000003</v>
      </c>
      <c r="CK40" s="17">
        <v>315.70999999999998</v>
      </c>
      <c r="CL40" s="17">
        <v>331.92</v>
      </c>
      <c r="CM40" s="17">
        <v>324.54000000000002</v>
      </c>
      <c r="CN40" s="17">
        <v>326.77</v>
      </c>
      <c r="CO40" s="17">
        <v>281</v>
      </c>
      <c r="CP40" s="17">
        <v>22.48</v>
      </c>
      <c r="CQ40" s="17">
        <v>179.2</v>
      </c>
      <c r="CR40" s="17">
        <v>180.05</v>
      </c>
      <c r="CS40" s="17">
        <v>3.2</v>
      </c>
      <c r="CT40" s="17">
        <v>3.2</v>
      </c>
    </row>
    <row r="41" spans="1:133" x14ac:dyDescent="0.25">
      <c r="A41" s="72"/>
      <c r="B41" s="17">
        <v>24</v>
      </c>
      <c r="C41" s="18">
        <v>2.5960648148148149E-2</v>
      </c>
      <c r="D41" s="17">
        <v>5</v>
      </c>
      <c r="E41" s="17">
        <v>23</v>
      </c>
      <c r="F41" s="17">
        <v>180</v>
      </c>
      <c r="G41" s="17">
        <v>180</v>
      </c>
      <c r="H41" s="17">
        <v>180</v>
      </c>
      <c r="I41" s="17">
        <v>91.7</v>
      </c>
      <c r="J41" s="17">
        <v>91.7</v>
      </c>
      <c r="K41" s="17">
        <v>1800</v>
      </c>
      <c r="L41" s="17">
        <v>21</v>
      </c>
      <c r="M41" s="17">
        <v>21</v>
      </c>
      <c r="N41" s="17">
        <v>0.14000000000000001</v>
      </c>
      <c r="O41" s="17">
        <v>0.140099</v>
      </c>
      <c r="P41" s="17">
        <v>1</v>
      </c>
      <c r="Q41" s="17">
        <v>1.068859</v>
      </c>
      <c r="R41" s="17">
        <v>-1.8</v>
      </c>
      <c r="S41" s="17">
        <v>-1.801758</v>
      </c>
      <c r="T41" s="17">
        <v>116.04</v>
      </c>
      <c r="U41" s="17">
        <v>116.04689999999999</v>
      </c>
      <c r="V41" s="17">
        <v>3.5</v>
      </c>
      <c r="W41" s="17">
        <v>3.5</v>
      </c>
      <c r="X41" s="17">
        <v>300</v>
      </c>
      <c r="Y41" s="17">
        <v>300</v>
      </c>
      <c r="Z41" s="17">
        <v>3.5</v>
      </c>
      <c r="AA41" s="17">
        <v>3.5</v>
      </c>
      <c r="AB41" s="17">
        <v>300</v>
      </c>
      <c r="AC41" s="17">
        <v>300</v>
      </c>
      <c r="AD41" s="17">
        <v>0</v>
      </c>
      <c r="AE41" s="17">
        <v>80.523229999999998</v>
      </c>
      <c r="AF41" s="17">
        <v>0</v>
      </c>
      <c r="AG41" s="17">
        <v>88.561869999999999</v>
      </c>
      <c r="AH41" s="17">
        <v>43</v>
      </c>
      <c r="AI41" s="17">
        <v>0.23</v>
      </c>
      <c r="AJ41" s="17">
        <v>46.05</v>
      </c>
      <c r="AK41" s="17">
        <v>60.32</v>
      </c>
      <c r="AL41" s="17">
        <v>39.89</v>
      </c>
      <c r="AM41" s="17">
        <v>40.6</v>
      </c>
      <c r="AN41" s="17">
        <v>349.09</v>
      </c>
      <c r="AO41" s="17">
        <v>118.54049999999999</v>
      </c>
      <c r="AP41" s="17">
        <v>16.53</v>
      </c>
      <c r="AQ41" s="17">
        <v>55.91</v>
      </c>
      <c r="AR41" s="17">
        <v>26.19</v>
      </c>
      <c r="AS41" s="17">
        <v>368.31</v>
      </c>
      <c r="AT41" s="17">
        <v>23.35</v>
      </c>
      <c r="AU41" s="17">
        <v>55.96</v>
      </c>
      <c r="AV41" s="17">
        <v>95.28</v>
      </c>
      <c r="AW41" s="17">
        <v>110.66</v>
      </c>
      <c r="AX41" s="17">
        <v>0.31900000000000001</v>
      </c>
      <c r="AY41" s="17">
        <v>4.62</v>
      </c>
      <c r="AZ41" s="17">
        <v>2.6436999999999999</v>
      </c>
      <c r="BA41" s="17">
        <v>153.13</v>
      </c>
      <c r="BB41" s="17">
        <v>35.42</v>
      </c>
      <c r="BC41" s="17">
        <v>5.51</v>
      </c>
      <c r="BD41" s="17">
        <v>0.75</v>
      </c>
      <c r="BE41" s="17">
        <v>13.05</v>
      </c>
      <c r="BF41" s="17">
        <v>3.95</v>
      </c>
      <c r="BG41" s="17">
        <v>262.18</v>
      </c>
      <c r="BH41" s="17">
        <v>13.59</v>
      </c>
      <c r="BI41" s="17">
        <v>0.18</v>
      </c>
      <c r="BJ41" s="17">
        <v>274.2</v>
      </c>
      <c r="BK41" s="17">
        <v>39.6</v>
      </c>
      <c r="BL41" s="17">
        <v>87.8</v>
      </c>
      <c r="BM41" s="17">
        <v>57.94</v>
      </c>
      <c r="BN41" s="17">
        <v>1.28</v>
      </c>
      <c r="BO41" s="17">
        <v>29.65</v>
      </c>
      <c r="BP41" s="17">
        <v>34</v>
      </c>
      <c r="BQ41" s="17">
        <v>377.59</v>
      </c>
      <c r="BR41" s="17">
        <v>57.477339999999998</v>
      </c>
      <c r="BS41" s="17">
        <v>141.00729999999999</v>
      </c>
      <c r="BT41" s="17">
        <v>104.6658</v>
      </c>
      <c r="BU41" s="17">
        <v>86.433840000000004</v>
      </c>
      <c r="BV41" s="17">
        <v>85.029790000000006</v>
      </c>
      <c r="BW41" s="17">
        <v>0</v>
      </c>
      <c r="BX41" s="17">
        <v>0</v>
      </c>
      <c r="BY41" s="17">
        <v>22.387599999999999</v>
      </c>
      <c r="BZ41" s="17">
        <v>18.995360000000002</v>
      </c>
      <c r="CA41" s="17">
        <v>0</v>
      </c>
      <c r="CB41" s="17">
        <v>0.93506100000000003</v>
      </c>
      <c r="CC41" s="17">
        <v>440.6112</v>
      </c>
      <c r="CD41" s="17">
        <v>448.34519999999998</v>
      </c>
      <c r="CE41" s="17">
        <v>29.387599999999999</v>
      </c>
      <c r="CF41" s="17">
        <v>335.1</v>
      </c>
      <c r="CG41" s="17">
        <v>75.25</v>
      </c>
      <c r="CH41" s="17">
        <v>87.57</v>
      </c>
      <c r="CI41" s="17">
        <v>319.3</v>
      </c>
      <c r="CJ41" s="17">
        <v>316.10000000000002</v>
      </c>
      <c r="CK41" s="17">
        <v>328.1</v>
      </c>
      <c r="CL41" s="17">
        <v>348.61</v>
      </c>
      <c r="CM41" s="17">
        <v>339.59</v>
      </c>
      <c r="CN41" s="17">
        <v>342.25</v>
      </c>
      <c r="CO41" s="17">
        <v>296.14</v>
      </c>
      <c r="CP41" s="17">
        <v>24.28</v>
      </c>
      <c r="CQ41" s="17">
        <v>179.4</v>
      </c>
      <c r="CR41" s="17">
        <v>180.05</v>
      </c>
      <c r="CS41" s="17">
        <v>3.2</v>
      </c>
      <c r="CT41" s="17">
        <v>3.2</v>
      </c>
    </row>
    <row r="42" spans="1:133" x14ac:dyDescent="0.25">
      <c r="A42" s="72"/>
      <c r="B42" s="19">
        <v>25</v>
      </c>
      <c r="C42" s="20">
        <v>3.426736111111111E-2</v>
      </c>
      <c r="D42" s="19">
        <v>5</v>
      </c>
      <c r="E42" s="19">
        <v>23</v>
      </c>
      <c r="F42" s="19">
        <v>180</v>
      </c>
      <c r="G42" s="19">
        <v>180</v>
      </c>
      <c r="H42" s="19">
        <v>180</v>
      </c>
      <c r="I42" s="19">
        <v>91.7</v>
      </c>
      <c r="J42" s="19">
        <v>91.7</v>
      </c>
      <c r="K42" s="19">
        <v>1800</v>
      </c>
      <c r="L42" s="19">
        <v>21</v>
      </c>
      <c r="M42" s="19">
        <v>21</v>
      </c>
      <c r="N42" s="19">
        <v>0.14000000000000001</v>
      </c>
      <c r="O42" s="19">
        <v>0.14010300000000001</v>
      </c>
      <c r="P42" s="19">
        <v>1</v>
      </c>
      <c r="Q42" s="19">
        <v>1.0688660000000001</v>
      </c>
      <c r="R42" s="19">
        <v>-1.8</v>
      </c>
      <c r="S42" s="19">
        <v>-1.801758</v>
      </c>
      <c r="T42" s="19">
        <v>116.04</v>
      </c>
      <c r="U42" s="19">
        <v>116.04689999999999</v>
      </c>
      <c r="V42" s="19">
        <v>3.5</v>
      </c>
      <c r="W42" s="19">
        <v>3.5</v>
      </c>
      <c r="X42" s="19">
        <v>300</v>
      </c>
      <c r="Y42" s="19">
        <v>300</v>
      </c>
      <c r="Z42" s="19">
        <v>3.5</v>
      </c>
      <c r="AA42" s="19">
        <v>3.5</v>
      </c>
      <c r="AB42" s="19">
        <v>300</v>
      </c>
      <c r="AC42" s="19">
        <v>300</v>
      </c>
      <c r="AD42" s="19">
        <v>0</v>
      </c>
      <c r="AE42" s="19">
        <v>83.147710000000004</v>
      </c>
      <c r="AF42" s="19">
        <v>0</v>
      </c>
      <c r="AG42" s="19">
        <v>91.448130000000006</v>
      </c>
      <c r="AH42" s="19">
        <v>43</v>
      </c>
      <c r="AI42" s="19">
        <v>0.23</v>
      </c>
      <c r="AJ42" s="19">
        <v>46.14</v>
      </c>
      <c r="AK42" s="19">
        <v>60.42</v>
      </c>
      <c r="AL42" s="19">
        <v>40.26</v>
      </c>
      <c r="AM42" s="19">
        <v>40.98</v>
      </c>
      <c r="AN42" s="19">
        <v>340.06</v>
      </c>
      <c r="AO42" s="19">
        <v>118.84310000000001</v>
      </c>
      <c r="AP42" s="19">
        <v>16.100000000000001</v>
      </c>
      <c r="AQ42" s="19">
        <v>55.31</v>
      </c>
      <c r="AR42" s="19">
        <v>25.77</v>
      </c>
      <c r="AS42" s="19">
        <v>373.48</v>
      </c>
      <c r="AT42" s="19">
        <v>24.16</v>
      </c>
      <c r="AU42" s="19">
        <v>45.46</v>
      </c>
      <c r="AV42" s="19">
        <v>95.5</v>
      </c>
      <c r="AW42" s="19">
        <v>113.47</v>
      </c>
      <c r="AX42" s="19">
        <v>0.31</v>
      </c>
      <c r="AY42" s="19">
        <v>4.4800000000000004</v>
      </c>
      <c r="AZ42" s="19">
        <v>2.202</v>
      </c>
      <c r="BA42" s="19">
        <v>165.66</v>
      </c>
      <c r="BB42" s="19">
        <v>27.64</v>
      </c>
      <c r="BC42" s="19">
        <v>5.4</v>
      </c>
      <c r="BD42" s="19">
        <v>0.74</v>
      </c>
      <c r="BE42" s="19">
        <v>13.23</v>
      </c>
      <c r="BF42" s="19">
        <v>3.76</v>
      </c>
      <c r="BG42" s="19">
        <v>245.54</v>
      </c>
      <c r="BH42" s="19">
        <v>13.64</v>
      </c>
      <c r="BI42" s="19">
        <v>0.16</v>
      </c>
      <c r="BJ42" s="19">
        <v>272.89999999999998</v>
      </c>
      <c r="BK42" s="19">
        <v>40.299999999999997</v>
      </c>
      <c r="BL42" s="19">
        <v>86.6</v>
      </c>
      <c r="BM42" s="19">
        <v>58.99</v>
      </c>
      <c r="BN42" s="19">
        <v>1.32</v>
      </c>
      <c r="BO42" s="19">
        <v>29.64</v>
      </c>
      <c r="BP42" s="19">
        <v>33.909999999999997</v>
      </c>
      <c r="BQ42" s="19">
        <v>382.86</v>
      </c>
      <c r="BR42" s="19">
        <v>47.54271</v>
      </c>
      <c r="BS42" s="19">
        <v>141.49700000000001</v>
      </c>
      <c r="BT42" s="19">
        <v>104.9238</v>
      </c>
      <c r="BU42" s="19">
        <v>89.78707</v>
      </c>
      <c r="BV42" s="19">
        <v>88.076719999999995</v>
      </c>
      <c r="BW42" s="19">
        <v>0</v>
      </c>
      <c r="BX42" s="19">
        <v>0</v>
      </c>
      <c r="BY42" s="19">
        <v>22.332339999999999</v>
      </c>
      <c r="BZ42" s="19">
        <v>18.995360000000002</v>
      </c>
      <c r="CA42" s="19">
        <v>0</v>
      </c>
      <c r="CB42" s="19">
        <v>0.93506900000000004</v>
      </c>
      <c r="CC42" s="19">
        <v>455.33170000000001</v>
      </c>
      <c r="CD42" s="19">
        <v>463.02330000000001</v>
      </c>
      <c r="CE42" s="19">
        <v>29.315729999999999</v>
      </c>
      <c r="CF42" s="19">
        <v>325.75</v>
      </c>
      <c r="CG42" s="19">
        <v>71.180000000000007</v>
      </c>
      <c r="CH42" s="19">
        <v>86.52</v>
      </c>
      <c r="CI42" s="19">
        <v>312.16000000000003</v>
      </c>
      <c r="CJ42" s="19">
        <v>308.79000000000002</v>
      </c>
      <c r="CK42" s="19">
        <v>320.3</v>
      </c>
      <c r="CL42" s="19">
        <v>339.61</v>
      </c>
      <c r="CM42" s="19">
        <v>329.32</v>
      </c>
      <c r="CN42" s="19">
        <v>333.07</v>
      </c>
      <c r="CO42" s="19">
        <v>287.13</v>
      </c>
      <c r="CP42" s="19">
        <v>24.42</v>
      </c>
      <c r="CQ42" s="19">
        <v>179.4</v>
      </c>
      <c r="CR42" s="19">
        <v>180.05</v>
      </c>
      <c r="CS42" s="19">
        <v>3.2</v>
      </c>
      <c r="CT42" s="19">
        <v>3.2</v>
      </c>
    </row>
    <row r="43" spans="1:133" x14ac:dyDescent="0.25">
      <c r="A43" s="72"/>
      <c r="B43" s="19">
        <v>36</v>
      </c>
      <c r="C43" s="20">
        <v>1.0587962962962964E-2</v>
      </c>
      <c r="D43" s="19">
        <v>5</v>
      </c>
      <c r="E43" s="19">
        <v>34</v>
      </c>
      <c r="F43" s="19">
        <v>180</v>
      </c>
      <c r="G43" s="19">
        <v>180</v>
      </c>
      <c r="H43" s="19">
        <v>180</v>
      </c>
      <c r="I43" s="19">
        <v>91.7</v>
      </c>
      <c r="J43" s="19">
        <v>91.7</v>
      </c>
      <c r="K43" s="19">
        <v>1800</v>
      </c>
      <c r="L43" s="19">
        <v>21</v>
      </c>
      <c r="M43" s="19">
        <v>21</v>
      </c>
      <c r="N43" s="19">
        <v>0.14000000000000001</v>
      </c>
      <c r="O43" s="19">
        <v>0.13996600000000001</v>
      </c>
      <c r="P43" s="19">
        <v>1</v>
      </c>
      <c r="Q43" s="19">
        <v>1.068873</v>
      </c>
      <c r="R43" s="19">
        <v>-1.8</v>
      </c>
      <c r="S43" s="19">
        <v>-1.801758</v>
      </c>
      <c r="T43" s="19">
        <v>116.04</v>
      </c>
      <c r="U43" s="19">
        <v>116.04689999999999</v>
      </c>
      <c r="V43" s="19">
        <v>3.5</v>
      </c>
      <c r="W43" s="19">
        <v>3.5</v>
      </c>
      <c r="X43" s="19">
        <v>300</v>
      </c>
      <c r="Y43" s="19">
        <v>300</v>
      </c>
      <c r="Z43" s="19">
        <v>3.5</v>
      </c>
      <c r="AA43" s="19">
        <v>3.5</v>
      </c>
      <c r="AB43" s="19">
        <v>300</v>
      </c>
      <c r="AC43" s="19">
        <v>300</v>
      </c>
      <c r="AD43" s="19">
        <v>0</v>
      </c>
      <c r="AE43" s="19">
        <v>83.426720000000003</v>
      </c>
      <c r="AF43" s="19">
        <v>0</v>
      </c>
      <c r="AG43" s="19">
        <v>91.756299999999996</v>
      </c>
      <c r="AH43" s="19">
        <v>43</v>
      </c>
      <c r="AI43" s="19">
        <v>0.23</v>
      </c>
      <c r="AJ43" s="19">
        <v>46.52</v>
      </c>
      <c r="AK43" s="19">
        <v>60.63</v>
      </c>
      <c r="AL43" s="19">
        <v>40.56</v>
      </c>
      <c r="AM43" s="19">
        <v>41.53</v>
      </c>
      <c r="AN43" s="19">
        <v>341.56</v>
      </c>
      <c r="AO43" s="19">
        <v>119.0265</v>
      </c>
      <c r="AP43" s="19">
        <v>16.32</v>
      </c>
      <c r="AQ43" s="19">
        <v>56.77</v>
      </c>
      <c r="AR43" s="19">
        <v>26.02</v>
      </c>
      <c r="AS43" s="19">
        <v>378.2</v>
      </c>
      <c r="AT43" s="19">
        <v>24.24</v>
      </c>
      <c r="AU43" s="19">
        <v>44.85</v>
      </c>
      <c r="AV43" s="19">
        <v>95.48</v>
      </c>
      <c r="AW43" s="19">
        <v>110.58</v>
      </c>
      <c r="AX43" s="19">
        <v>0.33400000000000002</v>
      </c>
      <c r="AY43" s="19">
        <v>4.8600000000000003</v>
      </c>
      <c r="AZ43" s="19">
        <v>2.1999</v>
      </c>
      <c r="BA43" s="19">
        <v>167.32</v>
      </c>
      <c r="BB43" s="33">
        <v>-0.08</v>
      </c>
      <c r="BC43" s="19">
        <v>5.39</v>
      </c>
      <c r="BD43" s="19">
        <v>0.73</v>
      </c>
      <c r="BE43" s="19">
        <v>13.21</v>
      </c>
      <c r="BF43" s="19">
        <v>3.34</v>
      </c>
      <c r="BG43" s="19">
        <v>215.15</v>
      </c>
      <c r="BH43" s="19">
        <v>13.64</v>
      </c>
      <c r="BI43" s="19">
        <v>0.15</v>
      </c>
      <c r="BJ43" s="19">
        <v>272.89999999999998</v>
      </c>
      <c r="BK43" s="19">
        <v>40.799999999999997</v>
      </c>
      <c r="BL43" s="19">
        <v>87.4</v>
      </c>
      <c r="BM43" s="19">
        <v>59.75</v>
      </c>
      <c r="BN43" s="19">
        <v>1.32</v>
      </c>
      <c r="BO43" s="19">
        <v>29.63</v>
      </c>
      <c r="BP43" s="19">
        <v>33.85</v>
      </c>
      <c r="BQ43" s="19">
        <v>387.66</v>
      </c>
      <c r="BR43" s="19">
        <v>46.949120000000001</v>
      </c>
      <c r="BS43" s="19">
        <v>142.15119999999999</v>
      </c>
      <c r="BT43" s="19">
        <v>104.5942</v>
      </c>
      <c r="BU43" s="19">
        <v>89.798349999999999</v>
      </c>
      <c r="BV43" s="19">
        <v>88.099739999999997</v>
      </c>
      <c r="BW43" s="19">
        <v>0</v>
      </c>
      <c r="BX43" s="19">
        <v>0</v>
      </c>
      <c r="BY43" s="19">
        <v>22.415209999999998</v>
      </c>
      <c r="BZ43" s="19">
        <v>18.995360000000002</v>
      </c>
      <c r="CA43" s="19">
        <v>0</v>
      </c>
      <c r="CB43" s="19">
        <v>0.93506800000000001</v>
      </c>
      <c r="CC43" s="19">
        <v>456.86959999999999</v>
      </c>
      <c r="CD43" s="19">
        <v>464.59559999999999</v>
      </c>
      <c r="CE43" s="19">
        <v>29.415209999999998</v>
      </c>
      <c r="CF43" s="19">
        <v>328.63</v>
      </c>
      <c r="CG43" s="19">
        <v>72.099999999999994</v>
      </c>
      <c r="CH43" s="19">
        <v>87.23</v>
      </c>
      <c r="CI43" s="19">
        <v>310.76</v>
      </c>
      <c r="CJ43" s="19">
        <v>309.72000000000003</v>
      </c>
      <c r="CK43" s="19">
        <v>320.66000000000003</v>
      </c>
      <c r="CL43" s="19">
        <v>339.38</v>
      </c>
      <c r="CM43" s="19">
        <v>330.76</v>
      </c>
      <c r="CN43" s="19">
        <v>333.37</v>
      </c>
      <c r="CO43" s="19">
        <v>290.79000000000002</v>
      </c>
      <c r="CP43" s="19">
        <v>25.38</v>
      </c>
      <c r="CQ43" s="19">
        <v>179.5</v>
      </c>
      <c r="CR43" s="19">
        <v>180.05</v>
      </c>
      <c r="CS43" s="19">
        <v>3.2</v>
      </c>
      <c r="CT43" s="19">
        <v>3.2</v>
      </c>
      <c r="CU43" s="36" t="s">
        <v>115</v>
      </c>
    </row>
    <row r="44" spans="1:133" x14ac:dyDescent="0.25">
      <c r="A44" s="72"/>
      <c r="B44" s="11">
        <v>37</v>
      </c>
      <c r="C44" s="12">
        <v>1.9493055555555555E-2</v>
      </c>
      <c r="D44" s="11">
        <v>5</v>
      </c>
      <c r="E44" s="11">
        <v>34</v>
      </c>
      <c r="F44" s="11">
        <v>180</v>
      </c>
      <c r="G44" s="11">
        <v>180</v>
      </c>
      <c r="H44" s="11">
        <v>180</v>
      </c>
      <c r="I44" s="11">
        <v>91.7</v>
      </c>
      <c r="J44" s="11">
        <v>91.7</v>
      </c>
      <c r="K44" s="11">
        <v>1800</v>
      </c>
      <c r="L44" s="11">
        <v>21</v>
      </c>
      <c r="M44" s="11">
        <v>21</v>
      </c>
      <c r="N44" s="11">
        <v>0.14000000000000001</v>
      </c>
      <c r="O44" s="11">
        <v>0.139984</v>
      </c>
      <c r="P44" s="11">
        <v>1</v>
      </c>
      <c r="Q44" s="11">
        <v>1.0689200000000001</v>
      </c>
      <c r="R44" s="11">
        <v>-1.8</v>
      </c>
      <c r="S44" s="11">
        <v>-1.801758</v>
      </c>
      <c r="T44" s="11">
        <v>116.04</v>
      </c>
      <c r="U44" s="11">
        <v>116.04689999999999</v>
      </c>
      <c r="V44" s="11">
        <v>3.5</v>
      </c>
      <c r="W44" s="11">
        <v>3.5</v>
      </c>
      <c r="X44" s="11">
        <v>300</v>
      </c>
      <c r="Y44" s="11">
        <v>300</v>
      </c>
      <c r="Z44" s="11">
        <v>3.5</v>
      </c>
      <c r="AA44" s="11">
        <v>3.5</v>
      </c>
      <c r="AB44" s="11">
        <v>300</v>
      </c>
      <c r="AC44" s="11">
        <v>300</v>
      </c>
      <c r="AD44" s="11">
        <v>0</v>
      </c>
      <c r="AE44" s="11">
        <v>83.708179999999999</v>
      </c>
      <c r="AF44" s="11">
        <v>0</v>
      </c>
      <c r="AG44" s="11">
        <v>92.060209999999998</v>
      </c>
      <c r="AH44" s="11">
        <v>43</v>
      </c>
      <c r="AI44" s="11">
        <v>0.23</v>
      </c>
      <c r="AJ44" s="11">
        <v>46.13</v>
      </c>
      <c r="AK44" s="11">
        <v>60.28</v>
      </c>
      <c r="AL44" s="11">
        <v>39.99</v>
      </c>
      <c r="AM44" s="11">
        <v>40.909999999999997</v>
      </c>
      <c r="AN44" s="11">
        <v>337.97</v>
      </c>
      <c r="AO44" s="11">
        <v>118.52630000000001</v>
      </c>
      <c r="AP44" s="11">
        <v>15.72</v>
      </c>
      <c r="AQ44" s="11">
        <v>55.5</v>
      </c>
      <c r="AR44" s="11">
        <v>25.38</v>
      </c>
      <c r="AS44" s="11">
        <v>375.14</v>
      </c>
      <c r="AT44" s="11">
        <v>24.27</v>
      </c>
      <c r="AU44" s="11">
        <v>42.26</v>
      </c>
      <c r="AV44" s="11">
        <v>95.7</v>
      </c>
      <c r="AW44" s="11">
        <v>112.94</v>
      </c>
      <c r="AX44" s="11">
        <v>0.30599999999999999</v>
      </c>
      <c r="AY44" s="11">
        <v>4.42</v>
      </c>
      <c r="AZ44" s="11">
        <v>2.6789999999999998</v>
      </c>
      <c r="BA44" s="11">
        <v>171.47</v>
      </c>
      <c r="BB44" s="11">
        <v>32.46</v>
      </c>
      <c r="BC44" s="11">
        <v>5.33</v>
      </c>
      <c r="BD44" s="11">
        <v>0.73</v>
      </c>
      <c r="BE44" s="11">
        <v>13.26</v>
      </c>
      <c r="BF44" s="11">
        <v>3.65</v>
      </c>
      <c r="BG44" s="11">
        <v>236.86</v>
      </c>
      <c r="BH44" s="11">
        <v>13.73</v>
      </c>
      <c r="BI44" s="11">
        <v>0.19</v>
      </c>
      <c r="BJ44" s="11">
        <v>271.10000000000002</v>
      </c>
      <c r="BK44" s="11">
        <v>40.799999999999997</v>
      </c>
      <c r="BL44" s="11">
        <v>86.5</v>
      </c>
      <c r="BM44" s="11">
        <v>59.73</v>
      </c>
      <c r="BN44" s="11">
        <v>1.33</v>
      </c>
      <c r="BO44" s="11">
        <v>29.64</v>
      </c>
      <c r="BP44" s="11">
        <v>33.85</v>
      </c>
      <c r="BQ44" s="11">
        <v>384.53</v>
      </c>
      <c r="BR44" s="11">
        <v>44.477130000000002</v>
      </c>
      <c r="BS44" s="11">
        <v>141.41</v>
      </c>
      <c r="BT44" s="11">
        <v>105.58159999999999</v>
      </c>
      <c r="BU44" s="11">
        <v>90.982129999999998</v>
      </c>
      <c r="BV44" s="11">
        <v>89.266930000000002</v>
      </c>
      <c r="BW44" s="11">
        <v>0</v>
      </c>
      <c r="BX44" s="11">
        <v>0</v>
      </c>
      <c r="BY44" s="11">
        <v>22.142189999999999</v>
      </c>
      <c r="BZ44" s="11">
        <v>18.995360000000002</v>
      </c>
      <c r="CA44" s="11">
        <v>0</v>
      </c>
      <c r="CB44" s="11">
        <v>0.93506900000000004</v>
      </c>
      <c r="CC44" s="11">
        <v>458.49209999999999</v>
      </c>
      <c r="CD44" s="11">
        <v>466.13380000000001</v>
      </c>
      <c r="CE44" s="11">
        <v>29.133800000000001</v>
      </c>
      <c r="CF44" s="11">
        <v>325.31</v>
      </c>
      <c r="CG44" s="11">
        <v>69.2</v>
      </c>
      <c r="CH44" s="11">
        <v>86.04</v>
      </c>
      <c r="CI44" s="11">
        <v>308.58</v>
      </c>
      <c r="CJ44" s="11">
        <v>306.58999999999997</v>
      </c>
      <c r="CK44" s="11">
        <v>318.55</v>
      </c>
      <c r="CL44" s="11">
        <v>335.4</v>
      </c>
      <c r="CM44" s="11">
        <v>327.69</v>
      </c>
      <c r="CN44" s="11">
        <v>332.07</v>
      </c>
      <c r="CO44" s="11">
        <v>285.47000000000003</v>
      </c>
      <c r="CP44" s="11">
        <v>25.21</v>
      </c>
      <c r="CQ44" s="11">
        <v>179.5</v>
      </c>
      <c r="CR44" s="11">
        <v>180.05</v>
      </c>
      <c r="CS44" s="11">
        <v>3.2</v>
      </c>
      <c r="CT44" s="11">
        <v>3.2</v>
      </c>
    </row>
    <row r="45" spans="1:133" x14ac:dyDescent="0.25">
      <c r="A45" s="72"/>
      <c r="B45" s="11">
        <v>48</v>
      </c>
      <c r="C45" s="12">
        <v>3.7466435185185186E-2</v>
      </c>
      <c r="D45" s="11">
        <v>5</v>
      </c>
      <c r="E45" s="11">
        <v>45</v>
      </c>
      <c r="F45" s="11">
        <v>180</v>
      </c>
      <c r="G45" s="11">
        <v>180</v>
      </c>
      <c r="H45" s="11">
        <v>180</v>
      </c>
      <c r="I45" s="11">
        <v>91.7</v>
      </c>
      <c r="J45" s="11">
        <v>91.7</v>
      </c>
      <c r="K45" s="11">
        <v>1800</v>
      </c>
      <c r="L45" s="11">
        <v>21</v>
      </c>
      <c r="M45" s="11">
        <v>21</v>
      </c>
      <c r="N45" s="11">
        <v>0.14000000000000001</v>
      </c>
      <c r="O45" s="11">
        <v>0.140046</v>
      </c>
      <c r="P45" s="11">
        <v>1</v>
      </c>
      <c r="Q45" s="11">
        <v>1.0688709999999999</v>
      </c>
      <c r="R45" s="11">
        <v>-1.8</v>
      </c>
      <c r="S45" s="11">
        <v>-1.801758</v>
      </c>
      <c r="T45" s="11">
        <v>116.04</v>
      </c>
      <c r="U45" s="11">
        <v>116.04689999999999</v>
      </c>
      <c r="V45" s="11">
        <v>3.5</v>
      </c>
      <c r="W45" s="11">
        <v>3.5</v>
      </c>
      <c r="X45" s="11">
        <v>300</v>
      </c>
      <c r="Y45" s="11">
        <v>300</v>
      </c>
      <c r="Z45" s="11">
        <v>3.5</v>
      </c>
      <c r="AA45" s="11">
        <v>3.5</v>
      </c>
      <c r="AB45" s="11">
        <v>300</v>
      </c>
      <c r="AC45" s="11">
        <v>300</v>
      </c>
      <c r="AD45" s="11">
        <v>0</v>
      </c>
      <c r="AE45" s="11">
        <v>81.613799999999998</v>
      </c>
      <c r="AF45" s="11">
        <v>0</v>
      </c>
      <c r="AG45" s="11">
        <v>89.76146</v>
      </c>
      <c r="AH45" s="11">
        <v>43</v>
      </c>
      <c r="AI45" s="11">
        <v>0.23</v>
      </c>
      <c r="AJ45" s="11">
        <v>46.65</v>
      </c>
      <c r="AK45" s="11">
        <v>61.23</v>
      </c>
      <c r="AL45" s="11">
        <v>40.729999999999997</v>
      </c>
      <c r="AM45" s="11">
        <v>41.68</v>
      </c>
      <c r="AN45" s="11">
        <v>349.36</v>
      </c>
      <c r="AO45" s="11">
        <v>119.4153</v>
      </c>
      <c r="AP45" s="11">
        <v>17.350000000000001</v>
      </c>
      <c r="AQ45" s="11">
        <v>58.61</v>
      </c>
      <c r="AR45" s="11">
        <v>27.05</v>
      </c>
      <c r="AS45" s="11">
        <v>371.11</v>
      </c>
      <c r="AT45" s="11">
        <v>23.37</v>
      </c>
      <c r="AU45" s="11">
        <v>53.47</v>
      </c>
      <c r="AV45" s="11">
        <v>95.52</v>
      </c>
      <c r="AW45" s="11">
        <v>118.07</v>
      </c>
      <c r="AX45" s="11">
        <v>0.32100000000000001</v>
      </c>
      <c r="AY45" s="11">
        <v>4.6500000000000004</v>
      </c>
      <c r="AZ45" s="11">
        <v>2.734</v>
      </c>
      <c r="BA45" s="11">
        <v>155.08000000000001</v>
      </c>
      <c r="BB45" s="33">
        <v>-7.0000000000000007E-2</v>
      </c>
      <c r="BC45" s="11">
        <v>5.46</v>
      </c>
      <c r="BD45" s="11">
        <v>0.74</v>
      </c>
      <c r="BE45" s="11">
        <v>13.09</v>
      </c>
      <c r="BF45" s="11">
        <v>3.62</v>
      </c>
      <c r="BG45" s="11">
        <v>238.14</v>
      </c>
      <c r="BH45" s="11">
        <v>13.46</v>
      </c>
      <c r="BI45" s="11">
        <v>0.19</v>
      </c>
      <c r="BJ45" s="11">
        <v>274.39999999999998</v>
      </c>
      <c r="BK45" s="11">
        <v>39.9</v>
      </c>
      <c r="BL45" s="11">
        <v>87.2</v>
      </c>
      <c r="BM45" s="11">
        <v>57.74</v>
      </c>
      <c r="BN45" s="11">
        <v>1.3</v>
      </c>
      <c r="BO45" s="11">
        <v>29.64</v>
      </c>
      <c r="BP45" s="11">
        <v>33.96</v>
      </c>
      <c r="BQ45" s="11">
        <v>380.5</v>
      </c>
      <c r="BR45" s="11">
        <v>55.249789999999997</v>
      </c>
      <c r="BS45" s="11">
        <v>141.92250000000001</v>
      </c>
      <c r="BT45" s="11">
        <v>104.7217</v>
      </c>
      <c r="BU45" s="11">
        <v>88.018829999999994</v>
      </c>
      <c r="BV45" s="11">
        <v>86.261480000000006</v>
      </c>
      <c r="BW45" s="11">
        <v>0</v>
      </c>
      <c r="BX45" s="11">
        <v>0</v>
      </c>
      <c r="BY45" s="11">
        <v>22.380520000000001</v>
      </c>
      <c r="BZ45" s="11">
        <v>18.995360000000002</v>
      </c>
      <c r="CA45" s="11">
        <v>0</v>
      </c>
      <c r="CB45" s="11">
        <v>0.93506900000000004</v>
      </c>
      <c r="CC45" s="11">
        <v>446.75790000000001</v>
      </c>
      <c r="CD45" s="11">
        <v>454.47190000000001</v>
      </c>
      <c r="CE45" s="11">
        <v>29.380939999999999</v>
      </c>
      <c r="CF45" s="11">
        <v>335.95</v>
      </c>
      <c r="CG45" s="11">
        <v>77</v>
      </c>
      <c r="CH45" s="11">
        <v>88.93</v>
      </c>
      <c r="CI45" s="11">
        <v>315.8</v>
      </c>
      <c r="CJ45" s="11">
        <v>315.56</v>
      </c>
      <c r="CK45" s="11">
        <v>326.43</v>
      </c>
      <c r="CL45" s="11">
        <v>348.54</v>
      </c>
      <c r="CM45" s="11">
        <v>338.09</v>
      </c>
      <c r="CN45" s="11">
        <v>342.29</v>
      </c>
      <c r="CO45" s="11">
        <v>298.92</v>
      </c>
      <c r="CP45" s="11">
        <v>24.87</v>
      </c>
      <c r="CQ45" s="11">
        <v>179.5</v>
      </c>
      <c r="CR45" s="11">
        <v>180.05</v>
      </c>
      <c r="CS45" s="11">
        <v>3.2</v>
      </c>
      <c r="CT45" s="11">
        <v>3.2</v>
      </c>
      <c r="CU45" s="36" t="s">
        <v>115</v>
      </c>
    </row>
    <row r="46" spans="1:133" x14ac:dyDescent="0.25">
      <c r="A46" s="72" t="s">
        <v>101</v>
      </c>
      <c r="B46" s="24">
        <v>1</v>
      </c>
      <c r="C46" s="25">
        <v>41395.391418391206</v>
      </c>
      <c r="D46" s="24">
        <v>6</v>
      </c>
      <c r="E46" s="24">
        <v>1</v>
      </c>
      <c r="F46" s="24">
        <v>250</v>
      </c>
      <c r="G46" s="24">
        <v>250</v>
      </c>
      <c r="H46" s="24">
        <v>250</v>
      </c>
      <c r="I46" s="24">
        <v>91.7</v>
      </c>
      <c r="J46" s="24">
        <v>91.7</v>
      </c>
      <c r="K46" s="24">
        <v>1800</v>
      </c>
      <c r="L46" s="24">
        <v>19</v>
      </c>
      <c r="M46" s="24">
        <v>19</v>
      </c>
      <c r="N46" s="24">
        <v>0.16</v>
      </c>
      <c r="O46" s="24">
        <v>0.159912</v>
      </c>
      <c r="P46" s="24">
        <v>1</v>
      </c>
      <c r="Q46" s="24">
        <v>1.0695889999999999</v>
      </c>
      <c r="R46" s="24">
        <v>-3.23</v>
      </c>
      <c r="S46" s="24">
        <v>-3.2299799999999999</v>
      </c>
      <c r="T46" s="24">
        <v>122.76</v>
      </c>
      <c r="U46" s="24">
        <v>122.76560000000001</v>
      </c>
      <c r="V46" s="24">
        <v>3.5</v>
      </c>
      <c r="W46" s="24">
        <v>3.5</v>
      </c>
      <c r="X46" s="24">
        <v>300</v>
      </c>
      <c r="Y46" s="24">
        <v>300</v>
      </c>
      <c r="Z46" s="24">
        <v>3.5</v>
      </c>
      <c r="AA46" s="24">
        <v>3.5</v>
      </c>
      <c r="AB46" s="24">
        <v>300</v>
      </c>
      <c r="AC46" s="24">
        <v>300</v>
      </c>
      <c r="AD46" s="24">
        <v>0</v>
      </c>
      <c r="AE46" s="24">
        <v>86.445520000000002</v>
      </c>
      <c r="AF46" s="24">
        <v>0</v>
      </c>
      <c r="AG46" s="24">
        <v>87.027600000000007</v>
      </c>
      <c r="AH46" s="24">
        <v>39</v>
      </c>
      <c r="AI46" s="24">
        <v>0.17</v>
      </c>
      <c r="AJ46" s="24">
        <v>48.45</v>
      </c>
      <c r="AK46" s="24">
        <v>64.98</v>
      </c>
      <c r="AL46" s="24">
        <v>42.69</v>
      </c>
      <c r="AM46" s="24">
        <v>42.78</v>
      </c>
      <c r="AN46" s="24">
        <v>414.71</v>
      </c>
      <c r="AO46" s="24">
        <v>124.2003</v>
      </c>
      <c r="AP46" s="24">
        <v>21.41</v>
      </c>
      <c r="AQ46" s="24">
        <v>56.55</v>
      </c>
      <c r="AR46" s="24">
        <v>32.21</v>
      </c>
      <c r="AS46" s="24">
        <v>389.25</v>
      </c>
      <c r="AT46" s="24">
        <v>21.28</v>
      </c>
      <c r="AU46" s="24">
        <v>47.17</v>
      </c>
      <c r="AV46" s="24">
        <v>96.24</v>
      </c>
      <c r="AW46" s="24">
        <v>119.38</v>
      </c>
      <c r="AX46" s="24">
        <v>0.41099999999999998</v>
      </c>
      <c r="AY46" s="24">
        <v>6.12</v>
      </c>
      <c r="AZ46" s="24">
        <v>17.2057</v>
      </c>
      <c r="BA46" s="24">
        <v>197.48</v>
      </c>
      <c r="BB46" s="24">
        <v>85.31</v>
      </c>
      <c r="BC46" s="24">
        <v>6.8</v>
      </c>
      <c r="BD46" s="24">
        <v>0.92</v>
      </c>
      <c r="BE46" s="24">
        <v>11.43</v>
      </c>
      <c r="BF46" s="24">
        <v>3</v>
      </c>
      <c r="BG46" s="24">
        <v>268.42</v>
      </c>
      <c r="BH46" s="24">
        <v>13.47</v>
      </c>
      <c r="BI46" s="24">
        <v>0.97</v>
      </c>
      <c r="BJ46" s="24">
        <v>252.3</v>
      </c>
      <c r="BK46" s="24">
        <v>32.700000000000003</v>
      </c>
      <c r="BL46" s="24">
        <v>86.2</v>
      </c>
      <c r="BM46" s="24">
        <v>60.56</v>
      </c>
      <c r="BN46" s="24">
        <v>1.38</v>
      </c>
      <c r="BO46" s="24">
        <v>29.78</v>
      </c>
      <c r="BP46" s="24">
        <v>35.020000000000003</v>
      </c>
      <c r="BQ46" s="24">
        <v>401.04</v>
      </c>
      <c r="BR46" s="24">
        <v>48.979579999999999</v>
      </c>
      <c r="BS46" s="24">
        <v>144.1628</v>
      </c>
      <c r="BT46" s="24">
        <v>86.111850000000004</v>
      </c>
      <c r="BU46" s="24">
        <v>67.010720000000006</v>
      </c>
      <c r="BV46" s="24">
        <v>66.173439999999999</v>
      </c>
      <c r="BW46" s="24">
        <v>1.8141000000000001E-2</v>
      </c>
      <c r="BX46" s="24">
        <v>2.0678999999999999E-2</v>
      </c>
      <c r="BY46" s="24">
        <v>32.545830000000002</v>
      </c>
      <c r="BZ46" s="24">
        <v>18.995360000000002</v>
      </c>
      <c r="CA46" s="24">
        <v>0</v>
      </c>
      <c r="CB46" s="24">
        <v>0.93510099999999996</v>
      </c>
      <c r="CC46" s="24">
        <v>473.73809999999997</v>
      </c>
      <c r="CD46" s="24">
        <v>484.13810000000001</v>
      </c>
      <c r="CE46" s="24">
        <v>39.545830000000002</v>
      </c>
      <c r="CF46" s="24">
        <v>380.48</v>
      </c>
      <c r="CG46" s="24">
        <v>68.44</v>
      </c>
      <c r="CH46" s="24">
        <v>83.73</v>
      </c>
      <c r="CI46" s="24">
        <v>369.23</v>
      </c>
      <c r="CJ46" s="24">
        <v>364.44</v>
      </c>
      <c r="CK46" s="24">
        <v>373.86</v>
      </c>
      <c r="CL46" s="24">
        <v>399.13</v>
      </c>
      <c r="CM46" s="24">
        <v>390.42</v>
      </c>
      <c r="CN46" s="24">
        <v>389.86</v>
      </c>
      <c r="CO46" s="24">
        <v>344.99</v>
      </c>
      <c r="CP46" s="24">
        <v>21.49</v>
      </c>
      <c r="CQ46" s="24">
        <v>248.7</v>
      </c>
      <c r="CR46" s="24">
        <v>250.05</v>
      </c>
      <c r="CS46" s="24">
        <v>4.5</v>
      </c>
      <c r="CT46" s="24">
        <v>4.5</v>
      </c>
    </row>
    <row r="47" spans="1:133" x14ac:dyDescent="0.25">
      <c r="A47" s="72"/>
      <c r="B47" s="24">
        <v>19</v>
      </c>
      <c r="C47" s="25">
        <v>41395.505296157404</v>
      </c>
      <c r="D47" s="24">
        <v>6</v>
      </c>
      <c r="E47" s="24">
        <v>12</v>
      </c>
      <c r="F47" s="24">
        <v>250</v>
      </c>
      <c r="G47" s="24">
        <v>250</v>
      </c>
      <c r="H47" s="24">
        <v>250</v>
      </c>
      <c r="I47" s="24">
        <v>91.7</v>
      </c>
      <c r="J47" s="24">
        <v>91.7</v>
      </c>
      <c r="K47" s="24">
        <v>1800</v>
      </c>
      <c r="L47" s="24">
        <v>19</v>
      </c>
      <c r="M47" s="24">
        <v>19</v>
      </c>
      <c r="N47" s="24">
        <v>0.16</v>
      </c>
      <c r="O47" s="24">
        <v>0.15991900000000001</v>
      </c>
      <c r="P47" s="24">
        <v>1</v>
      </c>
      <c r="Q47" s="24">
        <v>1.069491</v>
      </c>
      <c r="R47" s="24">
        <v>-3.23</v>
      </c>
      <c r="S47" s="24">
        <v>-3.2299799999999999</v>
      </c>
      <c r="T47" s="24">
        <v>122.76</v>
      </c>
      <c r="U47" s="24">
        <v>122.76560000000001</v>
      </c>
      <c r="V47" s="24">
        <v>3.5</v>
      </c>
      <c r="W47" s="24">
        <v>3.5</v>
      </c>
      <c r="X47" s="24">
        <v>300</v>
      </c>
      <c r="Y47" s="24">
        <v>300</v>
      </c>
      <c r="Z47" s="24">
        <v>3.5</v>
      </c>
      <c r="AA47" s="24">
        <v>3.5</v>
      </c>
      <c r="AB47" s="24">
        <v>300</v>
      </c>
      <c r="AC47" s="24">
        <v>300</v>
      </c>
      <c r="AD47" s="24">
        <v>0</v>
      </c>
      <c r="AE47" s="24">
        <v>84.439269999999993</v>
      </c>
      <c r="AF47" s="24">
        <v>0</v>
      </c>
      <c r="AG47" s="24">
        <v>84.441980000000001</v>
      </c>
      <c r="AH47" s="24">
        <v>39</v>
      </c>
      <c r="AI47" s="24">
        <v>0.17</v>
      </c>
      <c r="AJ47" s="24">
        <v>47.76</v>
      </c>
      <c r="AK47" s="24">
        <v>64.87</v>
      </c>
      <c r="AL47" s="24">
        <v>42.68</v>
      </c>
      <c r="AM47" s="24">
        <v>43.79</v>
      </c>
      <c r="AN47" s="24">
        <v>432.8</v>
      </c>
      <c r="AO47" s="24">
        <v>123.31059999999999</v>
      </c>
      <c r="AP47" s="24">
        <v>20.7</v>
      </c>
      <c r="AQ47" s="24">
        <v>63.96</v>
      </c>
      <c r="AR47" s="24">
        <v>31.8</v>
      </c>
      <c r="AS47" s="24">
        <v>379.93</v>
      </c>
      <c r="AT47" s="24">
        <v>22</v>
      </c>
      <c r="AU47" s="24">
        <v>52.72</v>
      </c>
      <c r="AV47" s="24">
        <v>96.67</v>
      </c>
      <c r="AW47" s="24">
        <v>112.55</v>
      </c>
      <c r="AX47" s="24">
        <v>0.47299999999999998</v>
      </c>
      <c r="AY47" s="24">
        <v>7.18</v>
      </c>
      <c r="AZ47" s="60">
        <v>10000000000</v>
      </c>
      <c r="BA47" s="24">
        <v>196.15</v>
      </c>
      <c r="BB47" s="24">
        <v>79.97</v>
      </c>
      <c r="BC47" s="24">
        <v>7</v>
      </c>
      <c r="BD47" s="24">
        <v>0.97</v>
      </c>
      <c r="BE47" s="24">
        <v>11.05</v>
      </c>
      <c r="BF47" s="24">
        <v>2.92</v>
      </c>
      <c r="BG47" s="24">
        <v>269.05</v>
      </c>
      <c r="BH47" s="24">
        <v>13.8</v>
      </c>
      <c r="BI47" s="24">
        <v>10000000000</v>
      </c>
      <c r="BJ47" s="24">
        <v>256.8</v>
      </c>
      <c r="BK47" s="24">
        <v>31.4</v>
      </c>
      <c r="BL47" s="24">
        <v>86.4</v>
      </c>
      <c r="BM47" s="24">
        <v>60.79</v>
      </c>
      <c r="BN47" s="24">
        <v>1.35</v>
      </c>
      <c r="BO47" s="24">
        <v>29.84</v>
      </c>
      <c r="BP47" s="24">
        <v>35.270000000000003</v>
      </c>
      <c r="BQ47" s="24">
        <v>391.95</v>
      </c>
      <c r="BR47" s="24">
        <v>54.479059999999997</v>
      </c>
      <c r="BS47" s="24">
        <v>143.8425</v>
      </c>
      <c r="BT47" s="24">
        <v>84.420649999999995</v>
      </c>
      <c r="BU47" s="24">
        <v>63.679690000000001</v>
      </c>
      <c r="BV47" s="24">
        <v>63.302010000000003</v>
      </c>
      <c r="BW47" s="24">
        <v>2.1478000000000001E-2</v>
      </c>
      <c r="BX47" s="24">
        <v>2.3753E-2</v>
      </c>
      <c r="BY47" s="24">
        <v>33.380679999999998</v>
      </c>
      <c r="BZ47" s="24">
        <v>18.995360000000002</v>
      </c>
      <c r="CA47" s="24">
        <v>0</v>
      </c>
      <c r="CB47" s="24">
        <v>0.93502700000000005</v>
      </c>
      <c r="CC47" s="24">
        <v>462.47789999999998</v>
      </c>
      <c r="CD47" s="24">
        <v>473.11250000000001</v>
      </c>
      <c r="CE47" s="24">
        <v>40.379530000000003</v>
      </c>
      <c r="CF47" s="24">
        <v>400.26</v>
      </c>
      <c r="CG47" s="24">
        <v>75.930000000000007</v>
      </c>
      <c r="CH47" s="24">
        <v>87.82</v>
      </c>
      <c r="CI47" s="24">
        <v>373.75</v>
      </c>
      <c r="CJ47" s="24">
        <v>374.84</v>
      </c>
      <c r="CK47" s="24">
        <v>388.24</v>
      </c>
      <c r="CL47" s="24">
        <v>424.42</v>
      </c>
      <c r="CM47" s="24">
        <v>404.88</v>
      </c>
      <c r="CN47" s="24">
        <v>406.23</v>
      </c>
      <c r="CO47" s="24">
        <v>368.02</v>
      </c>
      <c r="CP47" s="24">
        <v>26.52</v>
      </c>
      <c r="CQ47" s="24">
        <v>249.4</v>
      </c>
      <c r="CR47" s="24">
        <v>250.05</v>
      </c>
      <c r="CS47" s="24">
        <v>4.5</v>
      </c>
      <c r="CT47" s="24">
        <v>4.5</v>
      </c>
    </row>
    <row r="48" spans="1:133" x14ac:dyDescent="0.25">
      <c r="A48" s="72"/>
      <c r="B48" s="17">
        <v>20</v>
      </c>
      <c r="C48" s="18">
        <v>41395.518070092592</v>
      </c>
      <c r="D48" s="17">
        <v>6</v>
      </c>
      <c r="E48" s="17">
        <v>12</v>
      </c>
      <c r="F48" s="17">
        <v>250</v>
      </c>
      <c r="G48" s="17">
        <v>250</v>
      </c>
      <c r="H48" s="17">
        <v>250</v>
      </c>
      <c r="I48" s="17">
        <v>91.7</v>
      </c>
      <c r="J48" s="17">
        <v>91.7</v>
      </c>
      <c r="K48" s="17">
        <v>1800</v>
      </c>
      <c r="L48" s="17">
        <v>19</v>
      </c>
      <c r="M48" s="17">
        <v>19</v>
      </c>
      <c r="N48" s="17">
        <v>0.16</v>
      </c>
      <c r="O48" s="17">
        <v>0.15995100000000001</v>
      </c>
      <c r="P48" s="17">
        <v>1</v>
      </c>
      <c r="Q48" s="17">
        <v>1.0694999999999999</v>
      </c>
      <c r="R48" s="17">
        <v>-3.23</v>
      </c>
      <c r="S48" s="17">
        <v>-3.2299799999999999</v>
      </c>
      <c r="T48" s="17">
        <v>122.76</v>
      </c>
      <c r="U48" s="17">
        <v>122.76560000000001</v>
      </c>
      <c r="V48" s="17">
        <v>3.5</v>
      </c>
      <c r="W48" s="17">
        <v>3.5</v>
      </c>
      <c r="X48" s="17">
        <v>300</v>
      </c>
      <c r="Y48" s="17">
        <v>300</v>
      </c>
      <c r="Z48" s="17">
        <v>3.5</v>
      </c>
      <c r="AA48" s="17">
        <v>3.5</v>
      </c>
      <c r="AB48" s="17">
        <v>300</v>
      </c>
      <c r="AC48" s="17">
        <v>300</v>
      </c>
      <c r="AD48" s="17">
        <v>0</v>
      </c>
      <c r="AE48" s="17">
        <v>86.344800000000006</v>
      </c>
      <c r="AF48" s="17">
        <v>0</v>
      </c>
      <c r="AG48" s="17">
        <v>86.344999999999999</v>
      </c>
      <c r="AH48" s="17">
        <v>39</v>
      </c>
      <c r="AI48" s="17">
        <v>0.17</v>
      </c>
      <c r="AJ48" s="17">
        <v>47.59</v>
      </c>
      <c r="AK48" s="17">
        <v>64.81</v>
      </c>
      <c r="AL48" s="17">
        <v>42.98</v>
      </c>
      <c r="AM48" s="17">
        <v>43.97</v>
      </c>
      <c r="AN48" s="17">
        <v>419.51</v>
      </c>
      <c r="AO48" s="17">
        <v>122.73399999999999</v>
      </c>
      <c r="AP48" s="17">
        <v>19.77</v>
      </c>
      <c r="AQ48" s="17">
        <v>60.71</v>
      </c>
      <c r="AR48" s="17">
        <v>31.01</v>
      </c>
      <c r="AS48" s="17">
        <v>388.42</v>
      </c>
      <c r="AT48" s="17">
        <v>23.2</v>
      </c>
      <c r="AU48" s="17">
        <v>43.53</v>
      </c>
      <c r="AV48" s="17">
        <v>96.94</v>
      </c>
      <c r="AW48" s="17">
        <v>110.24</v>
      </c>
      <c r="AX48" s="17">
        <v>0.40899999999999997</v>
      </c>
      <c r="AY48" s="17">
        <v>6.08</v>
      </c>
      <c r="AZ48" s="61">
        <v>10000000000</v>
      </c>
      <c r="BA48" s="17">
        <v>212.61</v>
      </c>
      <c r="BB48" s="17">
        <v>89.5</v>
      </c>
      <c r="BC48" s="17">
        <v>6.75</v>
      </c>
      <c r="BD48" s="17">
        <v>0.93</v>
      </c>
      <c r="BE48" s="17">
        <v>11.37</v>
      </c>
      <c r="BF48" s="17">
        <v>2.86</v>
      </c>
      <c r="BG48" s="17">
        <v>256.98</v>
      </c>
      <c r="BH48" s="17">
        <v>13.71</v>
      </c>
      <c r="BI48" s="17">
        <v>10000000000</v>
      </c>
      <c r="BJ48" s="17">
        <v>254.3</v>
      </c>
      <c r="BK48" s="17">
        <v>32.4</v>
      </c>
      <c r="BL48" s="17">
        <v>86.5</v>
      </c>
      <c r="BM48" s="17">
        <v>61.72</v>
      </c>
      <c r="BN48" s="17">
        <v>1.37</v>
      </c>
      <c r="BO48" s="17">
        <v>29.81</v>
      </c>
      <c r="BP48" s="17">
        <v>35.08</v>
      </c>
      <c r="BQ48" s="17">
        <v>400.45</v>
      </c>
      <c r="BR48" s="17">
        <v>45.67427</v>
      </c>
      <c r="BS48" s="17">
        <v>144.1164</v>
      </c>
      <c r="BT48" s="17">
        <v>85.198869999999999</v>
      </c>
      <c r="BU48" s="17">
        <v>65.705129999999997</v>
      </c>
      <c r="BV48" s="17">
        <v>65.104950000000002</v>
      </c>
      <c r="BW48" s="17">
        <v>2.0091999999999999E-2</v>
      </c>
      <c r="BX48" s="17">
        <v>2.3317999999999998E-2</v>
      </c>
      <c r="BY48" s="17">
        <v>33.028489999999998</v>
      </c>
      <c r="BZ48" s="17">
        <v>18.995360000000002</v>
      </c>
      <c r="CA48" s="17">
        <v>0</v>
      </c>
      <c r="CB48" s="17">
        <v>0.93507899999999999</v>
      </c>
      <c r="CC48" s="17">
        <v>473.09539999999998</v>
      </c>
      <c r="CD48" s="17">
        <v>483.6429</v>
      </c>
      <c r="CE48" s="17">
        <v>40.04974</v>
      </c>
      <c r="CF48" s="17">
        <v>387.2</v>
      </c>
      <c r="CG48" s="17">
        <v>69.959999999999994</v>
      </c>
      <c r="CH48" s="17">
        <v>85.13</v>
      </c>
      <c r="CI48" s="17">
        <v>361.36</v>
      </c>
      <c r="CJ48" s="17">
        <v>365.2</v>
      </c>
      <c r="CK48" s="17">
        <v>378.45</v>
      </c>
      <c r="CL48" s="17">
        <v>408.64</v>
      </c>
      <c r="CM48" s="17">
        <v>394.19</v>
      </c>
      <c r="CN48" s="17">
        <v>393.53</v>
      </c>
      <c r="CO48" s="17">
        <v>352.32</v>
      </c>
      <c r="CP48" s="17">
        <v>26.45</v>
      </c>
      <c r="CQ48" s="17">
        <v>249.3</v>
      </c>
      <c r="CR48" s="17">
        <v>250.05</v>
      </c>
      <c r="CS48" s="17">
        <v>4.5</v>
      </c>
      <c r="CT48" s="17">
        <v>4.5</v>
      </c>
    </row>
    <row r="49" spans="1:132" x14ac:dyDescent="0.25">
      <c r="A49" s="72"/>
      <c r="B49" s="17">
        <v>29</v>
      </c>
      <c r="C49" s="18">
        <v>41395.573845069448</v>
      </c>
      <c r="D49" s="17">
        <v>6</v>
      </c>
      <c r="E49" s="17">
        <v>23</v>
      </c>
      <c r="F49" s="17">
        <v>250</v>
      </c>
      <c r="G49" s="17">
        <v>250</v>
      </c>
      <c r="H49" s="17">
        <v>250</v>
      </c>
      <c r="I49" s="17">
        <v>91.7</v>
      </c>
      <c r="J49" s="17">
        <v>91.7</v>
      </c>
      <c r="K49" s="17">
        <v>1800</v>
      </c>
      <c r="L49" s="17">
        <v>19</v>
      </c>
      <c r="M49" s="17">
        <v>19</v>
      </c>
      <c r="N49" s="17">
        <v>0.16</v>
      </c>
      <c r="O49" s="17">
        <v>0.15989600000000001</v>
      </c>
      <c r="P49" s="17">
        <v>1</v>
      </c>
      <c r="Q49" s="17">
        <v>1.0695049999999999</v>
      </c>
      <c r="R49" s="17">
        <v>-3.23</v>
      </c>
      <c r="S49" s="17">
        <v>-3.2299799999999999</v>
      </c>
      <c r="T49" s="17">
        <v>122.76</v>
      </c>
      <c r="U49" s="17">
        <v>122.76560000000001</v>
      </c>
      <c r="V49" s="17">
        <v>3.5</v>
      </c>
      <c r="W49" s="17">
        <v>3.5</v>
      </c>
      <c r="X49" s="17">
        <v>300</v>
      </c>
      <c r="Y49" s="17">
        <v>300</v>
      </c>
      <c r="Z49" s="17">
        <v>3.5</v>
      </c>
      <c r="AA49" s="17">
        <v>3.5</v>
      </c>
      <c r="AB49" s="17">
        <v>300</v>
      </c>
      <c r="AC49" s="17">
        <v>300</v>
      </c>
      <c r="AD49" s="17">
        <v>0</v>
      </c>
      <c r="AE49" s="17">
        <v>85.2851</v>
      </c>
      <c r="AF49" s="17">
        <v>0</v>
      </c>
      <c r="AG49" s="17">
        <v>85.2851</v>
      </c>
      <c r="AH49" s="17">
        <v>39</v>
      </c>
      <c r="AI49" s="17">
        <v>0.17</v>
      </c>
      <c r="AJ49" s="17">
        <v>48</v>
      </c>
      <c r="AK49" s="17">
        <v>65.150000000000006</v>
      </c>
      <c r="AL49" s="17">
        <v>43.27</v>
      </c>
      <c r="AM49" s="17">
        <v>44.41</v>
      </c>
      <c r="AN49" s="17">
        <v>427.94</v>
      </c>
      <c r="AO49" s="17">
        <v>123.43089999999999</v>
      </c>
      <c r="AP49" s="17">
        <v>20.83</v>
      </c>
      <c r="AQ49" s="17">
        <v>63.18</v>
      </c>
      <c r="AR49" s="17">
        <v>31.94</v>
      </c>
      <c r="AS49" s="17">
        <v>379.36</v>
      </c>
      <c r="AT49" s="17">
        <v>22.44</v>
      </c>
      <c r="AU49" s="17">
        <v>49.67</v>
      </c>
      <c r="AV49" s="17">
        <v>97.1</v>
      </c>
      <c r="AW49" s="17">
        <v>112.33</v>
      </c>
      <c r="AX49" s="17">
        <v>0.46899999999999997</v>
      </c>
      <c r="AY49" s="17">
        <v>7.12</v>
      </c>
      <c r="AZ49" s="61">
        <v>10000000000</v>
      </c>
      <c r="BA49" s="17">
        <v>202.28</v>
      </c>
      <c r="BB49" s="17">
        <v>83.82</v>
      </c>
      <c r="BC49" s="17">
        <v>6.86</v>
      </c>
      <c r="BD49" s="17">
        <v>0.94</v>
      </c>
      <c r="BE49" s="17">
        <v>11.15</v>
      </c>
      <c r="BF49" s="17">
        <v>2.84</v>
      </c>
      <c r="BG49" s="17">
        <v>262.47000000000003</v>
      </c>
      <c r="BH49" s="17">
        <v>13.74</v>
      </c>
      <c r="BI49" s="17">
        <v>10000000000</v>
      </c>
      <c r="BJ49" s="17">
        <v>255.3</v>
      </c>
      <c r="BK49" s="17">
        <v>31.5</v>
      </c>
      <c r="BL49" s="17">
        <v>85.4</v>
      </c>
      <c r="BM49" s="17">
        <v>60.43</v>
      </c>
      <c r="BN49" s="17">
        <v>1.36</v>
      </c>
      <c r="BO49" s="17">
        <v>29.83</v>
      </c>
      <c r="BP49" s="17">
        <v>35.24</v>
      </c>
      <c r="BQ49" s="17">
        <v>391.35</v>
      </c>
      <c r="BR49" s="17">
        <v>51.570520000000002</v>
      </c>
      <c r="BS49" s="17">
        <v>143.82089999999999</v>
      </c>
      <c r="BT49" s="17">
        <v>84.685839999999999</v>
      </c>
      <c r="BU49" s="17">
        <v>64.498779999999996</v>
      </c>
      <c r="BV49" s="17">
        <v>63.809919999999998</v>
      </c>
      <c r="BW49" s="17">
        <v>2.1035999999999999E-2</v>
      </c>
      <c r="BX49" s="17">
        <v>2.4341999999999999E-2</v>
      </c>
      <c r="BY49" s="17">
        <v>33.269480000000001</v>
      </c>
      <c r="BZ49" s="17">
        <v>18.995360000000002</v>
      </c>
      <c r="CA49" s="17">
        <v>0</v>
      </c>
      <c r="CB49" s="17">
        <v>0.93505199999999999</v>
      </c>
      <c r="CC49" s="17">
        <v>467.05500000000001</v>
      </c>
      <c r="CD49" s="17">
        <v>477.65730000000002</v>
      </c>
      <c r="CE49" s="17">
        <v>40.269530000000003</v>
      </c>
      <c r="CF49" s="17">
        <v>397.53</v>
      </c>
      <c r="CG49" s="17">
        <v>75.31</v>
      </c>
      <c r="CH49" s="17">
        <v>87.78</v>
      </c>
      <c r="CI49" s="17">
        <v>370.76</v>
      </c>
      <c r="CJ49" s="17">
        <v>371.51</v>
      </c>
      <c r="CK49" s="17">
        <v>384.06</v>
      </c>
      <c r="CL49" s="17">
        <v>422.6</v>
      </c>
      <c r="CM49" s="17">
        <v>401.01</v>
      </c>
      <c r="CN49" s="17">
        <v>401.53</v>
      </c>
      <c r="CO49" s="17">
        <v>364.73</v>
      </c>
      <c r="CP49" s="17">
        <v>25.93</v>
      </c>
      <c r="CQ49" s="17">
        <v>249.3</v>
      </c>
      <c r="CR49" s="17">
        <v>250.05</v>
      </c>
      <c r="CS49" s="17">
        <v>4.5</v>
      </c>
      <c r="CT49" s="17">
        <v>4.5</v>
      </c>
    </row>
    <row r="50" spans="1:132" x14ac:dyDescent="0.25">
      <c r="A50" s="72"/>
      <c r="B50" s="11">
        <v>30</v>
      </c>
      <c r="C50" s="12">
        <v>41395.581847222224</v>
      </c>
      <c r="D50" s="11">
        <v>6</v>
      </c>
      <c r="E50" s="11">
        <v>23</v>
      </c>
      <c r="F50" s="11">
        <v>250</v>
      </c>
      <c r="G50" s="11">
        <v>250</v>
      </c>
      <c r="H50" s="11">
        <v>250</v>
      </c>
      <c r="I50" s="11">
        <v>91.7</v>
      </c>
      <c r="J50" s="11">
        <v>91.7</v>
      </c>
      <c r="K50" s="11">
        <v>1800</v>
      </c>
      <c r="L50" s="11">
        <v>19</v>
      </c>
      <c r="M50" s="11">
        <v>19</v>
      </c>
      <c r="N50" s="11">
        <v>0.16</v>
      </c>
      <c r="O50" s="11">
        <v>0.15993299999999999</v>
      </c>
      <c r="P50" s="11">
        <v>1</v>
      </c>
      <c r="Q50" s="11">
        <v>1.0695349999999999</v>
      </c>
      <c r="R50" s="11">
        <v>-3.23</v>
      </c>
      <c r="S50" s="11">
        <v>-3.2299799999999999</v>
      </c>
      <c r="T50" s="11">
        <v>122.76</v>
      </c>
      <c r="U50" s="11">
        <v>122.76560000000001</v>
      </c>
      <c r="V50" s="11">
        <v>3.5</v>
      </c>
      <c r="W50" s="11">
        <v>3.5</v>
      </c>
      <c r="X50" s="11">
        <v>300</v>
      </c>
      <c r="Y50" s="11">
        <v>300</v>
      </c>
      <c r="Z50" s="11">
        <v>3.5</v>
      </c>
      <c r="AA50" s="11">
        <v>3.5</v>
      </c>
      <c r="AB50" s="11">
        <v>300</v>
      </c>
      <c r="AC50" s="11">
        <v>300</v>
      </c>
      <c r="AD50" s="11">
        <v>0</v>
      </c>
      <c r="AE50" s="11">
        <v>86.587500000000006</v>
      </c>
      <c r="AF50" s="11">
        <v>0</v>
      </c>
      <c r="AG50" s="11">
        <v>86.587500000000006</v>
      </c>
      <c r="AH50" s="11">
        <v>39</v>
      </c>
      <c r="AI50" s="11">
        <v>0.17</v>
      </c>
      <c r="AJ50" s="11">
        <v>48</v>
      </c>
      <c r="AK50" s="11">
        <v>65.489999999999995</v>
      </c>
      <c r="AL50" s="11">
        <v>43.78</v>
      </c>
      <c r="AM50" s="11">
        <v>44.9</v>
      </c>
      <c r="AN50" s="11">
        <v>421.89</v>
      </c>
      <c r="AO50" s="11">
        <v>123.6323</v>
      </c>
      <c r="AP50" s="11">
        <v>20.64</v>
      </c>
      <c r="AQ50" s="11">
        <v>63.07</v>
      </c>
      <c r="AR50" s="11">
        <v>31.87</v>
      </c>
      <c r="AS50" s="11">
        <v>389.48</v>
      </c>
      <c r="AT50" s="11">
        <v>23.14</v>
      </c>
      <c r="AU50" s="11">
        <v>44.97</v>
      </c>
      <c r="AV50" s="11">
        <v>97.12</v>
      </c>
      <c r="AW50" s="11">
        <v>116.16</v>
      </c>
      <c r="AX50" s="11">
        <v>0.42799999999999999</v>
      </c>
      <c r="AY50" s="11">
        <v>6.41</v>
      </c>
      <c r="AZ50" s="62">
        <v>10000000000</v>
      </c>
      <c r="BA50" s="11">
        <v>208.04</v>
      </c>
      <c r="BB50" s="11">
        <v>88.61</v>
      </c>
      <c r="BC50" s="11">
        <v>6.77</v>
      </c>
      <c r="BD50" s="11">
        <v>0.93</v>
      </c>
      <c r="BE50" s="11">
        <v>11.29</v>
      </c>
      <c r="BF50" s="11">
        <v>2.87</v>
      </c>
      <c r="BG50" s="11">
        <v>257.24</v>
      </c>
      <c r="BH50" s="11">
        <v>13.7</v>
      </c>
      <c r="BI50" s="11">
        <v>10000000000</v>
      </c>
      <c r="BJ50" s="11">
        <v>254.8</v>
      </c>
      <c r="BK50" s="11">
        <v>32.4</v>
      </c>
      <c r="BL50" s="11">
        <v>86.6</v>
      </c>
      <c r="BM50" s="11">
        <v>61.8</v>
      </c>
      <c r="BN50" s="11">
        <v>1.38</v>
      </c>
      <c r="BO50" s="11">
        <v>29.81</v>
      </c>
      <c r="BP50" s="11">
        <v>35.07</v>
      </c>
      <c r="BQ50" s="11">
        <v>401.46</v>
      </c>
      <c r="BR50" s="11">
        <v>47.070210000000003</v>
      </c>
      <c r="BS50" s="11">
        <v>144.4836</v>
      </c>
      <c r="BT50" s="11">
        <v>85.291179999999997</v>
      </c>
      <c r="BU50" s="11">
        <v>66.005840000000006</v>
      </c>
      <c r="BV50" s="11">
        <v>65.368799999999993</v>
      </c>
      <c r="BW50" s="11">
        <v>1.9949000000000001E-2</v>
      </c>
      <c r="BX50" s="11">
        <v>2.3054000000000002E-2</v>
      </c>
      <c r="BY50" s="11">
        <v>32.980469999999997</v>
      </c>
      <c r="BZ50" s="11">
        <v>18.995360000000002</v>
      </c>
      <c r="CA50" s="11">
        <v>0</v>
      </c>
      <c r="CB50" s="11">
        <v>0.93508999999999998</v>
      </c>
      <c r="CC50" s="11">
        <v>474.43880000000001</v>
      </c>
      <c r="CD50" s="11">
        <v>484.9658</v>
      </c>
      <c r="CE50" s="11">
        <v>40.00177</v>
      </c>
      <c r="CF50" s="11">
        <v>392.08</v>
      </c>
      <c r="CG50" s="11">
        <v>71.67</v>
      </c>
      <c r="CH50" s="11">
        <v>86.1</v>
      </c>
      <c r="CI50" s="11">
        <v>364.84</v>
      </c>
      <c r="CJ50" s="11">
        <v>367.12</v>
      </c>
      <c r="CK50" s="11">
        <v>379.81</v>
      </c>
      <c r="CL50" s="11">
        <v>415.08</v>
      </c>
      <c r="CM50" s="11">
        <v>396.17</v>
      </c>
      <c r="CN50" s="11">
        <v>396.27</v>
      </c>
      <c r="CO50" s="11">
        <v>356.72</v>
      </c>
      <c r="CP50" s="11">
        <v>26.53</v>
      </c>
      <c r="CQ50" s="11">
        <v>249.4</v>
      </c>
      <c r="CR50" s="11">
        <v>250.05</v>
      </c>
      <c r="CS50" s="11">
        <v>4.5</v>
      </c>
      <c r="CT50" s="11">
        <v>4.5</v>
      </c>
    </row>
    <row r="51" spans="1:132" x14ac:dyDescent="0.25">
      <c r="A51" s="72"/>
      <c r="B51" s="11">
        <v>40</v>
      </c>
      <c r="C51" s="12">
        <v>41395.640059016201</v>
      </c>
      <c r="D51" s="11">
        <v>6</v>
      </c>
      <c r="E51" s="11">
        <v>34</v>
      </c>
      <c r="F51" s="11">
        <v>250</v>
      </c>
      <c r="G51" s="11">
        <v>250</v>
      </c>
      <c r="H51" s="11">
        <v>250</v>
      </c>
      <c r="I51" s="11">
        <v>91.7</v>
      </c>
      <c r="J51" s="11">
        <v>91.7</v>
      </c>
      <c r="K51" s="11">
        <v>1800</v>
      </c>
      <c r="L51" s="11">
        <v>19</v>
      </c>
      <c r="M51" s="11">
        <v>19</v>
      </c>
      <c r="N51" s="11">
        <v>0.16</v>
      </c>
      <c r="O51" s="11">
        <v>0.15996099999999999</v>
      </c>
      <c r="P51" s="11">
        <v>1</v>
      </c>
      <c r="Q51" s="11">
        <v>1.0695380000000001</v>
      </c>
      <c r="R51" s="11">
        <v>-3.23</v>
      </c>
      <c r="S51" s="11">
        <v>-3.2299799999999999</v>
      </c>
      <c r="T51" s="11">
        <v>122.76</v>
      </c>
      <c r="U51" s="11">
        <v>122.76560000000001</v>
      </c>
      <c r="V51" s="11">
        <v>3.5</v>
      </c>
      <c r="W51" s="11">
        <v>3.5</v>
      </c>
      <c r="X51" s="11">
        <v>300</v>
      </c>
      <c r="Y51" s="11">
        <v>300</v>
      </c>
      <c r="Z51" s="11">
        <v>3.5</v>
      </c>
      <c r="AA51" s="11">
        <v>3.5</v>
      </c>
      <c r="AB51" s="11">
        <v>300</v>
      </c>
      <c r="AC51" s="11">
        <v>300</v>
      </c>
      <c r="AD51" s="11">
        <v>0</v>
      </c>
      <c r="AE51" s="11">
        <v>87.006249999999994</v>
      </c>
      <c r="AF51" s="11">
        <v>0</v>
      </c>
      <c r="AG51" s="11">
        <v>87.018439999999998</v>
      </c>
      <c r="AH51" s="11">
        <v>39</v>
      </c>
      <c r="AI51" s="11">
        <v>0.17</v>
      </c>
      <c r="AJ51" s="11">
        <v>48.24</v>
      </c>
      <c r="AK51" s="11">
        <v>65.45</v>
      </c>
      <c r="AL51" s="11">
        <v>44.38</v>
      </c>
      <c r="AM51" s="11">
        <v>45.73</v>
      </c>
      <c r="AN51" s="11">
        <v>418.72</v>
      </c>
      <c r="AO51" s="11">
        <v>124.5215</v>
      </c>
      <c r="AP51" s="11">
        <v>21.72</v>
      </c>
      <c r="AQ51" s="11">
        <v>57.99</v>
      </c>
      <c r="AR51" s="11">
        <v>33.07</v>
      </c>
      <c r="AS51" s="11">
        <v>382.28</v>
      </c>
      <c r="AT51" s="11">
        <v>22.65</v>
      </c>
      <c r="AU51" s="11">
        <v>45.65</v>
      </c>
      <c r="AV51" s="11">
        <v>96.97</v>
      </c>
      <c r="AW51" s="11">
        <v>115.95</v>
      </c>
      <c r="AX51" s="11">
        <v>0.40500000000000003</v>
      </c>
      <c r="AY51" s="11">
        <v>6.03</v>
      </c>
      <c r="AZ51" s="62">
        <v>10000000000</v>
      </c>
      <c r="BA51" s="11">
        <v>196.67</v>
      </c>
      <c r="BB51" s="11">
        <v>84.76</v>
      </c>
      <c r="BC51" s="11">
        <v>6.62</v>
      </c>
      <c r="BD51" s="11">
        <v>0.89</v>
      </c>
      <c r="BE51" s="11">
        <v>11.15</v>
      </c>
      <c r="BF51" s="11">
        <v>2.85</v>
      </c>
      <c r="BG51" s="11">
        <v>260.72000000000003</v>
      </c>
      <c r="BH51" s="11">
        <v>13.37</v>
      </c>
      <c r="BI51" s="11">
        <v>10000000000</v>
      </c>
      <c r="BJ51" s="11">
        <v>253.3</v>
      </c>
      <c r="BK51" s="11">
        <v>32</v>
      </c>
      <c r="BL51" s="11">
        <v>84.1</v>
      </c>
      <c r="BM51" s="11">
        <v>58.97</v>
      </c>
      <c r="BN51" s="11">
        <v>1.38</v>
      </c>
      <c r="BO51" s="11">
        <v>29.8</v>
      </c>
      <c r="BP51" s="11">
        <v>35.15</v>
      </c>
      <c r="BQ51" s="11">
        <v>394.01</v>
      </c>
      <c r="BR51" s="11">
        <v>47.702449999999999</v>
      </c>
      <c r="BS51" s="11">
        <v>145.3124</v>
      </c>
      <c r="BT51" s="11">
        <v>85.235150000000004</v>
      </c>
      <c r="BU51" s="11">
        <v>66.389660000000006</v>
      </c>
      <c r="BV51" s="11">
        <v>65.658019999999993</v>
      </c>
      <c r="BW51" s="11">
        <v>1.9991999999999999E-2</v>
      </c>
      <c r="BX51" s="11">
        <v>2.2875E-2</v>
      </c>
      <c r="BY51" s="11">
        <v>33.00797</v>
      </c>
      <c r="BZ51" s="11">
        <v>18.995360000000002</v>
      </c>
      <c r="CA51" s="11">
        <v>0</v>
      </c>
      <c r="CB51" s="11">
        <v>0.935087</v>
      </c>
      <c r="CC51" s="11">
        <v>476.85210000000001</v>
      </c>
      <c r="CD51" s="11">
        <v>487.38310000000001</v>
      </c>
      <c r="CE51" s="11">
        <v>40.00797</v>
      </c>
      <c r="CF51" s="11">
        <v>386.08</v>
      </c>
      <c r="CG51" s="11">
        <v>73.12</v>
      </c>
      <c r="CH51" s="11">
        <v>86.81</v>
      </c>
      <c r="CI51" s="11">
        <v>362.24</v>
      </c>
      <c r="CJ51" s="11">
        <v>367.15</v>
      </c>
      <c r="CK51" s="11">
        <v>379.16</v>
      </c>
      <c r="CL51" s="11">
        <v>408.82</v>
      </c>
      <c r="CM51" s="11">
        <v>393.96</v>
      </c>
      <c r="CN51" s="11">
        <v>389.89</v>
      </c>
      <c r="CO51" s="11">
        <v>356.75</v>
      </c>
      <c r="CP51" s="11">
        <v>25.84</v>
      </c>
      <c r="CQ51" s="11">
        <v>248.6</v>
      </c>
      <c r="CR51" s="11">
        <v>250.05</v>
      </c>
      <c r="CS51" s="11">
        <v>4.5</v>
      </c>
      <c r="CT51" s="11">
        <v>4.5</v>
      </c>
    </row>
    <row r="52" spans="1:132" x14ac:dyDescent="0.25">
      <c r="A52" s="72"/>
      <c r="B52" s="19">
        <v>41</v>
      </c>
      <c r="C52" s="20">
        <v>41395.650820752315</v>
      </c>
      <c r="D52" s="19">
        <v>6</v>
      </c>
      <c r="E52" s="19">
        <v>34</v>
      </c>
      <c r="F52" s="19">
        <v>250</v>
      </c>
      <c r="G52" s="19">
        <v>250</v>
      </c>
      <c r="H52" s="19">
        <v>250.1</v>
      </c>
      <c r="I52" s="19">
        <v>91.7</v>
      </c>
      <c r="J52" s="19">
        <v>91.7</v>
      </c>
      <c r="K52" s="19">
        <v>1800</v>
      </c>
      <c r="L52" s="19">
        <v>19</v>
      </c>
      <c r="M52" s="19">
        <v>19</v>
      </c>
      <c r="N52" s="19">
        <v>0.16</v>
      </c>
      <c r="O52" s="19">
        <v>0.16000200000000001</v>
      </c>
      <c r="P52" s="19">
        <v>1</v>
      </c>
      <c r="Q52" s="19">
        <v>1.069472</v>
      </c>
      <c r="R52" s="19">
        <v>-3.23</v>
      </c>
      <c r="S52" s="19">
        <v>-3.2299799999999999</v>
      </c>
      <c r="T52" s="19">
        <v>122.76</v>
      </c>
      <c r="U52" s="19">
        <v>122.76560000000001</v>
      </c>
      <c r="V52" s="19">
        <v>3.5</v>
      </c>
      <c r="W52" s="19">
        <v>3.5</v>
      </c>
      <c r="X52" s="19">
        <v>300</v>
      </c>
      <c r="Y52" s="19">
        <v>300</v>
      </c>
      <c r="Z52" s="19">
        <v>3.5</v>
      </c>
      <c r="AA52" s="19">
        <v>3.5</v>
      </c>
      <c r="AB52" s="19">
        <v>300</v>
      </c>
      <c r="AC52" s="19">
        <v>300</v>
      </c>
      <c r="AD52" s="19">
        <v>0</v>
      </c>
      <c r="AE52" s="19">
        <v>87.556250000000006</v>
      </c>
      <c r="AF52" s="19">
        <v>0</v>
      </c>
      <c r="AG52" s="19">
        <v>87.556349999999995</v>
      </c>
      <c r="AH52" s="19">
        <v>39</v>
      </c>
      <c r="AI52" s="19">
        <v>0.17</v>
      </c>
      <c r="AJ52" s="19">
        <v>48.17</v>
      </c>
      <c r="AK52" s="19">
        <v>65.31</v>
      </c>
      <c r="AL52" s="19">
        <v>44.06</v>
      </c>
      <c r="AM52" s="19">
        <v>45.28</v>
      </c>
      <c r="AN52" s="19">
        <v>416.52</v>
      </c>
      <c r="AO52" s="19">
        <v>124.0369</v>
      </c>
      <c r="AP52" s="19">
        <v>21.08</v>
      </c>
      <c r="AQ52" s="19">
        <v>57.27</v>
      </c>
      <c r="AR52" s="19">
        <v>32.39</v>
      </c>
      <c r="AS52" s="19">
        <v>385.25</v>
      </c>
      <c r="AT52" s="19">
        <v>22.98</v>
      </c>
      <c r="AU52" s="19">
        <v>42.36</v>
      </c>
      <c r="AV52" s="19">
        <v>97.01</v>
      </c>
      <c r="AW52" s="19">
        <v>115.05</v>
      </c>
      <c r="AX52" s="19">
        <v>0.38300000000000001</v>
      </c>
      <c r="AY52" s="19">
        <v>5.66</v>
      </c>
      <c r="AZ52" s="63">
        <v>10000000000</v>
      </c>
      <c r="BA52" s="19">
        <v>210.25</v>
      </c>
      <c r="BB52" s="19">
        <v>93.04</v>
      </c>
      <c r="BC52" s="19">
        <v>6.61</v>
      </c>
      <c r="BD52" s="19">
        <v>0.88</v>
      </c>
      <c r="BE52" s="33">
        <v>6.64</v>
      </c>
      <c r="BF52" s="19">
        <v>2.84</v>
      </c>
      <c r="BG52" s="19">
        <v>256.8</v>
      </c>
      <c r="BH52" s="19">
        <v>13.28</v>
      </c>
      <c r="BI52" s="19">
        <v>10000000000</v>
      </c>
      <c r="BJ52" s="19">
        <v>253.2</v>
      </c>
      <c r="BK52" s="19">
        <v>32.299999999999997</v>
      </c>
      <c r="BL52" s="19">
        <v>84.3</v>
      </c>
      <c r="BM52" s="19">
        <v>58.99</v>
      </c>
      <c r="BN52" s="19">
        <v>1.39</v>
      </c>
      <c r="BO52" s="19">
        <v>29.78</v>
      </c>
      <c r="BP52" s="19">
        <v>35.1</v>
      </c>
      <c r="BQ52" s="19">
        <v>397.18</v>
      </c>
      <c r="BR52" s="19">
        <v>44.510150000000003</v>
      </c>
      <c r="BS52" s="19">
        <v>145.17789999999999</v>
      </c>
      <c r="BT52" s="19">
        <v>85.168800000000005</v>
      </c>
      <c r="BU52" s="19">
        <v>66.771370000000005</v>
      </c>
      <c r="BV52" s="19">
        <v>65.975750000000005</v>
      </c>
      <c r="BW52" s="19">
        <v>2.0187E-2</v>
      </c>
      <c r="BX52" s="19">
        <v>2.2949000000000001E-2</v>
      </c>
      <c r="BY52" s="19">
        <v>33.055630000000001</v>
      </c>
      <c r="BZ52" s="19">
        <v>18.995360000000002</v>
      </c>
      <c r="CA52" s="19">
        <v>0</v>
      </c>
      <c r="CB52" s="19">
        <v>0.93508899999999995</v>
      </c>
      <c r="CC52" s="19">
        <v>479.7869</v>
      </c>
      <c r="CD52" s="19">
        <v>490.32420000000002</v>
      </c>
      <c r="CE52" s="19">
        <v>40.057079999999999</v>
      </c>
      <c r="CF52" s="19">
        <v>378.66</v>
      </c>
      <c r="CG52" s="19">
        <v>69.150000000000006</v>
      </c>
      <c r="CH52" s="19">
        <v>84.57</v>
      </c>
      <c r="CI52" s="19">
        <v>362.95</v>
      </c>
      <c r="CJ52" s="19">
        <v>364.86</v>
      </c>
      <c r="CK52" s="19">
        <v>376.65</v>
      </c>
      <c r="CL52" s="19">
        <v>405.21</v>
      </c>
      <c r="CM52" s="19">
        <v>390.14</v>
      </c>
      <c r="CN52" s="19">
        <v>382.62</v>
      </c>
      <c r="CO52" s="19">
        <v>349.63</v>
      </c>
      <c r="CP52" s="19">
        <v>25.42</v>
      </c>
      <c r="CQ52" s="19">
        <v>248.8</v>
      </c>
      <c r="CR52" s="19">
        <v>250.05</v>
      </c>
      <c r="CS52" s="19">
        <v>4.5</v>
      </c>
      <c r="CT52" s="19">
        <v>4.5</v>
      </c>
      <c r="CU52" s="36" t="s">
        <v>116</v>
      </c>
    </row>
    <row r="53" spans="1:132" x14ac:dyDescent="0.25">
      <c r="A53" s="72"/>
      <c r="B53" s="19">
        <v>51</v>
      </c>
      <c r="C53" s="20">
        <v>41395.71243521991</v>
      </c>
      <c r="D53" s="19">
        <v>6</v>
      </c>
      <c r="E53" s="19">
        <v>45</v>
      </c>
      <c r="F53" s="19">
        <v>250</v>
      </c>
      <c r="G53" s="19">
        <v>250</v>
      </c>
      <c r="H53" s="19">
        <v>250</v>
      </c>
      <c r="I53" s="19">
        <v>91.7</v>
      </c>
      <c r="J53" s="19">
        <v>91.7</v>
      </c>
      <c r="K53" s="19">
        <v>1800</v>
      </c>
      <c r="L53" s="19">
        <v>19</v>
      </c>
      <c r="M53" s="19">
        <v>19</v>
      </c>
      <c r="N53" s="19">
        <v>0.16</v>
      </c>
      <c r="O53" s="19">
        <v>0.159946</v>
      </c>
      <c r="P53" s="19">
        <v>1</v>
      </c>
      <c r="Q53" s="19">
        <v>1.0694319999999999</v>
      </c>
      <c r="R53" s="19">
        <v>-3.23</v>
      </c>
      <c r="S53" s="19">
        <v>-3.2299799999999999</v>
      </c>
      <c r="T53" s="19">
        <v>122.76</v>
      </c>
      <c r="U53" s="19">
        <v>122.76560000000001</v>
      </c>
      <c r="V53" s="19">
        <v>3.5</v>
      </c>
      <c r="W53" s="19">
        <v>3.5</v>
      </c>
      <c r="X53" s="19">
        <v>300</v>
      </c>
      <c r="Y53" s="19">
        <v>300</v>
      </c>
      <c r="Z53" s="19">
        <v>3.5</v>
      </c>
      <c r="AA53" s="19">
        <v>3.5</v>
      </c>
      <c r="AB53" s="19">
        <v>300</v>
      </c>
      <c r="AC53" s="19">
        <v>300</v>
      </c>
      <c r="AD53" s="19">
        <v>0</v>
      </c>
      <c r="AE53" s="19">
        <v>86.851100000000002</v>
      </c>
      <c r="AF53" s="19">
        <v>0</v>
      </c>
      <c r="AG53" s="19">
        <v>87.258799999999994</v>
      </c>
      <c r="AH53" s="19">
        <v>39</v>
      </c>
      <c r="AI53" s="19">
        <v>0.17</v>
      </c>
      <c r="AJ53" s="19">
        <v>48.91</v>
      </c>
      <c r="AK53" s="19">
        <v>65.61</v>
      </c>
      <c r="AL53" s="19">
        <v>44.85</v>
      </c>
      <c r="AM53" s="19">
        <v>46.1</v>
      </c>
      <c r="AN53" s="19">
        <v>416.68</v>
      </c>
      <c r="AO53" s="19">
        <v>125.26949999999999</v>
      </c>
      <c r="AP53" s="19">
        <v>22.79</v>
      </c>
      <c r="AQ53" s="19">
        <v>58.07</v>
      </c>
      <c r="AR53" s="19">
        <v>34.15</v>
      </c>
      <c r="AS53" s="19">
        <v>386.42</v>
      </c>
      <c r="AT53" s="19">
        <v>22.06</v>
      </c>
      <c r="AU53" s="19">
        <v>48.27</v>
      </c>
      <c r="AV53" s="19">
        <v>96.9</v>
      </c>
      <c r="AW53" s="19">
        <v>115.03</v>
      </c>
      <c r="AX53" s="19">
        <v>0.38400000000000001</v>
      </c>
      <c r="AY53" s="19">
        <v>5.67</v>
      </c>
      <c r="AZ53" s="63">
        <v>10000000000</v>
      </c>
      <c r="BA53" s="19">
        <v>197.08</v>
      </c>
      <c r="BB53" s="19">
        <v>82.71</v>
      </c>
      <c r="BC53" s="19">
        <v>6.58</v>
      </c>
      <c r="BD53" s="19">
        <v>0.87</v>
      </c>
      <c r="BE53" s="19">
        <v>11.39</v>
      </c>
      <c r="BF53" s="19">
        <v>2.93</v>
      </c>
      <c r="BG53" s="19">
        <v>264.79000000000002</v>
      </c>
      <c r="BH53" s="19">
        <v>13.14</v>
      </c>
      <c r="BI53" s="19">
        <v>10000000000</v>
      </c>
      <c r="BJ53" s="19">
        <v>254</v>
      </c>
      <c r="BK53" s="19">
        <v>32.299999999999997</v>
      </c>
      <c r="BL53" s="19">
        <v>84.9</v>
      </c>
      <c r="BM53" s="19">
        <v>58.46</v>
      </c>
      <c r="BN53" s="19">
        <v>1.38</v>
      </c>
      <c r="BO53" s="19">
        <v>29.78</v>
      </c>
      <c r="BP53" s="19">
        <v>35.1</v>
      </c>
      <c r="BQ53" s="19">
        <v>398.32</v>
      </c>
      <c r="BR53" s="19">
        <v>50.13552</v>
      </c>
      <c r="BS53" s="19">
        <v>146.31989999999999</v>
      </c>
      <c r="BT53" s="19">
        <v>86.017030000000005</v>
      </c>
      <c r="BU53" s="19">
        <v>67.198239999999998</v>
      </c>
      <c r="BV53" s="19">
        <v>66.387370000000004</v>
      </c>
      <c r="BW53" s="19">
        <v>1.8363999999999998E-2</v>
      </c>
      <c r="BX53" s="19">
        <v>2.0881E-2</v>
      </c>
      <c r="BY53" s="19">
        <v>32.601349999999996</v>
      </c>
      <c r="BZ53" s="19">
        <v>18.995360000000002</v>
      </c>
      <c r="CA53" s="19">
        <v>0</v>
      </c>
      <c r="CB53" s="19">
        <v>0.93510000000000004</v>
      </c>
      <c r="CC53" s="19">
        <v>476.11</v>
      </c>
      <c r="CD53" s="19">
        <v>486.52420000000001</v>
      </c>
      <c r="CE53" s="19">
        <v>39.601349999999996</v>
      </c>
      <c r="CF53" s="19">
        <v>386.8</v>
      </c>
      <c r="CG53" s="19">
        <v>76.47</v>
      </c>
      <c r="CH53" s="19">
        <v>88.65</v>
      </c>
      <c r="CI53" s="19">
        <v>368.34</v>
      </c>
      <c r="CJ53" s="19">
        <v>365.35</v>
      </c>
      <c r="CK53" s="19">
        <v>376.27</v>
      </c>
      <c r="CL53" s="19">
        <v>404.23</v>
      </c>
      <c r="CM53" s="19">
        <v>391.7</v>
      </c>
      <c r="CN53" s="19">
        <v>391.26</v>
      </c>
      <c r="CO53" s="19">
        <v>354.75</v>
      </c>
      <c r="CP53" s="19">
        <v>25.19</v>
      </c>
      <c r="CQ53" s="19">
        <v>248.5</v>
      </c>
      <c r="CR53" s="19">
        <v>250.05</v>
      </c>
      <c r="CS53" s="19">
        <v>4.5</v>
      </c>
      <c r="CT53" s="19">
        <v>4.5</v>
      </c>
    </row>
    <row r="54" spans="1:132" s="1" customFormat="1" ht="60" x14ac:dyDescent="0.25">
      <c r="B54" s="1" t="s">
        <v>0</v>
      </c>
      <c r="C54" s="1" t="s">
        <v>1</v>
      </c>
      <c r="D54" s="1" t="s">
        <v>2</v>
      </c>
      <c r="E54" s="1" t="s">
        <v>3</v>
      </c>
      <c r="F54" s="1" t="s">
        <v>4</v>
      </c>
      <c r="G54" s="1" t="s">
        <v>5</v>
      </c>
      <c r="H54" s="1" t="s">
        <v>6</v>
      </c>
      <c r="I54" s="1" t="s">
        <v>7</v>
      </c>
      <c r="J54" s="1" t="s">
        <v>8</v>
      </c>
      <c r="K54" s="1" t="s">
        <v>9</v>
      </c>
      <c r="L54" s="1" t="s">
        <v>10</v>
      </c>
      <c r="M54" s="1" t="s">
        <v>11</v>
      </c>
      <c r="N54" s="1" t="s">
        <v>12</v>
      </c>
      <c r="O54" s="1" t="s">
        <v>13</v>
      </c>
      <c r="P54" s="1" t="s">
        <v>14</v>
      </c>
      <c r="Q54" s="1" t="s">
        <v>15</v>
      </c>
      <c r="R54" s="1" t="s">
        <v>16</v>
      </c>
      <c r="S54" s="1" t="s">
        <v>17</v>
      </c>
      <c r="T54" s="1" t="s">
        <v>18</v>
      </c>
      <c r="U54" s="1" t="s">
        <v>19</v>
      </c>
      <c r="V54" s="1" t="s">
        <v>20</v>
      </c>
      <c r="W54" s="1" t="s">
        <v>21</v>
      </c>
      <c r="X54" s="1" t="s">
        <v>22</v>
      </c>
      <c r="Y54" s="1" t="s">
        <v>23</v>
      </c>
      <c r="Z54" s="1" t="s">
        <v>24</v>
      </c>
      <c r="AA54" s="1" t="s">
        <v>25</v>
      </c>
      <c r="AB54" s="1" t="s">
        <v>26</v>
      </c>
      <c r="AC54" s="1" t="s">
        <v>27</v>
      </c>
      <c r="AD54" s="1" t="s">
        <v>28</v>
      </c>
      <c r="AE54" s="1" t="s">
        <v>29</v>
      </c>
      <c r="AF54" s="1" t="s">
        <v>30</v>
      </c>
      <c r="AG54" s="1" t="s">
        <v>31</v>
      </c>
      <c r="AH54" s="1" t="s">
        <v>32</v>
      </c>
      <c r="AI54" s="1" t="s">
        <v>33</v>
      </c>
      <c r="AJ54" s="1" t="s">
        <v>34</v>
      </c>
      <c r="AK54" s="1" t="s">
        <v>35</v>
      </c>
      <c r="AL54" s="1" t="s">
        <v>36</v>
      </c>
      <c r="AM54" s="1" t="s">
        <v>37</v>
      </c>
      <c r="AN54" s="1" t="s">
        <v>38</v>
      </c>
      <c r="AO54" s="1" t="s">
        <v>39</v>
      </c>
      <c r="AP54" s="1" t="s">
        <v>40</v>
      </c>
      <c r="AQ54" s="1" t="s">
        <v>41</v>
      </c>
      <c r="AR54" s="1" t="s">
        <v>42</v>
      </c>
      <c r="AS54" s="1" t="s">
        <v>43</v>
      </c>
      <c r="AT54" s="1" t="s">
        <v>44</v>
      </c>
      <c r="AU54" s="1" t="s">
        <v>45</v>
      </c>
      <c r="AV54" s="1" t="s">
        <v>46</v>
      </c>
      <c r="AW54" s="1" t="s">
        <v>47</v>
      </c>
      <c r="AX54" s="1" t="s">
        <v>48</v>
      </c>
      <c r="AY54" s="1" t="s">
        <v>49</v>
      </c>
      <c r="AZ54" s="1" t="s">
        <v>50</v>
      </c>
      <c r="BA54" s="1" t="s">
        <v>51</v>
      </c>
      <c r="BB54" s="1" t="s">
        <v>52</v>
      </c>
      <c r="BC54" s="1" t="s">
        <v>53</v>
      </c>
      <c r="BD54" s="1" t="s">
        <v>54</v>
      </c>
      <c r="BE54" s="1" t="s">
        <v>108</v>
      </c>
      <c r="BF54" s="1" t="s">
        <v>55</v>
      </c>
      <c r="BG54" s="1" t="s">
        <v>56</v>
      </c>
      <c r="BH54" s="1" t="s">
        <v>57</v>
      </c>
      <c r="BI54" s="1" t="s">
        <v>58</v>
      </c>
      <c r="BJ54" s="1" t="s">
        <v>59</v>
      </c>
      <c r="BK54" s="1" t="s">
        <v>60</v>
      </c>
      <c r="BL54" s="1" t="s">
        <v>61</v>
      </c>
      <c r="BM54" s="1" t="s">
        <v>62</v>
      </c>
      <c r="BN54" s="1" t="s">
        <v>63</v>
      </c>
      <c r="BO54" s="1" t="s">
        <v>64</v>
      </c>
      <c r="BP54" s="1" t="s">
        <v>65</v>
      </c>
      <c r="BQ54" s="1" t="s">
        <v>66</v>
      </c>
      <c r="BR54" s="1" t="s">
        <v>67</v>
      </c>
      <c r="BS54" s="1" t="s">
        <v>68</v>
      </c>
      <c r="BT54" s="1" t="s">
        <v>69</v>
      </c>
      <c r="BU54" s="1" t="s">
        <v>70</v>
      </c>
      <c r="BV54" s="1" t="s">
        <v>71</v>
      </c>
      <c r="BW54" s="1" t="s">
        <v>72</v>
      </c>
      <c r="BX54" s="1" t="s">
        <v>73</v>
      </c>
      <c r="BY54" s="1" t="s">
        <v>74</v>
      </c>
      <c r="BZ54" s="1" t="s">
        <v>75</v>
      </c>
      <c r="CA54" s="1" t="s">
        <v>76</v>
      </c>
      <c r="CB54" s="1" t="s">
        <v>77</v>
      </c>
      <c r="CC54" s="1" t="s">
        <v>78</v>
      </c>
      <c r="CD54" s="1" t="s">
        <v>79</v>
      </c>
      <c r="CE54" s="1" t="s">
        <v>80</v>
      </c>
      <c r="CF54" s="1" t="s">
        <v>81</v>
      </c>
      <c r="CG54" s="1" t="s">
        <v>82</v>
      </c>
      <c r="CH54" s="1" t="s">
        <v>83</v>
      </c>
      <c r="CI54" s="1" t="s">
        <v>84</v>
      </c>
      <c r="CJ54" s="1" t="s">
        <v>85</v>
      </c>
      <c r="CK54" s="1" t="s">
        <v>86</v>
      </c>
      <c r="CL54" s="1" t="s">
        <v>87</v>
      </c>
      <c r="CM54" s="1" t="s">
        <v>88</v>
      </c>
      <c r="CN54" s="1" t="s">
        <v>89</v>
      </c>
      <c r="CO54" s="1" t="s">
        <v>90</v>
      </c>
      <c r="CP54" s="1" t="s">
        <v>91</v>
      </c>
      <c r="CQ54" s="1" t="s">
        <v>92</v>
      </c>
      <c r="CR54" s="1" t="s">
        <v>93</v>
      </c>
      <c r="CS54" s="1" t="s">
        <v>94</v>
      </c>
      <c r="CT54" s="1" t="s">
        <v>95</v>
      </c>
      <c r="CU54" s="6" t="s">
        <v>114</v>
      </c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</row>
    <row r="55" spans="1:132" x14ac:dyDescent="0.25">
      <c r="A55" s="72" t="s">
        <v>102</v>
      </c>
      <c r="B55" s="29">
        <v>9</v>
      </c>
      <c r="C55" s="30">
        <v>41397.688887384262</v>
      </c>
      <c r="D55" s="29">
        <v>7</v>
      </c>
      <c r="E55" s="29">
        <v>1</v>
      </c>
      <c r="F55" s="29">
        <v>544</v>
      </c>
      <c r="G55" s="29">
        <v>544</v>
      </c>
      <c r="H55" s="29">
        <v>544</v>
      </c>
      <c r="I55" s="29">
        <v>91.7</v>
      </c>
      <c r="J55" s="29">
        <v>91.7</v>
      </c>
      <c r="K55" s="29">
        <v>1800</v>
      </c>
      <c r="L55" s="29">
        <v>34</v>
      </c>
      <c r="M55" s="29">
        <v>34</v>
      </c>
      <c r="N55" s="29">
        <v>0.26</v>
      </c>
      <c r="O55" s="29">
        <v>0.26010100000000003</v>
      </c>
      <c r="P55" s="29">
        <v>1</v>
      </c>
      <c r="Q55" s="29">
        <v>1.068962</v>
      </c>
      <c r="R55" s="29">
        <v>-4.3899999999999997</v>
      </c>
      <c r="S55" s="29">
        <v>-4.3945309999999997</v>
      </c>
      <c r="T55" s="29">
        <v>175.84</v>
      </c>
      <c r="U55" s="29">
        <v>175.84379999999999</v>
      </c>
      <c r="V55" s="29">
        <v>3.5</v>
      </c>
      <c r="W55" s="29">
        <v>3.5</v>
      </c>
      <c r="X55" s="29">
        <v>300</v>
      </c>
      <c r="Y55" s="29">
        <v>300</v>
      </c>
      <c r="Z55" s="29">
        <v>0</v>
      </c>
      <c r="AA55" s="29">
        <v>0</v>
      </c>
      <c r="AB55" s="29">
        <v>300</v>
      </c>
      <c r="AC55" s="29">
        <v>300</v>
      </c>
      <c r="AD55" s="29">
        <v>0</v>
      </c>
      <c r="AE55" s="29">
        <v>132.63579999999999</v>
      </c>
      <c r="AF55" s="29">
        <v>0</v>
      </c>
      <c r="AG55" s="29">
        <v>132.63579999999999</v>
      </c>
      <c r="AH55" s="29">
        <v>34</v>
      </c>
      <c r="AI55" s="29">
        <v>0.2</v>
      </c>
      <c r="AJ55" s="29">
        <v>76.78</v>
      </c>
      <c r="AK55" s="29">
        <v>105.9</v>
      </c>
      <c r="AL55" s="29">
        <v>126.29</v>
      </c>
      <c r="AM55" s="29">
        <v>127.24</v>
      </c>
      <c r="AN55" s="29">
        <v>543.58000000000004</v>
      </c>
      <c r="AO55" s="29">
        <v>203.10589999999999</v>
      </c>
      <c r="AP55" s="29">
        <v>101.63</v>
      </c>
      <c r="AQ55" s="29">
        <v>118.65</v>
      </c>
      <c r="AR55" s="29">
        <v>116.29</v>
      </c>
      <c r="AS55" s="29">
        <v>595.28</v>
      </c>
      <c r="AT55" s="29">
        <v>24.63</v>
      </c>
      <c r="AU55" s="29">
        <v>64.87</v>
      </c>
      <c r="AV55" s="29">
        <v>109.58</v>
      </c>
      <c r="AW55" s="29">
        <v>115.19</v>
      </c>
      <c r="AX55" s="29">
        <v>0.313</v>
      </c>
      <c r="AY55" s="29">
        <v>4.53</v>
      </c>
      <c r="AZ55" s="64">
        <v>10000000000</v>
      </c>
      <c r="BA55" s="29">
        <v>126.99</v>
      </c>
      <c r="BB55" s="29">
        <v>28.23</v>
      </c>
      <c r="BC55" s="29">
        <v>8.4700000000000006</v>
      </c>
      <c r="BD55" s="29">
        <v>1.32</v>
      </c>
      <c r="BE55" s="29">
        <v>8.93</v>
      </c>
      <c r="BF55" s="29">
        <v>2.29</v>
      </c>
      <c r="BG55" s="29">
        <v>303.77999999999997</v>
      </c>
      <c r="BH55" s="29">
        <v>15.53</v>
      </c>
      <c r="BI55" s="29">
        <v>10000000000</v>
      </c>
      <c r="BJ55" s="29">
        <v>229</v>
      </c>
      <c r="BK55" s="29">
        <v>25.3</v>
      </c>
      <c r="BL55" s="29">
        <v>85.5</v>
      </c>
      <c r="BM55" s="29">
        <v>109.28</v>
      </c>
      <c r="BN55" s="29">
        <v>2.17</v>
      </c>
      <c r="BO55" s="29">
        <v>30.17</v>
      </c>
      <c r="BP55" s="29">
        <v>36.729999999999997</v>
      </c>
      <c r="BQ55" s="29">
        <v>617.89</v>
      </c>
      <c r="BR55" s="29">
        <v>65.274320000000003</v>
      </c>
      <c r="BS55" s="29">
        <v>226.13550000000001</v>
      </c>
      <c r="BT55" s="29">
        <v>46.662959999999998</v>
      </c>
      <c r="BU55" s="29">
        <v>43.116149999999998</v>
      </c>
      <c r="BV55" s="29">
        <v>42.668439999999997</v>
      </c>
      <c r="BW55" s="29">
        <v>0.106071</v>
      </c>
      <c r="BX55" s="29">
        <v>0.10481500000000001</v>
      </c>
      <c r="BY55" s="29">
        <v>80.806089999999998</v>
      </c>
      <c r="BZ55" s="29">
        <v>18.995360000000002</v>
      </c>
      <c r="CA55" s="29">
        <v>0</v>
      </c>
      <c r="CB55" s="29">
        <v>0.92937700000000001</v>
      </c>
      <c r="CC55" s="29">
        <v>732.9221</v>
      </c>
      <c r="CD55" s="29">
        <v>755.2115</v>
      </c>
      <c r="CE55" s="29">
        <v>84.306089999999998</v>
      </c>
      <c r="CF55" s="29">
        <v>501.55</v>
      </c>
      <c r="CG55" s="29">
        <v>88.09</v>
      </c>
      <c r="CH55" s="29">
        <v>103.03</v>
      </c>
      <c r="CI55" s="29">
        <v>442.53</v>
      </c>
      <c r="CJ55" s="29">
        <v>464.41</v>
      </c>
      <c r="CK55" s="29">
        <v>477.14</v>
      </c>
      <c r="CL55" s="29">
        <v>503.43</v>
      </c>
      <c r="CM55" s="29">
        <v>502.27</v>
      </c>
      <c r="CN55" s="29">
        <v>499.56</v>
      </c>
      <c r="CO55" s="29">
        <v>414.6</v>
      </c>
      <c r="CP55" s="29">
        <v>27.5</v>
      </c>
      <c r="CQ55" s="29">
        <v>541.5</v>
      </c>
      <c r="CR55" s="29">
        <v>544.04</v>
      </c>
      <c r="CS55" s="29">
        <v>9.6999999999999993</v>
      </c>
      <c r="CT55" s="29">
        <v>9.6999999999999993</v>
      </c>
      <c r="CU55" s="37"/>
    </row>
    <row r="56" spans="1:132" x14ac:dyDescent="0.25">
      <c r="A56" s="72"/>
      <c r="B56" s="29">
        <v>5</v>
      </c>
      <c r="C56" s="30">
        <v>41401.429623009259</v>
      </c>
      <c r="D56" s="29">
        <v>7</v>
      </c>
      <c r="E56" s="29">
        <v>12</v>
      </c>
      <c r="F56" s="29">
        <v>544</v>
      </c>
      <c r="G56" s="29">
        <v>544</v>
      </c>
      <c r="H56" s="29">
        <v>544</v>
      </c>
      <c r="I56" s="29">
        <v>91.7</v>
      </c>
      <c r="J56" s="29">
        <v>91.7</v>
      </c>
      <c r="K56" s="29">
        <v>1800</v>
      </c>
      <c r="L56" s="29">
        <v>34</v>
      </c>
      <c r="M56" s="29">
        <v>34</v>
      </c>
      <c r="N56" s="29">
        <v>0.26</v>
      </c>
      <c r="O56" s="29">
        <v>0.26005699999999998</v>
      </c>
      <c r="P56" s="29">
        <v>1</v>
      </c>
      <c r="Q56" s="29">
        <v>1.068829</v>
      </c>
      <c r="R56" s="29">
        <v>-4.3899999999999997</v>
      </c>
      <c r="S56" s="29">
        <v>-4.3945309999999997</v>
      </c>
      <c r="T56" s="29">
        <v>175.84</v>
      </c>
      <c r="U56" s="29">
        <v>175.84379999999999</v>
      </c>
      <c r="V56" s="29">
        <v>3.5</v>
      </c>
      <c r="W56" s="29">
        <v>3.5</v>
      </c>
      <c r="X56" s="29">
        <v>300</v>
      </c>
      <c r="Y56" s="29">
        <v>300</v>
      </c>
      <c r="Z56" s="29">
        <v>0</v>
      </c>
      <c r="AA56" s="29">
        <v>0</v>
      </c>
      <c r="AB56" s="29">
        <v>300</v>
      </c>
      <c r="AC56" s="29">
        <v>300</v>
      </c>
      <c r="AD56" s="29">
        <v>0</v>
      </c>
      <c r="AE56" s="29">
        <v>131.14490000000001</v>
      </c>
      <c r="AF56" s="29">
        <v>0</v>
      </c>
      <c r="AG56" s="29">
        <v>131.14490000000001</v>
      </c>
      <c r="AH56" s="29">
        <v>34</v>
      </c>
      <c r="AI56" s="29">
        <v>0.2</v>
      </c>
      <c r="AJ56" s="29">
        <v>76.599999999999994</v>
      </c>
      <c r="AK56" s="29">
        <v>106.01</v>
      </c>
      <c r="AL56" s="29">
        <v>125.98</v>
      </c>
      <c r="AM56" s="29">
        <v>126.81</v>
      </c>
      <c r="AN56" s="29">
        <v>546.91999999999996</v>
      </c>
      <c r="AO56" s="29">
        <v>200.78970000000001</v>
      </c>
      <c r="AP56" s="29">
        <v>100.79</v>
      </c>
      <c r="AQ56" s="29">
        <v>121.53</v>
      </c>
      <c r="AR56" s="29">
        <v>116.7</v>
      </c>
      <c r="AS56" s="29">
        <v>589.86</v>
      </c>
      <c r="AT56" s="29">
        <v>25.17</v>
      </c>
      <c r="AU56" s="29">
        <v>64.78</v>
      </c>
      <c r="AV56" s="29">
        <v>108.35</v>
      </c>
      <c r="AW56" s="29">
        <v>120.97</v>
      </c>
      <c r="AX56" s="29">
        <v>0.32</v>
      </c>
      <c r="AY56" s="29">
        <v>4.6399999999999997</v>
      </c>
      <c r="AZ56" s="64">
        <v>10000000000</v>
      </c>
      <c r="BA56" s="29">
        <v>138.51</v>
      </c>
      <c r="BB56" s="29">
        <v>28.4</v>
      </c>
      <c r="BC56" s="29">
        <v>8.51</v>
      </c>
      <c r="BD56" s="29">
        <v>1.34</v>
      </c>
      <c r="BE56" s="29">
        <v>8.7799999999999994</v>
      </c>
      <c r="BF56" s="29">
        <v>2.15</v>
      </c>
      <c r="BG56" s="29">
        <v>287.42</v>
      </c>
      <c r="BH56" s="29">
        <v>15.76</v>
      </c>
      <c r="BI56" s="29">
        <v>10000000000</v>
      </c>
      <c r="BJ56" s="29">
        <v>229.5</v>
      </c>
      <c r="BK56" s="29">
        <v>25</v>
      </c>
      <c r="BL56" s="29">
        <v>85.2</v>
      </c>
      <c r="BM56" s="29">
        <v>110.3</v>
      </c>
      <c r="BN56" s="29">
        <v>2.17</v>
      </c>
      <c r="BO56" s="29">
        <v>30.2</v>
      </c>
      <c r="BP56" s="29">
        <v>36.799999999999997</v>
      </c>
      <c r="BQ56" s="29">
        <v>612.95000000000005</v>
      </c>
      <c r="BR56" s="29">
        <v>65.192920000000001</v>
      </c>
      <c r="BS56" s="29">
        <v>223.08590000000001</v>
      </c>
      <c r="BT56" s="29">
        <v>46.599829999999997</v>
      </c>
      <c r="BU56" s="29">
        <v>42.464599999999997</v>
      </c>
      <c r="BV56" s="29">
        <v>42.079920000000001</v>
      </c>
      <c r="BW56" s="29">
        <v>0.10595499999999999</v>
      </c>
      <c r="BX56" s="29">
        <v>0.105118</v>
      </c>
      <c r="BY56" s="29">
        <v>81.033330000000007</v>
      </c>
      <c r="BZ56" s="29">
        <v>18.995360000000002</v>
      </c>
      <c r="CA56" s="29">
        <v>0</v>
      </c>
      <c r="CB56" s="29">
        <v>0.92929099999999998</v>
      </c>
      <c r="CC56" s="29">
        <v>724.75099999999998</v>
      </c>
      <c r="CD56" s="29">
        <v>747.10230000000001</v>
      </c>
      <c r="CE56" s="29">
        <v>84.537499999999994</v>
      </c>
      <c r="CF56" s="29">
        <v>504.06</v>
      </c>
      <c r="CG56" s="29">
        <v>88.89</v>
      </c>
      <c r="CH56" s="29">
        <v>102.75</v>
      </c>
      <c r="CI56" s="29">
        <v>445.8</v>
      </c>
      <c r="CJ56" s="29">
        <v>468.58</v>
      </c>
      <c r="CK56" s="29">
        <v>480.24</v>
      </c>
      <c r="CL56" s="29">
        <v>504.25</v>
      </c>
      <c r="CM56" s="29">
        <v>502.83</v>
      </c>
      <c r="CN56" s="29">
        <v>501.76</v>
      </c>
      <c r="CO56" s="29">
        <v>419.29</v>
      </c>
      <c r="CP56" s="29">
        <v>29.12</v>
      </c>
      <c r="CQ56" s="29">
        <v>541.9</v>
      </c>
      <c r="CR56" s="29">
        <v>544.04999999999995</v>
      </c>
      <c r="CS56" s="29">
        <v>9.6999999999999993</v>
      </c>
      <c r="CT56" s="29">
        <v>9.6999999999999993</v>
      </c>
    </row>
    <row r="57" spans="1:132" x14ac:dyDescent="0.25">
      <c r="A57" s="72"/>
      <c r="B57" s="15">
        <v>9</v>
      </c>
      <c r="C57" s="16">
        <v>41401.456357523151</v>
      </c>
      <c r="D57" s="15">
        <v>7</v>
      </c>
      <c r="E57" s="15">
        <v>12</v>
      </c>
      <c r="F57" s="15">
        <v>544</v>
      </c>
      <c r="G57" s="15">
        <v>544</v>
      </c>
      <c r="H57" s="15">
        <v>544</v>
      </c>
      <c r="I57" s="15">
        <v>91.7</v>
      </c>
      <c r="J57" s="15">
        <v>91.7</v>
      </c>
      <c r="K57" s="15">
        <v>1800</v>
      </c>
      <c r="L57" s="15">
        <v>34</v>
      </c>
      <c r="M57" s="15">
        <v>34</v>
      </c>
      <c r="N57" s="15">
        <v>0.26</v>
      </c>
      <c r="O57" s="15">
        <v>0.25997900000000002</v>
      </c>
      <c r="P57" s="15">
        <v>1</v>
      </c>
      <c r="Q57" s="15">
        <v>1.068873</v>
      </c>
      <c r="R57" s="15">
        <v>-4.3899999999999997</v>
      </c>
      <c r="S57" s="15">
        <v>-4.3945309999999997</v>
      </c>
      <c r="T57" s="15">
        <v>175.84</v>
      </c>
      <c r="U57" s="15">
        <v>175.84379999999999</v>
      </c>
      <c r="V57" s="15">
        <v>3.5</v>
      </c>
      <c r="W57" s="15">
        <v>3.5</v>
      </c>
      <c r="X57" s="15">
        <v>300</v>
      </c>
      <c r="Y57" s="15">
        <v>300</v>
      </c>
      <c r="Z57" s="15">
        <v>0</v>
      </c>
      <c r="AA57" s="15">
        <v>0</v>
      </c>
      <c r="AB57" s="15">
        <v>300</v>
      </c>
      <c r="AC57" s="15">
        <v>300</v>
      </c>
      <c r="AD57" s="15">
        <v>0</v>
      </c>
      <c r="AE57" s="15">
        <v>130.5591</v>
      </c>
      <c r="AF57" s="15">
        <v>0</v>
      </c>
      <c r="AG57" s="15">
        <v>130.5591</v>
      </c>
      <c r="AH57" s="15">
        <v>34</v>
      </c>
      <c r="AI57" s="15">
        <v>0.2</v>
      </c>
      <c r="AJ57" s="15">
        <v>76.349999999999994</v>
      </c>
      <c r="AK57" s="15">
        <v>105.94</v>
      </c>
      <c r="AL57" s="15">
        <v>125.11</v>
      </c>
      <c r="AM57" s="15">
        <v>125.94</v>
      </c>
      <c r="AN57" s="15">
        <v>550.88</v>
      </c>
      <c r="AO57" s="15">
        <v>200.47669999999999</v>
      </c>
      <c r="AP57" s="15">
        <v>100.25</v>
      </c>
      <c r="AQ57" s="15">
        <v>122.78</v>
      </c>
      <c r="AR57" s="15">
        <v>116.02</v>
      </c>
      <c r="AS57" s="15">
        <v>587.14</v>
      </c>
      <c r="AT57" s="15">
        <v>24.82</v>
      </c>
      <c r="AU57" s="15">
        <v>65.73</v>
      </c>
      <c r="AV57" s="15">
        <v>109.71</v>
      </c>
      <c r="AW57" s="15">
        <v>119.83</v>
      </c>
      <c r="AX57" s="15">
        <v>0.34599999999999997</v>
      </c>
      <c r="AY57" s="15">
        <v>5.0599999999999996</v>
      </c>
      <c r="AZ57" s="54">
        <v>10000000000</v>
      </c>
      <c r="BA57" s="15">
        <v>140.75</v>
      </c>
      <c r="BB57" s="15">
        <v>29.08</v>
      </c>
      <c r="BC57" s="15">
        <v>8.59</v>
      </c>
      <c r="BD57" s="15">
        <v>1.32</v>
      </c>
      <c r="BE57" s="15">
        <v>8.6999999999999993</v>
      </c>
      <c r="BF57" s="15">
        <v>2.17</v>
      </c>
      <c r="BG57" s="15">
        <v>292.29000000000002</v>
      </c>
      <c r="BH57" s="15">
        <v>15.41</v>
      </c>
      <c r="BI57" s="15">
        <v>10000000000</v>
      </c>
      <c r="BJ57" s="15">
        <v>229.6</v>
      </c>
      <c r="BK57" s="15">
        <v>24.9</v>
      </c>
      <c r="BL57" s="15">
        <v>85.1</v>
      </c>
      <c r="BM57" s="15">
        <v>106.95</v>
      </c>
      <c r="BN57" s="15">
        <v>2.15</v>
      </c>
      <c r="BO57" s="15">
        <v>30.18</v>
      </c>
      <c r="BP57" s="15">
        <v>36.840000000000003</v>
      </c>
      <c r="BQ57" s="15">
        <v>610.65</v>
      </c>
      <c r="BR57" s="15">
        <v>66.107290000000006</v>
      </c>
      <c r="BS57" s="15">
        <v>222.4254</v>
      </c>
      <c r="BT57" s="15">
        <v>46.51108</v>
      </c>
      <c r="BU57" s="15">
        <v>42.124409999999997</v>
      </c>
      <c r="BV57" s="15">
        <v>41.750860000000003</v>
      </c>
      <c r="BW57" s="15">
        <v>0.105777</v>
      </c>
      <c r="BX57" s="15">
        <v>0.10513599999999999</v>
      </c>
      <c r="BY57" s="15">
        <v>81.345569999999995</v>
      </c>
      <c r="BZ57" s="15">
        <v>18.995360000000002</v>
      </c>
      <c r="CA57" s="15">
        <v>0</v>
      </c>
      <c r="CB57" s="15">
        <v>0.92918900000000004</v>
      </c>
      <c r="CC57" s="15">
        <v>721.59559999999999</v>
      </c>
      <c r="CD57" s="15">
        <v>744.02890000000002</v>
      </c>
      <c r="CE57" s="15">
        <v>84.849109999999996</v>
      </c>
      <c r="CF57" s="15">
        <v>503.98</v>
      </c>
      <c r="CG57" s="15">
        <v>90.72</v>
      </c>
      <c r="CH57" s="15">
        <v>104.32</v>
      </c>
      <c r="CI57" s="15">
        <v>446.46</v>
      </c>
      <c r="CJ57" s="15">
        <v>471.17</v>
      </c>
      <c r="CK57" s="15">
        <v>483.02</v>
      </c>
      <c r="CL57" s="15">
        <v>514.48</v>
      </c>
      <c r="CM57" s="15">
        <v>505.04</v>
      </c>
      <c r="CN57" s="15">
        <v>502.35</v>
      </c>
      <c r="CO57" s="15">
        <v>421.96</v>
      </c>
      <c r="CP57" s="15">
        <v>29.96</v>
      </c>
      <c r="CQ57" s="15">
        <v>542.4</v>
      </c>
      <c r="CR57" s="15">
        <v>544.04999999999995</v>
      </c>
      <c r="CS57" s="15">
        <v>9.6999999999999993</v>
      </c>
      <c r="CT57" s="15">
        <v>9.6999999999999993</v>
      </c>
    </row>
    <row r="58" spans="1:132" x14ac:dyDescent="0.25">
      <c r="A58" s="72"/>
      <c r="B58" s="15">
        <v>19</v>
      </c>
      <c r="C58" s="16">
        <v>41401.51285861111</v>
      </c>
      <c r="D58" s="15">
        <v>7</v>
      </c>
      <c r="E58" s="15">
        <v>23</v>
      </c>
      <c r="F58" s="15">
        <v>544</v>
      </c>
      <c r="G58" s="15">
        <v>544</v>
      </c>
      <c r="H58" s="15">
        <v>544</v>
      </c>
      <c r="I58" s="15">
        <v>91.7</v>
      </c>
      <c r="J58" s="15">
        <v>91.7</v>
      </c>
      <c r="K58" s="15">
        <v>1800</v>
      </c>
      <c r="L58" s="15">
        <v>34</v>
      </c>
      <c r="M58" s="15">
        <v>34</v>
      </c>
      <c r="N58" s="15">
        <v>0.26</v>
      </c>
      <c r="O58" s="15">
        <v>0.26008500000000001</v>
      </c>
      <c r="P58" s="15">
        <v>1</v>
      </c>
      <c r="Q58" s="15">
        <v>1.0688599999999999</v>
      </c>
      <c r="R58" s="15">
        <v>-4.3899999999999997</v>
      </c>
      <c r="S58" s="15">
        <v>-4.3945309999999997</v>
      </c>
      <c r="T58" s="15">
        <v>175.84</v>
      </c>
      <c r="U58" s="15">
        <v>175.84379999999999</v>
      </c>
      <c r="V58" s="15">
        <v>3.5</v>
      </c>
      <c r="W58" s="15">
        <v>3.5</v>
      </c>
      <c r="X58" s="15">
        <v>300</v>
      </c>
      <c r="Y58" s="15">
        <v>300</v>
      </c>
      <c r="Z58" s="15">
        <v>0</v>
      </c>
      <c r="AA58" s="15">
        <v>0</v>
      </c>
      <c r="AB58" s="15">
        <v>300</v>
      </c>
      <c r="AC58" s="15">
        <v>300</v>
      </c>
      <c r="AD58" s="15">
        <v>0</v>
      </c>
      <c r="AE58" s="15">
        <v>129.7653</v>
      </c>
      <c r="AF58" s="15">
        <v>0</v>
      </c>
      <c r="AG58" s="15">
        <v>129.7653</v>
      </c>
      <c r="AH58" s="15">
        <v>34</v>
      </c>
      <c r="AI58" s="15">
        <v>0.2</v>
      </c>
      <c r="AJ58" s="15">
        <v>75.66</v>
      </c>
      <c r="AK58" s="15">
        <v>105.81</v>
      </c>
      <c r="AL58" s="15">
        <v>123.39</v>
      </c>
      <c r="AM58" s="15">
        <v>124.25</v>
      </c>
      <c r="AN58" s="15">
        <v>552.61</v>
      </c>
      <c r="AO58" s="15">
        <v>198.9632</v>
      </c>
      <c r="AP58" s="15">
        <v>98.45</v>
      </c>
      <c r="AQ58" s="15">
        <v>122.8</v>
      </c>
      <c r="AR58" s="15">
        <v>114.11</v>
      </c>
      <c r="AS58" s="15">
        <v>589.67999999999995</v>
      </c>
      <c r="AT58" s="15">
        <v>24.95</v>
      </c>
      <c r="AU58" s="15">
        <v>65.09</v>
      </c>
      <c r="AV58" s="15">
        <v>109.31</v>
      </c>
      <c r="AW58" s="15">
        <v>116.12</v>
      </c>
      <c r="AX58" s="15">
        <v>0.36399999999999999</v>
      </c>
      <c r="AY58" s="15">
        <v>5.35</v>
      </c>
      <c r="AZ58" s="54">
        <v>10000000000</v>
      </c>
      <c r="BA58" s="15">
        <v>146.66999999999999</v>
      </c>
      <c r="BB58" s="15">
        <v>26.22</v>
      </c>
      <c r="BC58" s="15">
        <v>8.6199999999999992</v>
      </c>
      <c r="BD58" s="15">
        <v>1.34</v>
      </c>
      <c r="BE58" s="15">
        <v>8.61</v>
      </c>
      <c r="BF58" s="15">
        <v>2.14</v>
      </c>
      <c r="BG58" s="15">
        <v>286.33</v>
      </c>
      <c r="BH58" s="15">
        <v>15.59</v>
      </c>
      <c r="BI58" s="15">
        <v>10000000000</v>
      </c>
      <c r="BJ58" s="15">
        <v>229.6</v>
      </c>
      <c r="BK58" s="15">
        <v>25</v>
      </c>
      <c r="BL58" s="15">
        <v>86.2</v>
      </c>
      <c r="BM58" s="15">
        <v>108.83</v>
      </c>
      <c r="BN58" s="15">
        <v>2.14</v>
      </c>
      <c r="BO58" s="15">
        <v>30.19</v>
      </c>
      <c r="BP58" s="15">
        <v>36.81</v>
      </c>
      <c r="BQ58" s="15">
        <v>612.83000000000004</v>
      </c>
      <c r="BR58" s="15">
        <v>65.468019999999996</v>
      </c>
      <c r="BS58" s="15">
        <v>220.4393</v>
      </c>
      <c r="BT58" s="15">
        <v>46.565460000000002</v>
      </c>
      <c r="BU58" s="15">
        <v>41.984990000000003</v>
      </c>
      <c r="BV58" s="15">
        <v>41.610050000000001</v>
      </c>
      <c r="BW58" s="15">
        <v>0.10587000000000001</v>
      </c>
      <c r="BX58" s="15">
        <v>0.105619</v>
      </c>
      <c r="BY58" s="15">
        <v>81.145989999999998</v>
      </c>
      <c r="BZ58" s="15">
        <v>18.995360000000002</v>
      </c>
      <c r="CA58" s="15">
        <v>0</v>
      </c>
      <c r="CB58" s="15">
        <v>0.92927000000000004</v>
      </c>
      <c r="CC58" s="15">
        <v>717.45920000000001</v>
      </c>
      <c r="CD58" s="15">
        <v>739.83810000000005</v>
      </c>
      <c r="CE58" s="15">
        <v>84.646410000000003</v>
      </c>
      <c r="CF58" s="15">
        <v>506.44</v>
      </c>
      <c r="CG58" s="15">
        <v>89.19</v>
      </c>
      <c r="CH58" s="15">
        <v>103.4</v>
      </c>
      <c r="CI58" s="15">
        <v>449.65</v>
      </c>
      <c r="CJ58" s="15">
        <v>472.14</v>
      </c>
      <c r="CK58" s="15">
        <v>485.7</v>
      </c>
      <c r="CL58" s="15">
        <v>510.94</v>
      </c>
      <c r="CM58" s="15">
        <v>506.48</v>
      </c>
      <c r="CN58" s="15">
        <v>505.51</v>
      </c>
      <c r="CO58" s="15">
        <v>423.45</v>
      </c>
      <c r="CP58" s="15">
        <v>29.28</v>
      </c>
      <c r="CQ58" s="15">
        <v>542.79999999999995</v>
      </c>
      <c r="CR58" s="15">
        <v>544.04</v>
      </c>
      <c r="CS58" s="15">
        <v>9.6999999999999993</v>
      </c>
      <c r="CT58" s="15">
        <v>9.6999999999999993</v>
      </c>
    </row>
    <row r="59" spans="1:132" x14ac:dyDescent="0.25">
      <c r="A59" s="72"/>
      <c r="B59" s="13">
        <v>21</v>
      </c>
      <c r="C59" s="14">
        <v>41401.533093171296</v>
      </c>
      <c r="D59" s="13">
        <v>7</v>
      </c>
      <c r="E59" s="13">
        <v>23</v>
      </c>
      <c r="F59" s="13">
        <v>544</v>
      </c>
      <c r="G59" s="13">
        <v>544</v>
      </c>
      <c r="H59" s="13">
        <v>544</v>
      </c>
      <c r="I59" s="13">
        <v>91.7</v>
      </c>
      <c r="J59" s="13">
        <v>91.7</v>
      </c>
      <c r="K59" s="13">
        <v>1800</v>
      </c>
      <c r="L59" s="13">
        <v>34</v>
      </c>
      <c r="M59" s="13">
        <v>34</v>
      </c>
      <c r="N59" s="13">
        <v>0.26</v>
      </c>
      <c r="O59" s="13">
        <v>0.259911</v>
      </c>
      <c r="P59" s="13">
        <v>1</v>
      </c>
      <c r="Q59" s="13">
        <v>1.069007</v>
      </c>
      <c r="R59" s="13">
        <v>-4.3899999999999997</v>
      </c>
      <c r="S59" s="13">
        <v>-4.3945309999999997</v>
      </c>
      <c r="T59" s="13">
        <v>175.84</v>
      </c>
      <c r="U59" s="13">
        <v>175.84379999999999</v>
      </c>
      <c r="V59" s="13">
        <v>3.5</v>
      </c>
      <c r="W59" s="13">
        <v>3.5</v>
      </c>
      <c r="X59" s="13">
        <v>300</v>
      </c>
      <c r="Y59" s="13">
        <v>300</v>
      </c>
      <c r="Z59" s="13">
        <v>0</v>
      </c>
      <c r="AA59" s="13">
        <v>0</v>
      </c>
      <c r="AB59" s="13">
        <v>300</v>
      </c>
      <c r="AC59" s="13">
        <v>300</v>
      </c>
      <c r="AD59" s="13">
        <v>0</v>
      </c>
      <c r="AE59" s="13">
        <v>129.94669999999999</v>
      </c>
      <c r="AF59" s="13">
        <v>0</v>
      </c>
      <c r="AG59" s="13">
        <v>129.94669999999999</v>
      </c>
      <c r="AH59" s="13">
        <v>34</v>
      </c>
      <c r="AI59" s="13">
        <v>0.2</v>
      </c>
      <c r="AJ59" s="13">
        <v>75.510000000000005</v>
      </c>
      <c r="AK59" s="13">
        <v>106.07</v>
      </c>
      <c r="AL59" s="13">
        <v>124.17</v>
      </c>
      <c r="AM59" s="13">
        <v>124.98</v>
      </c>
      <c r="AN59" s="13">
        <v>552.6</v>
      </c>
      <c r="AO59" s="13">
        <v>199.67609999999999</v>
      </c>
      <c r="AP59" s="13">
        <v>99.24</v>
      </c>
      <c r="AQ59" s="13">
        <v>123.4</v>
      </c>
      <c r="AR59" s="13">
        <v>114.89</v>
      </c>
      <c r="AS59" s="13">
        <v>582.42999999999995</v>
      </c>
      <c r="AT59" s="13">
        <v>24.91</v>
      </c>
      <c r="AU59" s="13">
        <v>65.95</v>
      </c>
      <c r="AV59" s="13">
        <v>109.55</v>
      </c>
      <c r="AW59" s="13">
        <v>115.65</v>
      </c>
      <c r="AX59" s="13">
        <v>0.38400000000000001</v>
      </c>
      <c r="AY59" s="13">
        <v>5.67</v>
      </c>
      <c r="AZ59" s="38">
        <v>10000000000</v>
      </c>
      <c r="BA59" s="13">
        <v>145</v>
      </c>
      <c r="BB59" s="13">
        <v>28.47</v>
      </c>
      <c r="BC59" s="13">
        <v>8.6</v>
      </c>
      <c r="BD59" s="13">
        <v>1.34</v>
      </c>
      <c r="BE59" s="13">
        <v>8.65</v>
      </c>
      <c r="BF59" s="13">
        <v>2.15</v>
      </c>
      <c r="BG59" s="13">
        <v>291.66000000000003</v>
      </c>
      <c r="BH59" s="13">
        <v>15.61</v>
      </c>
      <c r="BI59" s="13">
        <v>10000000000</v>
      </c>
      <c r="BJ59" s="13">
        <v>229.9</v>
      </c>
      <c r="BK59" s="13">
        <v>24.7</v>
      </c>
      <c r="BL59" s="13">
        <v>85</v>
      </c>
      <c r="BM59" s="13">
        <v>107.73</v>
      </c>
      <c r="BN59" s="13">
        <v>2.14</v>
      </c>
      <c r="BO59" s="13">
        <v>30.21</v>
      </c>
      <c r="BP59" s="13">
        <v>36.909999999999997</v>
      </c>
      <c r="BQ59" s="13">
        <v>605.91</v>
      </c>
      <c r="BR59" s="13">
        <v>66.3001</v>
      </c>
      <c r="BS59" s="13">
        <v>221.09780000000001</v>
      </c>
      <c r="BT59" s="13">
        <v>46.494999999999997</v>
      </c>
      <c r="BU59" s="13">
        <v>41.921840000000003</v>
      </c>
      <c r="BV59" s="13">
        <v>41.541249999999998</v>
      </c>
      <c r="BW59" s="13">
        <v>0.105726</v>
      </c>
      <c r="BX59" s="13">
        <v>0.10538400000000001</v>
      </c>
      <c r="BY59" s="13">
        <v>81.392139999999998</v>
      </c>
      <c r="BZ59" s="13">
        <v>18.995360000000002</v>
      </c>
      <c r="CA59" s="13">
        <v>0</v>
      </c>
      <c r="CB59" s="13">
        <v>0.92919099999999999</v>
      </c>
      <c r="CC59" s="13">
        <v>718.19939999999997</v>
      </c>
      <c r="CD59" s="13">
        <v>740.64149999999995</v>
      </c>
      <c r="CE59" s="13">
        <v>84.892080000000007</v>
      </c>
      <c r="CF59" s="13">
        <v>507.13</v>
      </c>
      <c r="CG59" s="13">
        <v>90.39</v>
      </c>
      <c r="CH59" s="13">
        <v>104.11</v>
      </c>
      <c r="CI59" s="13">
        <v>447.62</v>
      </c>
      <c r="CJ59" s="13">
        <v>471.11</v>
      </c>
      <c r="CK59" s="13">
        <v>484.62</v>
      </c>
      <c r="CL59" s="13">
        <v>509.34</v>
      </c>
      <c r="CM59" s="13">
        <v>506.82</v>
      </c>
      <c r="CN59" s="13">
        <v>505.5</v>
      </c>
      <c r="CO59" s="13">
        <v>422.76</v>
      </c>
      <c r="CP59" s="13">
        <v>29.82</v>
      </c>
      <c r="CQ59" s="13">
        <v>542.79999999999995</v>
      </c>
      <c r="CR59" s="13">
        <v>544.04999999999995</v>
      </c>
      <c r="CS59" s="13">
        <v>9.6999999999999993</v>
      </c>
      <c r="CT59" s="13">
        <v>9.6999999999999993</v>
      </c>
    </row>
    <row r="60" spans="1:132" x14ac:dyDescent="0.25">
      <c r="A60" s="72"/>
      <c r="B60" s="13">
        <v>31</v>
      </c>
      <c r="C60" s="14">
        <v>41401.589286851849</v>
      </c>
      <c r="D60" s="13">
        <v>7</v>
      </c>
      <c r="E60" s="13">
        <v>34</v>
      </c>
      <c r="F60" s="13">
        <v>544</v>
      </c>
      <c r="G60" s="13">
        <v>544</v>
      </c>
      <c r="H60" s="13">
        <v>544</v>
      </c>
      <c r="I60" s="13">
        <v>91.7</v>
      </c>
      <c r="J60" s="13">
        <v>91.7</v>
      </c>
      <c r="K60" s="13">
        <v>1800</v>
      </c>
      <c r="L60" s="13">
        <v>34</v>
      </c>
      <c r="M60" s="13">
        <v>34</v>
      </c>
      <c r="N60" s="13">
        <v>0.26</v>
      </c>
      <c r="O60" s="13">
        <v>0.26001999999999997</v>
      </c>
      <c r="P60" s="13">
        <v>1</v>
      </c>
      <c r="Q60" s="13">
        <v>1.068927</v>
      </c>
      <c r="R60" s="13">
        <v>-4.3899999999999997</v>
      </c>
      <c r="S60" s="13">
        <v>-4.3945309999999997</v>
      </c>
      <c r="T60" s="13">
        <v>175.84</v>
      </c>
      <c r="U60" s="13">
        <v>175.84379999999999</v>
      </c>
      <c r="V60" s="13">
        <v>3.5</v>
      </c>
      <c r="W60" s="13">
        <v>3.5</v>
      </c>
      <c r="X60" s="13">
        <v>300</v>
      </c>
      <c r="Y60" s="13">
        <v>300</v>
      </c>
      <c r="Z60" s="13">
        <v>0</v>
      </c>
      <c r="AA60" s="13">
        <v>0</v>
      </c>
      <c r="AB60" s="13">
        <v>300</v>
      </c>
      <c r="AC60" s="13">
        <v>300</v>
      </c>
      <c r="AD60" s="13">
        <v>0</v>
      </c>
      <c r="AE60" s="13">
        <v>129.7433</v>
      </c>
      <c r="AF60" s="13">
        <v>0</v>
      </c>
      <c r="AG60" s="13">
        <v>129.7433</v>
      </c>
      <c r="AH60" s="13">
        <v>34</v>
      </c>
      <c r="AI60" s="13">
        <v>0.2</v>
      </c>
      <c r="AJ60" s="13">
        <v>75.95</v>
      </c>
      <c r="AK60" s="13">
        <v>105.67</v>
      </c>
      <c r="AL60" s="13">
        <v>122.85</v>
      </c>
      <c r="AM60" s="13">
        <v>123.88</v>
      </c>
      <c r="AN60" s="13">
        <v>553.72</v>
      </c>
      <c r="AO60" s="13">
        <v>198.8597</v>
      </c>
      <c r="AP60" s="13">
        <v>98.3</v>
      </c>
      <c r="AQ60" s="13">
        <v>122.86</v>
      </c>
      <c r="AR60" s="13">
        <v>113.91</v>
      </c>
      <c r="AS60" s="13">
        <v>587.87</v>
      </c>
      <c r="AT60" s="13">
        <v>24.54</v>
      </c>
      <c r="AU60" s="13">
        <v>65.06</v>
      </c>
      <c r="AV60" s="13">
        <v>108.55</v>
      </c>
      <c r="AW60" s="13">
        <v>116</v>
      </c>
      <c r="AX60" s="13">
        <v>0.38200000000000001</v>
      </c>
      <c r="AY60" s="13">
        <v>5.65</v>
      </c>
      <c r="AZ60" s="38">
        <v>10000000000</v>
      </c>
      <c r="BA60" s="13">
        <v>152.94999999999999</v>
      </c>
      <c r="BB60" s="13">
        <v>25.52</v>
      </c>
      <c r="BC60" s="13">
        <v>8.6</v>
      </c>
      <c r="BD60" s="13">
        <v>1.33</v>
      </c>
      <c r="BE60" s="13">
        <v>8.59</v>
      </c>
      <c r="BF60" s="13">
        <v>2.15</v>
      </c>
      <c r="BG60" s="13">
        <v>288.83999999999997</v>
      </c>
      <c r="BH60" s="13">
        <v>15.52</v>
      </c>
      <c r="BI60" s="13">
        <v>10000000000</v>
      </c>
      <c r="BJ60" s="13">
        <v>229.8</v>
      </c>
      <c r="BK60" s="13">
        <v>24.9</v>
      </c>
      <c r="BL60" s="13">
        <v>85.9</v>
      </c>
      <c r="BM60" s="13">
        <v>107.97</v>
      </c>
      <c r="BN60" s="13">
        <v>2.14</v>
      </c>
      <c r="BO60" s="13">
        <v>30.19</v>
      </c>
      <c r="BP60" s="13">
        <v>36.840000000000003</v>
      </c>
      <c r="BQ60" s="13">
        <v>611.13</v>
      </c>
      <c r="BR60" s="13">
        <v>65.461299999999994</v>
      </c>
      <c r="BS60" s="13">
        <v>220.13759999999999</v>
      </c>
      <c r="BT60" s="13">
        <v>46.512369999999997</v>
      </c>
      <c r="BU60" s="13">
        <v>41.870310000000003</v>
      </c>
      <c r="BV60" s="13">
        <v>41.500210000000003</v>
      </c>
      <c r="BW60" s="13">
        <v>0.105767</v>
      </c>
      <c r="BX60" s="13">
        <v>0.105631</v>
      </c>
      <c r="BY60" s="13">
        <v>81.334950000000006</v>
      </c>
      <c r="BZ60" s="13">
        <v>18.995360000000002</v>
      </c>
      <c r="CA60" s="13">
        <v>0</v>
      </c>
      <c r="CB60" s="13">
        <v>0.92920400000000003</v>
      </c>
      <c r="CC60" s="13">
        <v>717.07309999999995</v>
      </c>
      <c r="CD60" s="13">
        <v>739.4973</v>
      </c>
      <c r="CE60" s="13">
        <v>84.834950000000006</v>
      </c>
      <c r="CF60" s="13">
        <v>507.07</v>
      </c>
      <c r="CG60" s="13">
        <v>88.98</v>
      </c>
      <c r="CH60" s="13">
        <v>102.89</v>
      </c>
      <c r="CI60" s="13">
        <v>448.19</v>
      </c>
      <c r="CJ60" s="13">
        <v>471.41</v>
      </c>
      <c r="CK60" s="13">
        <v>486.26</v>
      </c>
      <c r="CL60" s="13">
        <v>512.85</v>
      </c>
      <c r="CM60" s="13">
        <v>506.95</v>
      </c>
      <c r="CN60" s="13">
        <v>506.55</v>
      </c>
      <c r="CO60" s="13">
        <v>424.4</v>
      </c>
      <c r="CP60" s="13">
        <v>29.44</v>
      </c>
      <c r="CQ60" s="13">
        <v>542.79999999999995</v>
      </c>
      <c r="CR60" s="13">
        <v>544.04</v>
      </c>
      <c r="CS60" s="13">
        <v>9.6999999999999993</v>
      </c>
      <c r="CT60" s="13">
        <v>9.6999999999999993</v>
      </c>
    </row>
    <row r="61" spans="1:132" x14ac:dyDescent="0.25">
      <c r="A61" s="72"/>
      <c r="B61" s="34">
        <v>33</v>
      </c>
      <c r="C61" s="35">
        <v>41401.60388195602</v>
      </c>
      <c r="D61" s="34">
        <v>7</v>
      </c>
      <c r="E61" s="34">
        <v>34</v>
      </c>
      <c r="F61" s="34">
        <v>544</v>
      </c>
      <c r="G61" s="34">
        <v>544</v>
      </c>
      <c r="H61" s="34">
        <v>544.1</v>
      </c>
      <c r="I61" s="34">
        <v>91.7</v>
      </c>
      <c r="J61" s="34">
        <v>91.7</v>
      </c>
      <c r="K61" s="34">
        <v>1800</v>
      </c>
      <c r="L61" s="34">
        <v>34</v>
      </c>
      <c r="M61" s="34">
        <v>34</v>
      </c>
      <c r="N61" s="34">
        <v>0.26</v>
      </c>
      <c r="O61" s="34">
        <v>0.26011899999999999</v>
      </c>
      <c r="P61" s="34">
        <v>1</v>
      </c>
      <c r="Q61" s="34">
        <v>1.0688850000000001</v>
      </c>
      <c r="R61" s="34">
        <v>-4.3899999999999997</v>
      </c>
      <c r="S61" s="34">
        <v>-4.3945309999999997</v>
      </c>
      <c r="T61" s="34">
        <v>175.84</v>
      </c>
      <c r="U61" s="34">
        <v>175.84379999999999</v>
      </c>
      <c r="V61" s="34">
        <v>3.5</v>
      </c>
      <c r="W61" s="34">
        <v>3.5</v>
      </c>
      <c r="X61" s="34">
        <v>300</v>
      </c>
      <c r="Y61" s="34">
        <v>300</v>
      </c>
      <c r="Z61" s="34">
        <v>0</v>
      </c>
      <c r="AA61" s="34">
        <v>0</v>
      </c>
      <c r="AB61" s="34">
        <v>300</v>
      </c>
      <c r="AC61" s="34">
        <v>300</v>
      </c>
      <c r="AD61" s="34">
        <v>0</v>
      </c>
      <c r="AE61" s="34">
        <v>129.8212</v>
      </c>
      <c r="AF61" s="34">
        <v>0</v>
      </c>
      <c r="AG61" s="34">
        <v>129.8212</v>
      </c>
      <c r="AH61" s="34">
        <v>34</v>
      </c>
      <c r="AI61" s="34">
        <v>0.2</v>
      </c>
      <c r="AJ61" s="34">
        <v>75.63</v>
      </c>
      <c r="AK61" s="34">
        <v>106.01</v>
      </c>
      <c r="AL61" s="34">
        <v>123.77</v>
      </c>
      <c r="AM61" s="34">
        <v>124.7</v>
      </c>
      <c r="AN61" s="34">
        <v>552.35</v>
      </c>
      <c r="AO61" s="34">
        <v>199.2852</v>
      </c>
      <c r="AP61" s="34">
        <v>98.64</v>
      </c>
      <c r="AQ61" s="34">
        <v>122.83</v>
      </c>
      <c r="AR61" s="34">
        <v>114.3</v>
      </c>
      <c r="AS61" s="34">
        <v>582.87</v>
      </c>
      <c r="AT61" s="34">
        <v>25.1</v>
      </c>
      <c r="AU61" s="34">
        <v>65.569999999999993</v>
      </c>
      <c r="AV61" s="34">
        <v>109.06</v>
      </c>
      <c r="AW61" s="34">
        <v>111.11</v>
      </c>
      <c r="AX61" s="34">
        <v>0.38400000000000001</v>
      </c>
      <c r="AY61" s="34">
        <v>5.68</v>
      </c>
      <c r="AZ61" s="58">
        <v>10000000000</v>
      </c>
      <c r="BA61" s="34">
        <v>149.94</v>
      </c>
      <c r="BB61" s="34">
        <v>26.58</v>
      </c>
      <c r="BC61" s="34">
        <v>8.59</v>
      </c>
      <c r="BD61" s="34">
        <v>1.35</v>
      </c>
      <c r="BE61" s="34">
        <v>8.61</v>
      </c>
      <c r="BF61" s="34">
        <v>2.13</v>
      </c>
      <c r="BG61" s="34">
        <v>288.33</v>
      </c>
      <c r="BH61" s="34">
        <v>15.66</v>
      </c>
      <c r="BI61" s="34">
        <v>10000000000</v>
      </c>
      <c r="BJ61" s="34">
        <v>230</v>
      </c>
      <c r="BK61" s="34">
        <v>24.7</v>
      </c>
      <c r="BL61" s="34">
        <v>85.3</v>
      </c>
      <c r="BM61" s="34">
        <v>108.21</v>
      </c>
      <c r="BN61" s="34">
        <v>2.14</v>
      </c>
      <c r="BO61" s="34">
        <v>30.21</v>
      </c>
      <c r="BP61" s="34">
        <v>36.909999999999997</v>
      </c>
      <c r="BQ61" s="34">
        <v>606.57000000000005</v>
      </c>
      <c r="BR61" s="34">
        <v>65.930679999999995</v>
      </c>
      <c r="BS61" s="34">
        <v>220.8502</v>
      </c>
      <c r="BT61" s="34">
        <v>46.461109999999998</v>
      </c>
      <c r="BU61" s="34">
        <v>41.812249999999999</v>
      </c>
      <c r="BV61" s="34">
        <v>41.446219999999997</v>
      </c>
      <c r="BW61" s="34">
        <v>0.10566300000000001</v>
      </c>
      <c r="BX61" s="34">
        <v>0.105402</v>
      </c>
      <c r="BY61" s="34">
        <v>81.513180000000006</v>
      </c>
      <c r="BZ61" s="34">
        <v>18.995360000000002</v>
      </c>
      <c r="CA61" s="34">
        <v>0</v>
      </c>
      <c r="CB61" s="34">
        <v>0.92914699999999995</v>
      </c>
      <c r="CC61" s="34">
        <v>717.57</v>
      </c>
      <c r="CD61" s="34">
        <v>740.05</v>
      </c>
      <c r="CE61" s="34">
        <v>85.015309999999999</v>
      </c>
      <c r="CF61" s="34">
        <v>508.39</v>
      </c>
      <c r="CG61" s="34">
        <v>89.2</v>
      </c>
      <c r="CH61" s="34">
        <v>103.31</v>
      </c>
      <c r="CI61" s="34">
        <v>448.59</v>
      </c>
      <c r="CJ61" s="34">
        <v>471.56</v>
      </c>
      <c r="CK61" s="34">
        <v>485.11</v>
      </c>
      <c r="CL61" s="34">
        <v>509.67</v>
      </c>
      <c r="CM61" s="34">
        <v>509.13</v>
      </c>
      <c r="CN61" s="34">
        <v>507.56</v>
      </c>
      <c r="CO61" s="34">
        <v>421.33</v>
      </c>
      <c r="CP61" s="34">
        <v>29.48</v>
      </c>
      <c r="CQ61" s="34">
        <v>542.9</v>
      </c>
      <c r="CR61" s="34">
        <v>544.04999999999995</v>
      </c>
      <c r="CS61" s="34">
        <v>9.6999999999999993</v>
      </c>
      <c r="CT61" s="34">
        <v>9.6999999999999993</v>
      </c>
    </row>
    <row r="62" spans="1:132" x14ac:dyDescent="0.25">
      <c r="A62" s="72"/>
      <c r="B62" s="34">
        <v>44</v>
      </c>
      <c r="C62" s="35">
        <v>41401.700573263886</v>
      </c>
      <c r="D62" s="34">
        <v>7</v>
      </c>
      <c r="E62" s="34">
        <v>45</v>
      </c>
      <c r="F62" s="34">
        <v>544</v>
      </c>
      <c r="G62" s="34">
        <v>544</v>
      </c>
      <c r="H62" s="34">
        <v>544</v>
      </c>
      <c r="I62" s="34">
        <v>91.7</v>
      </c>
      <c r="J62" s="34">
        <v>91.7</v>
      </c>
      <c r="K62" s="34">
        <v>1800</v>
      </c>
      <c r="L62" s="34">
        <v>34</v>
      </c>
      <c r="M62" s="34">
        <v>34</v>
      </c>
      <c r="N62" s="34">
        <v>0.26</v>
      </c>
      <c r="O62" s="34">
        <v>0.25992999999999999</v>
      </c>
      <c r="P62" s="34">
        <v>1</v>
      </c>
      <c r="Q62" s="34">
        <v>1.0688880000000001</v>
      </c>
      <c r="R62" s="34">
        <v>-4.3899999999999997</v>
      </c>
      <c r="S62" s="34">
        <v>-4.3945309999999997</v>
      </c>
      <c r="T62" s="34">
        <v>175.84</v>
      </c>
      <c r="U62" s="34">
        <v>175.84379999999999</v>
      </c>
      <c r="V62" s="34">
        <v>3.5</v>
      </c>
      <c r="W62" s="34">
        <v>3.5</v>
      </c>
      <c r="X62" s="34">
        <v>300</v>
      </c>
      <c r="Y62" s="34">
        <v>300</v>
      </c>
      <c r="Z62" s="34">
        <v>0</v>
      </c>
      <c r="AA62" s="34">
        <v>0</v>
      </c>
      <c r="AB62" s="34">
        <v>300</v>
      </c>
      <c r="AC62" s="34">
        <v>300</v>
      </c>
      <c r="AD62" s="34">
        <v>0</v>
      </c>
      <c r="AE62" s="34">
        <v>131.20760000000001</v>
      </c>
      <c r="AF62" s="34">
        <v>0</v>
      </c>
      <c r="AG62" s="34">
        <v>131.20760000000001</v>
      </c>
      <c r="AH62" s="34">
        <v>34</v>
      </c>
      <c r="AI62" s="34">
        <v>0.2</v>
      </c>
      <c r="AJ62" s="34">
        <v>75.98</v>
      </c>
      <c r="AK62" s="34">
        <v>106.07</v>
      </c>
      <c r="AL62" s="34">
        <v>124.3</v>
      </c>
      <c r="AM62" s="34">
        <v>125.32</v>
      </c>
      <c r="AN62" s="34">
        <v>550.88</v>
      </c>
      <c r="AO62" s="34">
        <v>200.8997</v>
      </c>
      <c r="AP62" s="34">
        <v>99.23</v>
      </c>
      <c r="AQ62" s="34">
        <v>123.84</v>
      </c>
      <c r="AR62" s="34">
        <v>114.96</v>
      </c>
      <c r="AS62" s="34">
        <v>583.72</v>
      </c>
      <c r="AT62" s="34">
        <v>25.05</v>
      </c>
      <c r="AU62" s="34">
        <v>64.69</v>
      </c>
      <c r="AV62" s="34">
        <v>108.03</v>
      </c>
      <c r="AW62" s="34">
        <v>118.4</v>
      </c>
      <c r="AX62" s="34">
        <v>0.38500000000000001</v>
      </c>
      <c r="AY62" s="34">
        <v>5.69</v>
      </c>
      <c r="AZ62" s="58">
        <v>10000000000</v>
      </c>
      <c r="BA62" s="34">
        <v>146.43</v>
      </c>
      <c r="BB62" s="34">
        <v>24.39</v>
      </c>
      <c r="BC62" s="34">
        <v>8.5299999999999994</v>
      </c>
      <c r="BD62" s="34">
        <v>1.34</v>
      </c>
      <c r="BE62" s="34">
        <v>8.6199999999999992</v>
      </c>
      <c r="BF62" s="34">
        <v>2.11</v>
      </c>
      <c r="BG62" s="34">
        <v>285.08</v>
      </c>
      <c r="BH62" s="34">
        <v>15.75</v>
      </c>
      <c r="BI62" s="34">
        <v>10000000000</v>
      </c>
      <c r="BJ62" s="34">
        <v>230.1</v>
      </c>
      <c r="BK62" s="34">
        <v>24.8</v>
      </c>
      <c r="BL62" s="34">
        <v>85.2</v>
      </c>
      <c r="BM62" s="34">
        <v>109.19</v>
      </c>
      <c r="BN62" s="34">
        <v>2.15</v>
      </c>
      <c r="BO62" s="34">
        <v>30.22</v>
      </c>
      <c r="BP62" s="34">
        <v>36.89</v>
      </c>
      <c r="BQ62" s="34">
        <v>607.75</v>
      </c>
      <c r="BR62" s="34">
        <v>65.107759999999999</v>
      </c>
      <c r="BS62" s="34">
        <v>221.92850000000001</v>
      </c>
      <c r="BT62" s="34">
        <v>46.547130000000003</v>
      </c>
      <c r="BU62" s="34">
        <v>42.401710000000001</v>
      </c>
      <c r="BV62" s="34">
        <v>42.025440000000003</v>
      </c>
      <c r="BW62" s="34">
        <v>0.10584200000000001</v>
      </c>
      <c r="BX62" s="34">
        <v>0.105003</v>
      </c>
      <c r="BY62" s="34">
        <v>81.218329999999995</v>
      </c>
      <c r="BZ62" s="34">
        <v>18.995360000000002</v>
      </c>
      <c r="CA62" s="34">
        <v>0</v>
      </c>
      <c r="CB62" s="34">
        <v>0.92923800000000001</v>
      </c>
      <c r="CC62" s="34">
        <v>725.25369999999998</v>
      </c>
      <c r="CD62" s="34">
        <v>747.64959999999996</v>
      </c>
      <c r="CE62" s="34">
        <v>84.71687</v>
      </c>
      <c r="CF62" s="34">
        <v>506.87</v>
      </c>
      <c r="CG62" s="34">
        <v>89.17</v>
      </c>
      <c r="CH62" s="34">
        <v>102.9</v>
      </c>
      <c r="CI62" s="34">
        <v>448.1</v>
      </c>
      <c r="CJ62" s="34">
        <v>469.6</v>
      </c>
      <c r="CK62" s="34">
        <v>484.93</v>
      </c>
      <c r="CL62" s="34">
        <v>508.29</v>
      </c>
      <c r="CM62" s="34">
        <v>505.64</v>
      </c>
      <c r="CN62" s="34">
        <v>505.85</v>
      </c>
      <c r="CO62" s="34">
        <v>420.99</v>
      </c>
      <c r="CP62" s="34">
        <v>29.67</v>
      </c>
      <c r="CQ62" s="34">
        <v>543.1</v>
      </c>
      <c r="CR62" s="34">
        <v>544.04999999999995</v>
      </c>
      <c r="CS62" s="34">
        <v>9.6999999999999993</v>
      </c>
      <c r="CT62" s="34">
        <v>9.6999999999999993</v>
      </c>
    </row>
    <row r="63" spans="1:132" x14ac:dyDescent="0.25">
      <c r="A63" s="72" t="s">
        <v>103</v>
      </c>
      <c r="B63" s="9">
        <v>1</v>
      </c>
      <c r="C63" s="10">
        <v>41402.398619641201</v>
      </c>
      <c r="D63" s="9">
        <v>8</v>
      </c>
      <c r="E63" s="9">
        <v>1</v>
      </c>
      <c r="F63" s="9">
        <v>715</v>
      </c>
      <c r="G63" s="9">
        <v>715</v>
      </c>
      <c r="H63" s="9">
        <v>715.1</v>
      </c>
      <c r="I63" s="9">
        <v>91.7</v>
      </c>
      <c r="J63" s="9">
        <v>91.7</v>
      </c>
      <c r="K63" s="9">
        <v>1800</v>
      </c>
      <c r="L63" s="9">
        <v>20</v>
      </c>
      <c r="M63" s="9">
        <v>20</v>
      </c>
      <c r="N63" s="9">
        <v>0.25</v>
      </c>
      <c r="O63" s="9">
        <v>0.25000699999999998</v>
      </c>
      <c r="P63" s="9">
        <v>1</v>
      </c>
      <c r="Q63" s="9">
        <v>1.0699989999999999</v>
      </c>
      <c r="R63" s="9">
        <v>-0.02</v>
      </c>
      <c r="S63" s="9">
        <v>-2.1972999999999999E-2</v>
      </c>
      <c r="T63" s="9">
        <v>183.21</v>
      </c>
      <c r="U63" s="9">
        <v>183.20310000000001</v>
      </c>
      <c r="V63" s="9">
        <v>3.5</v>
      </c>
      <c r="W63" s="9">
        <v>3.5</v>
      </c>
      <c r="X63" s="9">
        <v>300</v>
      </c>
      <c r="Y63" s="9">
        <v>300</v>
      </c>
      <c r="Z63" s="9">
        <v>0</v>
      </c>
      <c r="AA63" s="9">
        <v>0</v>
      </c>
      <c r="AB63" s="9">
        <v>300</v>
      </c>
      <c r="AC63" s="9">
        <v>300</v>
      </c>
      <c r="AD63" s="9">
        <v>0</v>
      </c>
      <c r="AE63" s="9">
        <v>134.6337</v>
      </c>
      <c r="AF63" s="9">
        <v>0</v>
      </c>
      <c r="AG63" s="9">
        <v>134.6337</v>
      </c>
      <c r="AH63" s="9">
        <v>35</v>
      </c>
      <c r="AI63" s="9">
        <v>0.2</v>
      </c>
      <c r="AJ63" s="9">
        <v>78.42</v>
      </c>
      <c r="AK63" s="9">
        <v>110.52</v>
      </c>
      <c r="AL63" s="9">
        <v>122.73</v>
      </c>
      <c r="AM63" s="9">
        <v>124.47</v>
      </c>
      <c r="AN63" s="9">
        <v>626.80999999999995</v>
      </c>
      <c r="AO63" s="9">
        <v>205.04220000000001</v>
      </c>
      <c r="AP63" s="9">
        <v>104.42</v>
      </c>
      <c r="AQ63" s="9">
        <v>130.97999999999999</v>
      </c>
      <c r="AR63" s="9">
        <v>121.18</v>
      </c>
      <c r="AS63" s="9">
        <v>631.63</v>
      </c>
      <c r="AT63" s="9">
        <v>18.329999999999998</v>
      </c>
      <c r="AU63" s="9">
        <v>62.99</v>
      </c>
      <c r="AV63" s="9">
        <v>103.52</v>
      </c>
      <c r="AW63" s="9">
        <v>117.29</v>
      </c>
      <c r="AX63" s="9">
        <v>0.55700000000000005</v>
      </c>
      <c r="AY63" s="9">
        <v>8.67</v>
      </c>
      <c r="AZ63" s="65">
        <v>10000000000</v>
      </c>
      <c r="BA63" s="9">
        <v>255.61</v>
      </c>
      <c r="BB63" s="9">
        <v>20.85</v>
      </c>
      <c r="BC63" s="9">
        <v>10.27</v>
      </c>
      <c r="BD63" s="9">
        <v>1.23</v>
      </c>
      <c r="BE63" s="9">
        <v>6.34</v>
      </c>
      <c r="BF63" s="9">
        <v>2.78</v>
      </c>
      <c r="BG63" s="9">
        <v>470.31</v>
      </c>
      <c r="BH63" s="9">
        <v>11.95</v>
      </c>
      <c r="BI63" s="9">
        <v>10000000000</v>
      </c>
      <c r="BJ63" s="9">
        <v>219.8</v>
      </c>
      <c r="BK63" s="9">
        <v>21.3</v>
      </c>
      <c r="BL63" s="9">
        <v>86.2</v>
      </c>
      <c r="BM63" s="9">
        <v>85.67</v>
      </c>
      <c r="BN63" s="9">
        <v>2.19</v>
      </c>
      <c r="BO63" s="9">
        <v>30.06</v>
      </c>
      <c r="BP63" s="9">
        <v>38.119999999999997</v>
      </c>
      <c r="BQ63" s="9">
        <v>660.69</v>
      </c>
      <c r="BR63" s="9">
        <v>63.584789999999998</v>
      </c>
      <c r="BS63" s="9">
        <v>222.02459999999999</v>
      </c>
      <c r="BT63" s="9">
        <v>42.767679999999999</v>
      </c>
      <c r="BU63" s="9">
        <v>34.428649999999998</v>
      </c>
      <c r="BV63" s="9">
        <v>34.206020000000002</v>
      </c>
      <c r="BW63" s="9">
        <v>9.6515000000000004E-2</v>
      </c>
      <c r="BX63" s="9">
        <v>9.8558999999999994E-2</v>
      </c>
      <c r="BY63" s="9">
        <v>103.54300000000001</v>
      </c>
      <c r="BZ63" s="9">
        <v>18.995360000000002</v>
      </c>
      <c r="CA63" s="9">
        <v>0</v>
      </c>
      <c r="CB63" s="9">
        <v>0.921427</v>
      </c>
      <c r="CC63" s="9">
        <v>737.32619999999997</v>
      </c>
      <c r="CD63" s="9">
        <v>765.65060000000005</v>
      </c>
      <c r="CE63" s="9">
        <v>107.04300000000001</v>
      </c>
      <c r="CF63" s="9">
        <v>555.6</v>
      </c>
      <c r="CG63" s="9">
        <v>84.04</v>
      </c>
      <c r="CH63" s="9">
        <v>98.04</v>
      </c>
      <c r="CI63" s="9">
        <v>508.62</v>
      </c>
      <c r="CJ63" s="9">
        <v>535.22</v>
      </c>
      <c r="CK63" s="9">
        <v>549.09</v>
      </c>
      <c r="CL63" s="9">
        <v>582.29999999999995</v>
      </c>
      <c r="CM63" s="9">
        <v>576</v>
      </c>
      <c r="CN63" s="9">
        <v>577.21</v>
      </c>
      <c r="CO63" s="9">
        <v>494.08</v>
      </c>
      <c r="CP63" s="9">
        <v>29.6</v>
      </c>
      <c r="CQ63" s="9">
        <v>715.8</v>
      </c>
      <c r="CR63" s="9">
        <v>715.06</v>
      </c>
      <c r="CS63" s="9">
        <v>12.8</v>
      </c>
      <c r="CT63" s="9">
        <v>12.8</v>
      </c>
    </row>
    <row r="64" spans="1:132" x14ac:dyDescent="0.25">
      <c r="A64" s="72"/>
      <c r="B64" s="9">
        <v>12</v>
      </c>
      <c r="C64" s="10">
        <v>41402.458260983796</v>
      </c>
      <c r="D64" s="9">
        <v>8</v>
      </c>
      <c r="E64" s="9">
        <v>12</v>
      </c>
      <c r="F64" s="9">
        <v>715</v>
      </c>
      <c r="G64" s="9">
        <v>715</v>
      </c>
      <c r="H64" s="9">
        <v>715</v>
      </c>
      <c r="I64" s="9">
        <v>91.7</v>
      </c>
      <c r="J64" s="9">
        <v>91.7</v>
      </c>
      <c r="K64" s="9">
        <v>1800</v>
      </c>
      <c r="L64" s="9">
        <v>20</v>
      </c>
      <c r="M64" s="9">
        <v>20</v>
      </c>
      <c r="N64" s="9">
        <v>0.25</v>
      </c>
      <c r="O64" s="9">
        <v>0.249945</v>
      </c>
      <c r="P64" s="9">
        <v>1</v>
      </c>
      <c r="Q64" s="9">
        <v>1.0695589999999999</v>
      </c>
      <c r="R64" s="9">
        <v>-0.02</v>
      </c>
      <c r="S64" s="9">
        <v>-2.1972999999999999E-2</v>
      </c>
      <c r="T64" s="9">
        <v>183.21</v>
      </c>
      <c r="U64" s="9">
        <v>183.20310000000001</v>
      </c>
      <c r="V64" s="9">
        <v>3.5</v>
      </c>
      <c r="W64" s="9">
        <v>3.5</v>
      </c>
      <c r="X64" s="9">
        <v>300</v>
      </c>
      <c r="Y64" s="9">
        <v>300</v>
      </c>
      <c r="Z64" s="9">
        <v>0</v>
      </c>
      <c r="AA64" s="9">
        <v>0</v>
      </c>
      <c r="AB64" s="9">
        <v>300</v>
      </c>
      <c r="AC64" s="9">
        <v>300</v>
      </c>
      <c r="AD64" s="9">
        <v>0</v>
      </c>
      <c r="AE64" s="9">
        <v>136.47980000000001</v>
      </c>
      <c r="AF64" s="9">
        <v>0</v>
      </c>
      <c r="AG64" s="9">
        <v>136.47980000000001</v>
      </c>
      <c r="AH64" s="9">
        <v>35</v>
      </c>
      <c r="AI64" s="9">
        <v>0.2</v>
      </c>
      <c r="AJ64" s="9">
        <v>79.8</v>
      </c>
      <c r="AK64" s="9">
        <v>109.91</v>
      </c>
      <c r="AL64" s="9">
        <v>124.82</v>
      </c>
      <c r="AM64" s="9">
        <v>127.25</v>
      </c>
      <c r="AN64" s="9">
        <v>616.49</v>
      </c>
      <c r="AO64" s="9">
        <v>207.1422</v>
      </c>
      <c r="AP64" s="9">
        <v>106.74</v>
      </c>
      <c r="AQ64" s="9">
        <v>122.75</v>
      </c>
      <c r="AR64" s="9">
        <v>123.86</v>
      </c>
      <c r="AS64" s="9">
        <v>631.76</v>
      </c>
      <c r="AT64" s="9">
        <v>18.100000000000001</v>
      </c>
      <c r="AU64" s="9">
        <v>61.8</v>
      </c>
      <c r="AV64" s="9">
        <v>102.66</v>
      </c>
      <c r="AW64" s="9">
        <v>111.61</v>
      </c>
      <c r="AX64" s="9">
        <v>0.40600000000000003</v>
      </c>
      <c r="AY64" s="9">
        <v>6.04</v>
      </c>
      <c r="AZ64" s="65">
        <v>10000000000</v>
      </c>
      <c r="BA64" s="9">
        <v>203.19</v>
      </c>
      <c r="BB64" s="9">
        <v>17.95</v>
      </c>
      <c r="BC64" s="9">
        <v>10.029999999999999</v>
      </c>
      <c r="BD64" s="9">
        <v>1.1599999999999999</v>
      </c>
      <c r="BE64" s="9">
        <v>6.64</v>
      </c>
      <c r="BF64" s="9">
        <v>2.88</v>
      </c>
      <c r="BG64" s="9">
        <v>486.5</v>
      </c>
      <c r="BH64" s="9">
        <v>11.55</v>
      </c>
      <c r="BI64" s="9">
        <v>10000000000</v>
      </c>
      <c r="BJ64" s="9">
        <v>218.4</v>
      </c>
      <c r="BK64" s="9">
        <v>21.5</v>
      </c>
      <c r="BL64" s="9">
        <v>84.8</v>
      </c>
      <c r="BM64" s="9">
        <v>82.46</v>
      </c>
      <c r="BN64" s="9">
        <v>2.2200000000000002</v>
      </c>
      <c r="BO64" s="9">
        <v>30.02</v>
      </c>
      <c r="BP64" s="9">
        <v>38.049999999999997</v>
      </c>
      <c r="BQ64" s="9">
        <v>661.21</v>
      </c>
      <c r="BR64" s="9">
        <v>62.541670000000003</v>
      </c>
      <c r="BS64" s="9">
        <v>224.45570000000001</v>
      </c>
      <c r="BT64" s="9">
        <v>42.859020000000001</v>
      </c>
      <c r="BU64" s="9">
        <v>35.211239999999997</v>
      </c>
      <c r="BV64" s="9">
        <v>34.943519999999999</v>
      </c>
      <c r="BW64" s="9">
        <v>9.6698999999999993E-2</v>
      </c>
      <c r="BX64" s="9">
        <v>9.8236000000000004E-2</v>
      </c>
      <c r="BY64" s="9">
        <v>102.70359999999999</v>
      </c>
      <c r="BZ64" s="9">
        <v>18.995360000000002</v>
      </c>
      <c r="CA64" s="9">
        <v>0</v>
      </c>
      <c r="CB64" s="9">
        <v>0.92177299999999995</v>
      </c>
      <c r="CC64" s="9">
        <v>747.37540000000001</v>
      </c>
      <c r="CD64" s="9">
        <v>775.47329999999999</v>
      </c>
      <c r="CE64" s="9">
        <v>106.2037</v>
      </c>
      <c r="CF64" s="9">
        <v>544.38</v>
      </c>
      <c r="CG64" s="9">
        <v>86.57</v>
      </c>
      <c r="CH64" s="9">
        <v>98.92</v>
      </c>
      <c r="CI64" s="9">
        <v>501.63</v>
      </c>
      <c r="CJ64" s="9">
        <v>527.42999999999995</v>
      </c>
      <c r="CK64" s="9">
        <v>541.79999999999995</v>
      </c>
      <c r="CL64" s="9">
        <v>568.02</v>
      </c>
      <c r="CM64" s="9">
        <v>563.88</v>
      </c>
      <c r="CN64" s="9">
        <v>564.88</v>
      </c>
      <c r="CO64" s="9">
        <v>486.71</v>
      </c>
      <c r="CP64" s="9">
        <v>28.69</v>
      </c>
      <c r="CQ64" s="9">
        <v>712.6</v>
      </c>
      <c r="CR64" s="9">
        <v>715.04</v>
      </c>
      <c r="CS64" s="9">
        <v>12.8</v>
      </c>
      <c r="CT64" s="9">
        <v>12.8</v>
      </c>
    </row>
    <row r="65" spans="1:133" x14ac:dyDescent="0.25">
      <c r="A65" s="72"/>
      <c r="B65" s="13">
        <v>13</v>
      </c>
      <c r="C65" s="14">
        <v>41402.466014710648</v>
      </c>
      <c r="D65" s="13">
        <v>8</v>
      </c>
      <c r="E65" s="13">
        <v>12</v>
      </c>
      <c r="F65" s="13">
        <v>715</v>
      </c>
      <c r="G65" s="13">
        <v>715</v>
      </c>
      <c r="H65" s="13">
        <v>715.1</v>
      </c>
      <c r="I65" s="13">
        <v>91.7</v>
      </c>
      <c r="J65" s="13">
        <v>91.7</v>
      </c>
      <c r="K65" s="13">
        <v>1800</v>
      </c>
      <c r="L65" s="13">
        <v>20</v>
      </c>
      <c r="M65" s="13">
        <v>20</v>
      </c>
      <c r="N65" s="13">
        <v>0.25</v>
      </c>
      <c r="O65" s="13">
        <v>0.24999199999999999</v>
      </c>
      <c r="P65" s="13">
        <v>1</v>
      </c>
      <c r="Q65" s="13">
        <v>1.0695330000000001</v>
      </c>
      <c r="R65" s="13">
        <v>-0.02</v>
      </c>
      <c r="S65" s="13">
        <v>-2.1972999999999999E-2</v>
      </c>
      <c r="T65" s="13">
        <v>183.21</v>
      </c>
      <c r="U65" s="13">
        <v>183.20310000000001</v>
      </c>
      <c r="V65" s="13">
        <v>3.5</v>
      </c>
      <c r="W65" s="13">
        <v>3.5</v>
      </c>
      <c r="X65" s="13">
        <v>300</v>
      </c>
      <c r="Y65" s="13">
        <v>300</v>
      </c>
      <c r="Z65" s="13">
        <v>0</v>
      </c>
      <c r="AA65" s="13">
        <v>0</v>
      </c>
      <c r="AB65" s="13">
        <v>300</v>
      </c>
      <c r="AC65" s="13">
        <v>300</v>
      </c>
      <c r="AD65" s="13">
        <v>0</v>
      </c>
      <c r="AE65" s="13">
        <v>136.1746</v>
      </c>
      <c r="AF65" s="13">
        <v>0</v>
      </c>
      <c r="AG65" s="13">
        <v>136.1746</v>
      </c>
      <c r="AH65" s="13">
        <v>35</v>
      </c>
      <c r="AI65" s="13">
        <v>0.2</v>
      </c>
      <c r="AJ65" s="13">
        <v>79.900000000000006</v>
      </c>
      <c r="AK65" s="13">
        <v>109.9</v>
      </c>
      <c r="AL65" s="13">
        <v>124.29</v>
      </c>
      <c r="AM65" s="13">
        <v>126.87</v>
      </c>
      <c r="AN65" s="13">
        <v>616.97</v>
      </c>
      <c r="AO65" s="13">
        <v>207.5943</v>
      </c>
      <c r="AP65" s="13">
        <v>107.17</v>
      </c>
      <c r="AQ65" s="13">
        <v>122.1</v>
      </c>
      <c r="AR65" s="13">
        <v>124.28</v>
      </c>
      <c r="AS65" s="13">
        <v>630.61</v>
      </c>
      <c r="AT65" s="13">
        <v>17.11</v>
      </c>
      <c r="AU65" s="13">
        <v>63.18</v>
      </c>
      <c r="AV65" s="13">
        <v>102.21</v>
      </c>
      <c r="AW65" s="13">
        <v>115.7</v>
      </c>
      <c r="AX65" s="13">
        <v>0.40200000000000002</v>
      </c>
      <c r="AY65" s="13">
        <v>5.97</v>
      </c>
      <c r="AZ65" s="38">
        <v>10000000000</v>
      </c>
      <c r="BA65" s="13">
        <v>199.01</v>
      </c>
      <c r="BB65" s="13">
        <v>18.260000000000002</v>
      </c>
      <c r="BC65" s="13">
        <v>10.050000000000001</v>
      </c>
      <c r="BD65" s="13">
        <v>1.1299999999999999</v>
      </c>
      <c r="BE65" s="13">
        <v>6.68</v>
      </c>
      <c r="BF65" s="13">
        <v>2.99</v>
      </c>
      <c r="BG65" s="13">
        <v>504.99</v>
      </c>
      <c r="BH65" s="13">
        <v>11.27</v>
      </c>
      <c r="BI65" s="13">
        <v>10000000000</v>
      </c>
      <c r="BJ65" s="13">
        <v>218.2</v>
      </c>
      <c r="BK65" s="13">
        <v>21.4</v>
      </c>
      <c r="BL65" s="13">
        <v>84.7</v>
      </c>
      <c r="BM65" s="13">
        <v>80.150000000000006</v>
      </c>
      <c r="BN65" s="13">
        <v>2.2200000000000002</v>
      </c>
      <c r="BO65" s="13">
        <v>29.99</v>
      </c>
      <c r="BP65" s="13">
        <v>38.06</v>
      </c>
      <c r="BQ65" s="13">
        <v>660.25</v>
      </c>
      <c r="BR65" s="13">
        <v>63.882339999999999</v>
      </c>
      <c r="BS65" s="13">
        <v>224.26070000000001</v>
      </c>
      <c r="BT65" s="13">
        <v>42.855960000000003</v>
      </c>
      <c r="BU65" s="13">
        <v>35.109810000000003</v>
      </c>
      <c r="BV65" s="13">
        <v>34.871299999999998</v>
      </c>
      <c r="BW65" s="13">
        <v>9.6694000000000002E-2</v>
      </c>
      <c r="BX65" s="13">
        <v>9.8420999999999995E-2</v>
      </c>
      <c r="BY65" s="13">
        <v>102.7319</v>
      </c>
      <c r="BZ65" s="13">
        <v>18.995360000000002</v>
      </c>
      <c r="CA65" s="13">
        <v>0</v>
      </c>
      <c r="CB65" s="13">
        <v>0.92176100000000005</v>
      </c>
      <c r="CC65" s="13">
        <v>746.02480000000003</v>
      </c>
      <c r="CD65" s="13">
        <v>774.13189999999997</v>
      </c>
      <c r="CE65" s="13">
        <v>106.2319</v>
      </c>
      <c r="CF65" s="13">
        <v>542.88</v>
      </c>
      <c r="CG65" s="13">
        <v>85.99</v>
      </c>
      <c r="CH65" s="13">
        <v>98.05</v>
      </c>
      <c r="CI65" s="13">
        <v>501.67</v>
      </c>
      <c r="CJ65" s="13">
        <v>526.84</v>
      </c>
      <c r="CK65" s="13">
        <v>542.25</v>
      </c>
      <c r="CL65" s="13">
        <v>571.36</v>
      </c>
      <c r="CM65" s="13">
        <v>565</v>
      </c>
      <c r="CN65" s="13">
        <v>564.75</v>
      </c>
      <c r="CO65" s="13">
        <v>486.51</v>
      </c>
      <c r="CP65" s="13">
        <v>27.9</v>
      </c>
      <c r="CQ65" s="13">
        <v>712.5</v>
      </c>
      <c r="CR65" s="13">
        <v>715.05</v>
      </c>
      <c r="CS65" s="13">
        <v>12.8</v>
      </c>
      <c r="CT65" s="13">
        <v>12.8</v>
      </c>
    </row>
    <row r="66" spans="1:133" x14ac:dyDescent="0.25">
      <c r="A66" s="72"/>
      <c r="B66" s="13">
        <v>24</v>
      </c>
      <c r="C66" s="14">
        <v>41402.525696203702</v>
      </c>
      <c r="D66" s="13">
        <v>8</v>
      </c>
      <c r="E66" s="13">
        <v>23</v>
      </c>
      <c r="F66" s="13">
        <v>715</v>
      </c>
      <c r="G66" s="13">
        <v>715</v>
      </c>
      <c r="H66" s="13">
        <v>715.1</v>
      </c>
      <c r="I66" s="13">
        <v>91.7</v>
      </c>
      <c r="J66" s="13">
        <v>91.7</v>
      </c>
      <c r="K66" s="13">
        <v>1800</v>
      </c>
      <c r="L66" s="13">
        <v>20</v>
      </c>
      <c r="M66" s="13">
        <v>20</v>
      </c>
      <c r="N66" s="13">
        <v>0.25</v>
      </c>
      <c r="O66" s="13">
        <v>0.249976</v>
      </c>
      <c r="P66" s="13">
        <v>1</v>
      </c>
      <c r="Q66" s="13">
        <v>1.0694809999999999</v>
      </c>
      <c r="R66" s="13">
        <v>-0.02</v>
      </c>
      <c r="S66" s="13">
        <v>-2.1972999999999999E-2</v>
      </c>
      <c r="T66" s="13">
        <v>183.21</v>
      </c>
      <c r="U66" s="13">
        <v>183.20310000000001</v>
      </c>
      <c r="V66" s="13">
        <v>3.5</v>
      </c>
      <c r="W66" s="13">
        <v>3.5</v>
      </c>
      <c r="X66" s="13">
        <v>300</v>
      </c>
      <c r="Y66" s="13">
        <v>300</v>
      </c>
      <c r="Z66" s="13">
        <v>0</v>
      </c>
      <c r="AA66" s="13">
        <v>0</v>
      </c>
      <c r="AB66" s="13">
        <v>300</v>
      </c>
      <c r="AC66" s="13">
        <v>300</v>
      </c>
      <c r="AD66" s="13">
        <v>0</v>
      </c>
      <c r="AE66" s="13">
        <v>136.08940000000001</v>
      </c>
      <c r="AF66" s="13">
        <v>0</v>
      </c>
      <c r="AG66" s="13">
        <v>136.08940000000001</v>
      </c>
      <c r="AH66" s="13">
        <v>35</v>
      </c>
      <c r="AI66" s="13">
        <v>0.2</v>
      </c>
      <c r="AJ66" s="13">
        <v>79.58</v>
      </c>
      <c r="AK66" s="13">
        <v>109.94</v>
      </c>
      <c r="AL66" s="13">
        <v>124.47</v>
      </c>
      <c r="AM66" s="13">
        <v>126.52</v>
      </c>
      <c r="AN66" s="13">
        <v>618.13</v>
      </c>
      <c r="AO66" s="13">
        <v>206.58250000000001</v>
      </c>
      <c r="AP66" s="13">
        <v>106.07</v>
      </c>
      <c r="AQ66" s="13">
        <v>124.17</v>
      </c>
      <c r="AR66" s="13">
        <v>123.06</v>
      </c>
      <c r="AS66" s="13">
        <v>625.27</v>
      </c>
      <c r="AT66" s="13">
        <v>18.39</v>
      </c>
      <c r="AU66" s="13">
        <v>61.89</v>
      </c>
      <c r="AV66" s="13">
        <v>102.73</v>
      </c>
      <c r="AW66" s="13">
        <v>113.38</v>
      </c>
      <c r="AX66" s="13">
        <v>0.41299999999999998</v>
      </c>
      <c r="AY66" s="13">
        <v>6.16</v>
      </c>
      <c r="AZ66" s="38">
        <v>10000000000</v>
      </c>
      <c r="BA66" s="13">
        <v>202.58</v>
      </c>
      <c r="BB66" s="13">
        <v>17.66</v>
      </c>
      <c r="BC66" s="13">
        <v>10.02</v>
      </c>
      <c r="BD66" s="13">
        <v>1.17</v>
      </c>
      <c r="BE66" s="13">
        <v>6.56</v>
      </c>
      <c r="BF66" s="13">
        <v>2.86</v>
      </c>
      <c r="BG66" s="13">
        <v>487.71</v>
      </c>
      <c r="BH66" s="13">
        <v>11.66</v>
      </c>
      <c r="BI66" s="13">
        <v>10000000000</v>
      </c>
      <c r="BJ66" s="13">
        <v>218.7</v>
      </c>
      <c r="BK66" s="13">
        <v>21.2</v>
      </c>
      <c r="BL66" s="13">
        <v>84.3</v>
      </c>
      <c r="BM66" s="13">
        <v>82.51</v>
      </c>
      <c r="BN66" s="13">
        <v>2.2200000000000002</v>
      </c>
      <c r="BO66" s="13">
        <v>30.04</v>
      </c>
      <c r="BP66" s="13">
        <v>38.159999999999997</v>
      </c>
      <c r="BQ66" s="13">
        <v>654.66999999999996</v>
      </c>
      <c r="BR66" s="13">
        <v>62.61401</v>
      </c>
      <c r="BS66" s="13">
        <v>224.05289999999999</v>
      </c>
      <c r="BT66" s="13">
        <v>42.829880000000003</v>
      </c>
      <c r="BU66" s="13">
        <v>35.007460000000002</v>
      </c>
      <c r="BV66" s="13">
        <v>34.749299999999998</v>
      </c>
      <c r="BW66" s="13">
        <v>9.6640000000000004E-2</v>
      </c>
      <c r="BX66" s="13">
        <v>9.8333000000000004E-2</v>
      </c>
      <c r="BY66" s="13">
        <v>102.97539999999999</v>
      </c>
      <c r="BZ66" s="13">
        <v>18.995360000000002</v>
      </c>
      <c r="CA66" s="13">
        <v>0</v>
      </c>
      <c r="CB66" s="13">
        <v>0.92166400000000004</v>
      </c>
      <c r="CC66" s="13">
        <v>745.09559999999999</v>
      </c>
      <c r="CD66" s="13">
        <v>773.2681</v>
      </c>
      <c r="CE66" s="13">
        <v>106.47629999999999</v>
      </c>
      <c r="CF66" s="13">
        <v>546.88</v>
      </c>
      <c r="CG66" s="13">
        <v>86.46</v>
      </c>
      <c r="CH66" s="13">
        <v>98.85</v>
      </c>
      <c r="CI66" s="13">
        <v>504.98</v>
      </c>
      <c r="CJ66" s="13">
        <v>529.5</v>
      </c>
      <c r="CK66" s="13">
        <v>544.52</v>
      </c>
      <c r="CL66" s="13">
        <v>570.1</v>
      </c>
      <c r="CM66" s="13">
        <v>565.34</v>
      </c>
      <c r="CN66" s="13">
        <v>566.13</v>
      </c>
      <c r="CO66" s="13">
        <v>488.73</v>
      </c>
      <c r="CP66" s="13">
        <v>28.47</v>
      </c>
      <c r="CQ66" s="13">
        <v>713.1</v>
      </c>
      <c r="CR66" s="13">
        <v>715.05</v>
      </c>
      <c r="CS66" s="13">
        <v>12.8</v>
      </c>
      <c r="CT66" s="13">
        <v>12.8</v>
      </c>
    </row>
    <row r="67" spans="1:133" x14ac:dyDescent="0.25">
      <c r="A67" s="72"/>
      <c r="B67" s="31">
        <v>25</v>
      </c>
      <c r="C67" s="32">
        <v>41402.537951006947</v>
      </c>
      <c r="D67" s="31">
        <v>8</v>
      </c>
      <c r="E67" s="31">
        <v>23</v>
      </c>
      <c r="F67" s="31">
        <v>715</v>
      </c>
      <c r="G67" s="31">
        <v>715</v>
      </c>
      <c r="H67" s="31">
        <v>715.1</v>
      </c>
      <c r="I67" s="31">
        <v>91.7</v>
      </c>
      <c r="J67" s="31">
        <v>91.7</v>
      </c>
      <c r="K67" s="31">
        <v>1800</v>
      </c>
      <c r="L67" s="31">
        <v>20</v>
      </c>
      <c r="M67" s="31">
        <v>20</v>
      </c>
      <c r="N67" s="31">
        <v>0.25</v>
      </c>
      <c r="O67" s="31">
        <v>0.249998</v>
      </c>
      <c r="P67" s="31">
        <v>1</v>
      </c>
      <c r="Q67" s="31">
        <v>1.069528</v>
      </c>
      <c r="R67" s="31">
        <v>-0.02</v>
      </c>
      <c r="S67" s="31">
        <v>-2.1972999999999999E-2</v>
      </c>
      <c r="T67" s="31">
        <v>183.21</v>
      </c>
      <c r="U67" s="31">
        <v>183.20310000000001</v>
      </c>
      <c r="V67" s="31">
        <v>3.5</v>
      </c>
      <c r="W67" s="31">
        <v>3.5</v>
      </c>
      <c r="X67" s="31">
        <v>300</v>
      </c>
      <c r="Y67" s="31">
        <v>300</v>
      </c>
      <c r="Z67" s="31">
        <v>0</v>
      </c>
      <c r="AA67" s="31">
        <v>0</v>
      </c>
      <c r="AB67" s="31">
        <v>300</v>
      </c>
      <c r="AC67" s="31">
        <v>300</v>
      </c>
      <c r="AD67" s="31">
        <v>0</v>
      </c>
      <c r="AE67" s="31">
        <v>135.89359999999999</v>
      </c>
      <c r="AF67" s="31">
        <v>0</v>
      </c>
      <c r="AG67" s="31">
        <v>135.89359999999999</v>
      </c>
      <c r="AH67" s="31">
        <v>35</v>
      </c>
      <c r="AI67" s="31">
        <v>0.2</v>
      </c>
      <c r="AJ67" s="31">
        <v>79.48</v>
      </c>
      <c r="AK67" s="31">
        <v>109.91</v>
      </c>
      <c r="AL67" s="31">
        <v>123.71</v>
      </c>
      <c r="AM67" s="31">
        <v>125.91</v>
      </c>
      <c r="AN67" s="31">
        <v>617.69000000000005</v>
      </c>
      <c r="AO67" s="31">
        <v>206.946</v>
      </c>
      <c r="AP67" s="31">
        <v>106.21</v>
      </c>
      <c r="AQ67" s="31">
        <v>123.25</v>
      </c>
      <c r="AR67" s="31">
        <v>123.25</v>
      </c>
      <c r="AS67" s="31">
        <v>623.27</v>
      </c>
      <c r="AT67" s="31">
        <v>17.510000000000002</v>
      </c>
      <c r="AU67" s="31">
        <v>62.97</v>
      </c>
      <c r="AV67" s="31">
        <v>102.35</v>
      </c>
      <c r="AW67" s="31">
        <v>115.24</v>
      </c>
      <c r="AX67" s="31">
        <v>0.40899999999999997</v>
      </c>
      <c r="AY67" s="31">
        <v>6.1</v>
      </c>
      <c r="AZ67" s="66">
        <v>10000000000</v>
      </c>
      <c r="BA67" s="31">
        <v>197.97</v>
      </c>
      <c r="BB67" s="31">
        <v>19.149999999999999</v>
      </c>
      <c r="BC67" s="31">
        <v>10.09</v>
      </c>
      <c r="BD67" s="31">
        <v>1.1599999999999999</v>
      </c>
      <c r="BE67" s="31">
        <v>6.67</v>
      </c>
      <c r="BF67" s="31">
        <v>3.02</v>
      </c>
      <c r="BG67" s="31">
        <v>517.6</v>
      </c>
      <c r="BH67" s="31">
        <v>11.46</v>
      </c>
      <c r="BI67" s="31">
        <v>10000000000</v>
      </c>
      <c r="BJ67" s="31">
        <v>218.2</v>
      </c>
      <c r="BK67" s="31">
        <v>21.2</v>
      </c>
      <c r="BL67" s="31">
        <v>84.2</v>
      </c>
      <c r="BM67" s="31">
        <v>80.72</v>
      </c>
      <c r="BN67" s="31">
        <v>2.21</v>
      </c>
      <c r="BO67" s="31">
        <v>30.02</v>
      </c>
      <c r="BP67" s="31">
        <v>38.159999999999997</v>
      </c>
      <c r="BQ67" s="31">
        <v>653.1</v>
      </c>
      <c r="BR67" s="31">
        <v>63.632919999999999</v>
      </c>
      <c r="BS67" s="31">
        <v>223.5592</v>
      </c>
      <c r="BT67" s="31">
        <v>42.827759999999998</v>
      </c>
      <c r="BU67" s="31">
        <v>34.923409999999997</v>
      </c>
      <c r="BV67" s="31">
        <v>34.704610000000002</v>
      </c>
      <c r="BW67" s="31">
        <v>9.6641000000000005E-2</v>
      </c>
      <c r="BX67" s="31">
        <v>9.8324999999999996E-2</v>
      </c>
      <c r="BY67" s="31">
        <v>102.9773</v>
      </c>
      <c r="BZ67" s="31">
        <v>18.995360000000002</v>
      </c>
      <c r="CA67" s="31">
        <v>0</v>
      </c>
      <c r="CB67" s="31">
        <v>0.92164800000000002</v>
      </c>
      <c r="CC67" s="31">
        <v>744.32330000000002</v>
      </c>
      <c r="CD67" s="31">
        <v>772.50340000000006</v>
      </c>
      <c r="CE67" s="31">
        <v>106.4773</v>
      </c>
      <c r="CF67" s="31">
        <v>543.79</v>
      </c>
      <c r="CG67" s="31">
        <v>84.69</v>
      </c>
      <c r="CH67" s="31">
        <v>97.58</v>
      </c>
      <c r="CI67" s="31">
        <v>505.14</v>
      </c>
      <c r="CJ67" s="31">
        <v>530.38</v>
      </c>
      <c r="CK67" s="31">
        <v>542.1</v>
      </c>
      <c r="CL67" s="31">
        <v>569.32000000000005</v>
      </c>
      <c r="CM67" s="31">
        <v>566.33000000000004</v>
      </c>
      <c r="CN67" s="31">
        <v>565.69000000000005</v>
      </c>
      <c r="CO67" s="31">
        <v>485.77</v>
      </c>
      <c r="CP67" s="31">
        <v>28.93</v>
      </c>
      <c r="CQ67" s="31">
        <v>713</v>
      </c>
      <c r="CR67" s="31">
        <v>715.06</v>
      </c>
      <c r="CS67" s="31">
        <v>12.8</v>
      </c>
      <c r="CT67" s="31">
        <v>12.8</v>
      </c>
    </row>
    <row r="68" spans="1:133" x14ac:dyDescent="0.25">
      <c r="A68" s="72"/>
      <c r="B68" s="31">
        <v>37</v>
      </c>
      <c r="C68" s="32">
        <v>41402.632386840276</v>
      </c>
      <c r="D68" s="31">
        <v>8</v>
      </c>
      <c r="E68" s="31">
        <v>33</v>
      </c>
      <c r="F68" s="31">
        <v>715</v>
      </c>
      <c r="G68" s="31">
        <v>715</v>
      </c>
      <c r="H68" s="31">
        <v>715.1</v>
      </c>
      <c r="I68" s="31">
        <v>91.7</v>
      </c>
      <c r="J68" s="31">
        <v>91.7</v>
      </c>
      <c r="K68" s="31">
        <v>1800</v>
      </c>
      <c r="L68" s="31">
        <v>20</v>
      </c>
      <c r="M68" s="31">
        <v>20</v>
      </c>
      <c r="N68" s="31">
        <v>0.25</v>
      </c>
      <c r="O68" s="31">
        <v>0.25004700000000002</v>
      </c>
      <c r="P68" s="31">
        <v>1</v>
      </c>
      <c r="Q68" s="31">
        <v>1.0694459999999999</v>
      </c>
      <c r="R68" s="31">
        <v>-0.02</v>
      </c>
      <c r="S68" s="31">
        <v>-2.1972999999999999E-2</v>
      </c>
      <c r="T68" s="31">
        <v>183.21</v>
      </c>
      <c r="U68" s="31">
        <v>183.20310000000001</v>
      </c>
      <c r="V68" s="31">
        <v>3.5</v>
      </c>
      <c r="W68" s="31">
        <v>3.5</v>
      </c>
      <c r="X68" s="31">
        <v>300</v>
      </c>
      <c r="Y68" s="31">
        <v>300</v>
      </c>
      <c r="Z68" s="31">
        <v>0</v>
      </c>
      <c r="AA68" s="31">
        <v>0</v>
      </c>
      <c r="AB68" s="31">
        <v>300</v>
      </c>
      <c r="AC68" s="31">
        <v>300</v>
      </c>
      <c r="AD68" s="31">
        <v>0</v>
      </c>
      <c r="AE68" s="31">
        <v>137.09469999999999</v>
      </c>
      <c r="AF68" s="31">
        <v>0</v>
      </c>
      <c r="AG68" s="31">
        <v>137.09440000000001</v>
      </c>
      <c r="AH68" s="31">
        <v>35</v>
      </c>
      <c r="AI68" s="31">
        <v>0.2</v>
      </c>
      <c r="AJ68" s="31">
        <v>79.98</v>
      </c>
      <c r="AK68" s="31">
        <v>111.07</v>
      </c>
      <c r="AL68" s="31">
        <v>125</v>
      </c>
      <c r="AM68" s="31">
        <v>127.31</v>
      </c>
      <c r="AN68" s="31">
        <v>607.82000000000005</v>
      </c>
      <c r="AO68" s="31">
        <v>207.3244</v>
      </c>
      <c r="AP68" s="31">
        <v>107.85</v>
      </c>
      <c r="AQ68" s="31">
        <v>127.65</v>
      </c>
      <c r="AR68" s="31">
        <v>125.15</v>
      </c>
      <c r="AS68" s="31">
        <v>636.26</v>
      </c>
      <c r="AT68" s="31">
        <v>17.12</v>
      </c>
      <c r="AU68" s="31">
        <v>60.63</v>
      </c>
      <c r="AV68" s="31">
        <v>101.85</v>
      </c>
      <c r="AW68" s="31">
        <v>118.27</v>
      </c>
      <c r="AX68" s="31">
        <v>0.32900000000000001</v>
      </c>
      <c r="AY68" s="31">
        <v>4.78</v>
      </c>
      <c r="AZ68" s="66">
        <v>10000000000</v>
      </c>
      <c r="BA68" s="31">
        <v>159.72</v>
      </c>
      <c r="BB68" s="31">
        <v>19.78</v>
      </c>
      <c r="BC68" s="31">
        <v>9.89</v>
      </c>
      <c r="BD68" s="31">
        <v>1.1100000000000001</v>
      </c>
      <c r="BE68" s="31">
        <v>6.9</v>
      </c>
      <c r="BF68" s="31">
        <v>3.17</v>
      </c>
      <c r="BG68" s="31">
        <v>530.34</v>
      </c>
      <c r="BH68" s="31">
        <v>11.19</v>
      </c>
      <c r="BI68" s="31">
        <v>10000000000</v>
      </c>
      <c r="BJ68" s="31">
        <v>217.2</v>
      </c>
      <c r="BK68" s="31">
        <v>21.7</v>
      </c>
      <c r="BL68" s="31">
        <v>84.5</v>
      </c>
      <c r="BM68" s="31">
        <v>80.180000000000007</v>
      </c>
      <c r="BN68" s="31">
        <v>2.2400000000000002</v>
      </c>
      <c r="BO68" s="31">
        <v>29.97</v>
      </c>
      <c r="BP68" s="31">
        <v>37.94</v>
      </c>
      <c r="BQ68" s="31">
        <v>665.51</v>
      </c>
      <c r="BR68" s="31">
        <v>61.380360000000003</v>
      </c>
      <c r="BS68" s="31">
        <v>224.67920000000001</v>
      </c>
      <c r="BT68" s="31">
        <v>42.927549999999997</v>
      </c>
      <c r="BU68" s="31">
        <v>35.559519999999999</v>
      </c>
      <c r="BV68" s="31">
        <v>35.312399999999997</v>
      </c>
      <c r="BW68" s="31">
        <v>9.6846000000000002E-2</v>
      </c>
      <c r="BX68" s="31">
        <v>9.8199999999999996E-2</v>
      </c>
      <c r="BY68" s="31">
        <v>102.05159999999999</v>
      </c>
      <c r="BZ68" s="31">
        <v>18.995360000000002</v>
      </c>
      <c r="CA68" s="31">
        <v>0</v>
      </c>
      <c r="CB68" s="31">
        <v>0.92202300000000004</v>
      </c>
      <c r="CC68" s="31">
        <v>750.98770000000002</v>
      </c>
      <c r="CD68" s="31">
        <v>778.9221</v>
      </c>
      <c r="CE68" s="31">
        <v>105.55159999999999</v>
      </c>
      <c r="CF68" s="31">
        <v>535.20000000000005</v>
      </c>
      <c r="CG68" s="31">
        <v>85.66</v>
      </c>
      <c r="CH68" s="31">
        <v>97.85</v>
      </c>
      <c r="CI68" s="31">
        <v>493.97</v>
      </c>
      <c r="CJ68" s="31">
        <v>520.55999999999995</v>
      </c>
      <c r="CK68" s="31">
        <v>536.47</v>
      </c>
      <c r="CL68" s="31">
        <v>559.59</v>
      </c>
      <c r="CM68" s="31">
        <v>555.88</v>
      </c>
      <c r="CN68" s="31">
        <v>557.22</v>
      </c>
      <c r="CO68" s="31">
        <v>476.38</v>
      </c>
      <c r="CP68" s="31">
        <v>29.48</v>
      </c>
      <c r="CQ68" s="31">
        <v>713.6</v>
      </c>
      <c r="CR68" s="31">
        <v>715.05</v>
      </c>
      <c r="CS68" s="31">
        <v>12.8</v>
      </c>
      <c r="CT68" s="31">
        <v>12.8</v>
      </c>
    </row>
    <row r="69" spans="1:133" x14ac:dyDescent="0.25">
      <c r="A69" s="72"/>
      <c r="B69" s="21">
        <v>38</v>
      </c>
      <c r="C69" s="22">
        <v>41402.637823414349</v>
      </c>
      <c r="D69" s="21">
        <v>8</v>
      </c>
      <c r="E69" s="21">
        <v>34</v>
      </c>
      <c r="F69" s="21">
        <v>715</v>
      </c>
      <c r="G69" s="21">
        <v>715</v>
      </c>
      <c r="H69" s="21">
        <v>715.1</v>
      </c>
      <c r="I69" s="21">
        <v>91.7</v>
      </c>
      <c r="J69" s="21">
        <v>91.7</v>
      </c>
      <c r="K69" s="21">
        <v>1800</v>
      </c>
      <c r="L69" s="21">
        <v>20</v>
      </c>
      <c r="M69" s="21">
        <v>20</v>
      </c>
      <c r="N69" s="21">
        <v>0.25</v>
      </c>
      <c r="O69" s="21">
        <v>0.24995899999999999</v>
      </c>
      <c r="P69" s="21">
        <v>1</v>
      </c>
      <c r="Q69" s="21">
        <v>1.0694699999999999</v>
      </c>
      <c r="R69" s="21">
        <v>-0.02</v>
      </c>
      <c r="S69" s="21">
        <v>-2.1972999999999999E-2</v>
      </c>
      <c r="T69" s="21">
        <v>183.21</v>
      </c>
      <c r="U69" s="21">
        <v>183.20310000000001</v>
      </c>
      <c r="V69" s="21">
        <v>3.5</v>
      </c>
      <c r="W69" s="21">
        <v>3.5</v>
      </c>
      <c r="X69" s="21">
        <v>300</v>
      </c>
      <c r="Y69" s="21">
        <v>300</v>
      </c>
      <c r="Z69" s="21">
        <v>0</v>
      </c>
      <c r="AA69" s="21">
        <v>0</v>
      </c>
      <c r="AB69" s="21">
        <v>300</v>
      </c>
      <c r="AC69" s="21">
        <v>300</v>
      </c>
      <c r="AD69" s="21">
        <v>0</v>
      </c>
      <c r="AE69" s="21">
        <v>136.9606</v>
      </c>
      <c r="AF69" s="21">
        <v>0</v>
      </c>
      <c r="AG69" s="21">
        <v>136.9606</v>
      </c>
      <c r="AH69" s="21">
        <v>35</v>
      </c>
      <c r="AI69" s="21">
        <v>0.2</v>
      </c>
      <c r="AJ69" s="21">
        <v>80.06</v>
      </c>
      <c r="AK69" s="21">
        <v>111.01</v>
      </c>
      <c r="AL69" s="21">
        <v>125.26</v>
      </c>
      <c r="AM69" s="21">
        <v>127.63</v>
      </c>
      <c r="AN69" s="21">
        <v>607.72</v>
      </c>
      <c r="AO69" s="21">
        <v>207.58019999999999</v>
      </c>
      <c r="AP69" s="21">
        <v>108.02</v>
      </c>
      <c r="AQ69" s="21">
        <v>127.25</v>
      </c>
      <c r="AR69" s="21">
        <v>125.4</v>
      </c>
      <c r="AS69" s="21">
        <v>643.63</v>
      </c>
      <c r="AT69" s="21">
        <v>17.27</v>
      </c>
      <c r="AU69" s="21">
        <v>61.33</v>
      </c>
      <c r="AV69" s="21">
        <v>101.86</v>
      </c>
      <c r="AW69" s="21">
        <v>113.06</v>
      </c>
      <c r="AX69" s="21">
        <v>0.307</v>
      </c>
      <c r="AY69" s="21">
        <v>4.4400000000000004</v>
      </c>
      <c r="AZ69" s="67">
        <v>10000000000</v>
      </c>
      <c r="BA69" s="21">
        <v>149.77000000000001</v>
      </c>
      <c r="BB69" s="21">
        <v>18.96</v>
      </c>
      <c r="BC69" s="21">
        <v>9.83</v>
      </c>
      <c r="BD69" s="21">
        <v>1.1000000000000001</v>
      </c>
      <c r="BE69" s="21">
        <v>6.97</v>
      </c>
      <c r="BF69" s="21">
        <v>3.27</v>
      </c>
      <c r="BG69" s="21">
        <v>539.01</v>
      </c>
      <c r="BH69" s="21">
        <v>11.16</v>
      </c>
      <c r="BI69" s="21">
        <v>10000000000</v>
      </c>
      <c r="BJ69" s="21">
        <v>217.1</v>
      </c>
      <c r="BK69" s="21">
        <v>22</v>
      </c>
      <c r="BL69" s="21">
        <v>85.6</v>
      </c>
      <c r="BM69" s="21">
        <v>80.87</v>
      </c>
      <c r="BN69" s="21">
        <v>2.2400000000000002</v>
      </c>
      <c r="BO69" s="21">
        <v>29.96</v>
      </c>
      <c r="BP69" s="21">
        <v>37.840000000000003</v>
      </c>
      <c r="BQ69" s="21">
        <v>673.04</v>
      </c>
      <c r="BR69" s="21">
        <v>62.051609999999997</v>
      </c>
      <c r="BS69" s="21">
        <v>224.94069999999999</v>
      </c>
      <c r="BT69" s="21">
        <v>42.927250000000001</v>
      </c>
      <c r="BU69" s="21">
        <v>35.529539999999997</v>
      </c>
      <c r="BV69" s="21">
        <v>35.28219</v>
      </c>
      <c r="BW69" s="21">
        <v>9.6839999999999996E-2</v>
      </c>
      <c r="BX69" s="21">
        <v>9.8181000000000004E-2</v>
      </c>
      <c r="BY69" s="21">
        <v>102.0646</v>
      </c>
      <c r="BZ69" s="21">
        <v>18.995360000000002</v>
      </c>
      <c r="CA69" s="21">
        <v>0</v>
      </c>
      <c r="CB69" s="21">
        <v>0.92202700000000004</v>
      </c>
      <c r="CC69" s="21">
        <v>750.31600000000003</v>
      </c>
      <c r="CD69" s="21">
        <v>778.24900000000002</v>
      </c>
      <c r="CE69" s="21">
        <v>105.5759</v>
      </c>
      <c r="CF69" s="21">
        <v>534.99</v>
      </c>
      <c r="CG69" s="21">
        <v>85.94</v>
      </c>
      <c r="CH69" s="21">
        <v>98.19</v>
      </c>
      <c r="CI69" s="21">
        <v>495.24</v>
      </c>
      <c r="CJ69" s="21">
        <v>521.61</v>
      </c>
      <c r="CK69" s="21">
        <v>535.63</v>
      </c>
      <c r="CL69" s="21">
        <v>559.34</v>
      </c>
      <c r="CM69" s="21">
        <v>555.95000000000005</v>
      </c>
      <c r="CN69" s="21">
        <v>556.91</v>
      </c>
      <c r="CO69" s="21">
        <v>477.44</v>
      </c>
      <c r="CP69" s="21">
        <v>29.37</v>
      </c>
      <c r="CQ69" s="21">
        <v>713.3</v>
      </c>
      <c r="CR69" s="21">
        <v>715.06</v>
      </c>
      <c r="CS69" s="21">
        <v>12.8</v>
      </c>
      <c r="CT69" s="21">
        <v>12.8</v>
      </c>
    </row>
    <row r="70" spans="1:133" x14ac:dyDescent="0.25">
      <c r="A70" s="72"/>
      <c r="B70" s="21">
        <v>49</v>
      </c>
      <c r="C70" s="22">
        <v>41402.697473449072</v>
      </c>
      <c r="D70" s="21">
        <v>8</v>
      </c>
      <c r="E70" s="21">
        <v>45</v>
      </c>
      <c r="F70" s="21">
        <v>715</v>
      </c>
      <c r="G70" s="21">
        <v>715</v>
      </c>
      <c r="H70" s="21">
        <v>715.1</v>
      </c>
      <c r="I70" s="21">
        <v>91.7</v>
      </c>
      <c r="J70" s="21">
        <v>91.7</v>
      </c>
      <c r="K70" s="21">
        <v>1800</v>
      </c>
      <c r="L70" s="21">
        <v>20</v>
      </c>
      <c r="M70" s="21">
        <v>20</v>
      </c>
      <c r="N70" s="21">
        <v>0.25</v>
      </c>
      <c r="O70" s="21">
        <v>0.249948</v>
      </c>
      <c r="P70" s="21">
        <v>1</v>
      </c>
      <c r="Q70" s="21">
        <v>1.0694490000000001</v>
      </c>
      <c r="R70" s="21">
        <v>-0.02</v>
      </c>
      <c r="S70" s="21">
        <v>-2.1972999999999999E-2</v>
      </c>
      <c r="T70" s="21">
        <v>183.21</v>
      </c>
      <c r="U70" s="21">
        <v>183.20310000000001</v>
      </c>
      <c r="V70" s="21">
        <v>3.5</v>
      </c>
      <c r="W70" s="21">
        <v>3.5</v>
      </c>
      <c r="X70" s="21">
        <v>300</v>
      </c>
      <c r="Y70" s="21">
        <v>300</v>
      </c>
      <c r="Z70" s="21">
        <v>0</v>
      </c>
      <c r="AA70" s="21">
        <v>0</v>
      </c>
      <c r="AB70" s="21">
        <v>300</v>
      </c>
      <c r="AC70" s="21">
        <v>300</v>
      </c>
      <c r="AD70" s="21">
        <v>0</v>
      </c>
      <c r="AE70" s="21">
        <v>137.4144</v>
      </c>
      <c r="AF70" s="21">
        <v>0</v>
      </c>
      <c r="AG70" s="21">
        <v>137.4144</v>
      </c>
      <c r="AH70" s="21">
        <v>35</v>
      </c>
      <c r="AI70" s="21">
        <v>0.2</v>
      </c>
      <c r="AJ70" s="21">
        <v>80.3</v>
      </c>
      <c r="AK70" s="21">
        <v>111.27</v>
      </c>
      <c r="AL70" s="21">
        <v>125.82</v>
      </c>
      <c r="AM70" s="21">
        <v>128.15</v>
      </c>
      <c r="AN70" s="21">
        <v>608.83000000000004</v>
      </c>
      <c r="AO70" s="21">
        <v>208.24260000000001</v>
      </c>
      <c r="AP70" s="21">
        <v>108.68</v>
      </c>
      <c r="AQ70" s="21">
        <v>127.65</v>
      </c>
      <c r="AR70" s="21">
        <v>126.03</v>
      </c>
      <c r="AS70" s="21">
        <v>646.23</v>
      </c>
      <c r="AT70" s="21">
        <v>17.11</v>
      </c>
      <c r="AU70" s="21">
        <v>61.4</v>
      </c>
      <c r="AV70" s="21">
        <v>101.69</v>
      </c>
      <c r="AW70" s="21">
        <v>118.2</v>
      </c>
      <c r="AX70" s="21">
        <v>0.307</v>
      </c>
      <c r="AY70" s="21">
        <v>4.43</v>
      </c>
      <c r="AZ70" s="67">
        <v>10000000000</v>
      </c>
      <c r="BA70" s="21">
        <v>165.81</v>
      </c>
      <c r="BB70" s="21">
        <v>18.84</v>
      </c>
      <c r="BC70" s="21">
        <v>9.85</v>
      </c>
      <c r="BD70" s="21">
        <v>1.1000000000000001</v>
      </c>
      <c r="BE70" s="21">
        <v>6.96</v>
      </c>
      <c r="BF70" s="21">
        <v>3.25</v>
      </c>
      <c r="BG70" s="21">
        <v>532.49</v>
      </c>
      <c r="BH70" s="21">
        <v>11.13</v>
      </c>
      <c r="BI70" s="21">
        <v>10000000000</v>
      </c>
      <c r="BJ70" s="21">
        <v>217.5</v>
      </c>
      <c r="BK70" s="21">
        <v>22</v>
      </c>
      <c r="BL70" s="21">
        <v>85.7</v>
      </c>
      <c r="BM70" s="21">
        <v>80.97</v>
      </c>
      <c r="BN70" s="21">
        <v>2.2400000000000002</v>
      </c>
      <c r="BO70" s="21">
        <v>29.96</v>
      </c>
      <c r="BP70" s="21">
        <v>37.82</v>
      </c>
      <c r="BQ70" s="21">
        <v>675.58</v>
      </c>
      <c r="BR70" s="21">
        <v>62.12453</v>
      </c>
      <c r="BS70" s="21">
        <v>225.6002</v>
      </c>
      <c r="BT70" s="21">
        <v>42.911960000000001</v>
      </c>
      <c r="BU70" s="21">
        <v>35.608759999999997</v>
      </c>
      <c r="BV70" s="21">
        <v>35.340679999999999</v>
      </c>
      <c r="BW70" s="21">
        <v>9.6812999999999996E-2</v>
      </c>
      <c r="BX70" s="21">
        <v>9.8128999999999994E-2</v>
      </c>
      <c r="BY70" s="21">
        <v>102.202</v>
      </c>
      <c r="BZ70" s="21">
        <v>18.995360000000002</v>
      </c>
      <c r="CA70" s="21">
        <v>0</v>
      </c>
      <c r="CB70" s="21">
        <v>0.92196800000000001</v>
      </c>
      <c r="CC70" s="21">
        <v>752.53250000000003</v>
      </c>
      <c r="CD70" s="21">
        <v>780.50310000000002</v>
      </c>
      <c r="CE70" s="21">
        <v>105.7029</v>
      </c>
      <c r="CF70" s="21">
        <v>534.65</v>
      </c>
      <c r="CG70" s="21">
        <v>86.39</v>
      </c>
      <c r="CH70" s="21">
        <v>98.36</v>
      </c>
      <c r="CI70" s="21">
        <v>493.69</v>
      </c>
      <c r="CJ70" s="21">
        <v>520.28</v>
      </c>
      <c r="CK70" s="21">
        <v>536.29999999999995</v>
      </c>
      <c r="CL70" s="21">
        <v>563.55999999999995</v>
      </c>
      <c r="CM70" s="21">
        <v>555.20000000000005</v>
      </c>
      <c r="CN70" s="21">
        <v>556.30999999999995</v>
      </c>
      <c r="CO70" s="21">
        <v>476.73</v>
      </c>
      <c r="CP70" s="21">
        <v>28.96</v>
      </c>
      <c r="CQ70" s="21">
        <v>713.3</v>
      </c>
      <c r="CR70" s="21">
        <v>715.05</v>
      </c>
      <c r="CS70" s="21">
        <v>12.8</v>
      </c>
      <c r="CT70" s="21">
        <v>12.8</v>
      </c>
    </row>
    <row r="71" spans="1:133" s="1" customFormat="1" ht="60" x14ac:dyDescent="0.25">
      <c r="B71" s="1" t="s">
        <v>0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5</v>
      </c>
      <c r="H71" s="1" t="s">
        <v>6</v>
      </c>
      <c r="I71" s="1" t="s">
        <v>7</v>
      </c>
      <c r="J71" s="1" t="s">
        <v>8</v>
      </c>
      <c r="K71" s="1" t="s">
        <v>9</v>
      </c>
      <c r="L71" s="6" t="s">
        <v>10</v>
      </c>
      <c r="M71" s="6" t="s">
        <v>11</v>
      </c>
      <c r="N71" s="1" t="s">
        <v>12</v>
      </c>
      <c r="O71" s="1" t="s">
        <v>13</v>
      </c>
      <c r="P71" s="1" t="s">
        <v>14</v>
      </c>
      <c r="Q71" s="1" t="s">
        <v>15</v>
      </c>
      <c r="R71" s="1" t="s">
        <v>16</v>
      </c>
      <c r="S71" s="1" t="s">
        <v>17</v>
      </c>
      <c r="T71" s="1" t="s">
        <v>18</v>
      </c>
      <c r="U71" s="1" t="s">
        <v>19</v>
      </c>
      <c r="V71" s="1" t="s">
        <v>20</v>
      </c>
      <c r="W71" s="1" t="s">
        <v>21</v>
      </c>
      <c r="X71" s="1" t="s">
        <v>22</v>
      </c>
      <c r="Y71" s="1" t="s">
        <v>23</v>
      </c>
      <c r="Z71" s="1" t="s">
        <v>24</v>
      </c>
      <c r="AA71" s="1" t="s">
        <v>25</v>
      </c>
      <c r="AB71" s="1" t="s">
        <v>26</v>
      </c>
      <c r="AC71" s="1" t="s">
        <v>27</v>
      </c>
      <c r="AD71" s="1" t="s">
        <v>28</v>
      </c>
      <c r="AE71" s="1" t="s">
        <v>29</v>
      </c>
      <c r="AF71" s="1" t="s">
        <v>30</v>
      </c>
      <c r="AG71" s="1" t="s">
        <v>31</v>
      </c>
      <c r="AH71" s="1" t="s">
        <v>32</v>
      </c>
      <c r="AI71" s="1" t="s">
        <v>33</v>
      </c>
      <c r="AJ71" s="1" t="s">
        <v>34</v>
      </c>
      <c r="AK71" s="1" t="s">
        <v>35</v>
      </c>
      <c r="AL71" s="1" t="s">
        <v>36</v>
      </c>
      <c r="AM71" s="1" t="s">
        <v>37</v>
      </c>
      <c r="AN71" s="1" t="s">
        <v>38</v>
      </c>
      <c r="AO71" s="1" t="s">
        <v>39</v>
      </c>
      <c r="AP71" s="1" t="s">
        <v>40</v>
      </c>
      <c r="AQ71" s="1" t="s">
        <v>41</v>
      </c>
      <c r="AR71" s="1" t="s">
        <v>42</v>
      </c>
      <c r="AS71" s="1" t="s">
        <v>43</v>
      </c>
      <c r="AT71" s="1" t="s">
        <v>44</v>
      </c>
      <c r="AU71" s="1" t="s">
        <v>45</v>
      </c>
      <c r="AV71" s="1" t="s">
        <v>46</v>
      </c>
      <c r="AW71" s="1" t="s">
        <v>47</v>
      </c>
      <c r="AX71" s="6" t="s">
        <v>48</v>
      </c>
      <c r="AY71" s="6" t="s">
        <v>49</v>
      </c>
      <c r="AZ71" s="6" t="s">
        <v>50</v>
      </c>
      <c r="BA71" s="6" t="s">
        <v>51</v>
      </c>
      <c r="BB71" s="6" t="s">
        <v>52</v>
      </c>
      <c r="BC71" s="6" t="s">
        <v>53</v>
      </c>
      <c r="BD71" s="6" t="s">
        <v>54</v>
      </c>
      <c r="BE71" s="6"/>
      <c r="BF71" s="6" t="s">
        <v>55</v>
      </c>
      <c r="BG71" s="6" t="s">
        <v>56</v>
      </c>
      <c r="BH71" s="1" t="s">
        <v>57</v>
      </c>
      <c r="BI71" s="1" t="s">
        <v>58</v>
      </c>
      <c r="BJ71" s="1" t="s">
        <v>59</v>
      </c>
      <c r="BK71" s="1" t="s">
        <v>60</v>
      </c>
      <c r="BL71" s="1" t="s">
        <v>61</v>
      </c>
      <c r="BM71" s="1" t="s">
        <v>62</v>
      </c>
      <c r="BN71" s="1" t="s">
        <v>63</v>
      </c>
      <c r="BO71" s="1" t="s">
        <v>64</v>
      </c>
      <c r="BP71" s="1" t="s">
        <v>65</v>
      </c>
      <c r="BQ71" s="1" t="s">
        <v>66</v>
      </c>
      <c r="BR71" s="1" t="s">
        <v>67</v>
      </c>
      <c r="BS71" s="1" t="s">
        <v>68</v>
      </c>
      <c r="BT71" s="1" t="s">
        <v>69</v>
      </c>
      <c r="BU71" s="1" t="s">
        <v>70</v>
      </c>
      <c r="BV71" s="1" t="s">
        <v>71</v>
      </c>
      <c r="BW71" s="1" t="s">
        <v>72</v>
      </c>
      <c r="BX71" s="1" t="s">
        <v>73</v>
      </c>
      <c r="BY71" s="1" t="s">
        <v>74</v>
      </c>
      <c r="BZ71" s="1" t="s">
        <v>75</v>
      </c>
      <c r="CA71" s="1" t="s">
        <v>76</v>
      </c>
      <c r="CB71" s="1" t="s">
        <v>77</v>
      </c>
      <c r="CC71" s="1" t="s">
        <v>78</v>
      </c>
      <c r="CD71" s="1" t="s">
        <v>79</v>
      </c>
      <c r="CE71" s="1" t="s">
        <v>80</v>
      </c>
      <c r="CF71" s="1" t="s">
        <v>81</v>
      </c>
      <c r="CG71" s="1" t="s">
        <v>82</v>
      </c>
      <c r="CH71" s="1" t="s">
        <v>83</v>
      </c>
      <c r="CI71" s="1" t="s">
        <v>84</v>
      </c>
      <c r="CJ71" s="1" t="s">
        <v>85</v>
      </c>
      <c r="CK71" s="1" t="s">
        <v>86</v>
      </c>
      <c r="CL71" s="1" t="s">
        <v>87</v>
      </c>
      <c r="CM71" s="1" t="s">
        <v>88</v>
      </c>
      <c r="CN71" s="1" t="s">
        <v>89</v>
      </c>
      <c r="CO71" s="1" t="s">
        <v>90</v>
      </c>
      <c r="CP71" s="1" t="s">
        <v>91</v>
      </c>
      <c r="CQ71" s="1" t="s">
        <v>92</v>
      </c>
      <c r="CR71" s="1" t="s">
        <v>93</v>
      </c>
      <c r="CS71" s="1" t="s">
        <v>94</v>
      </c>
      <c r="CT71" s="1" t="s">
        <v>95</v>
      </c>
      <c r="CU71" s="6" t="s">
        <v>114</v>
      </c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</row>
    <row r="72" spans="1:133" x14ac:dyDescent="0.25">
      <c r="A72" s="72" t="s">
        <v>104</v>
      </c>
      <c r="B72" s="49">
        <v>35</v>
      </c>
      <c r="C72" s="50">
        <v>41409.698171076387</v>
      </c>
      <c r="D72" s="49">
        <v>9</v>
      </c>
      <c r="E72" s="49">
        <v>1</v>
      </c>
      <c r="F72" s="49">
        <v>923</v>
      </c>
      <c r="G72" s="49">
        <v>923</v>
      </c>
      <c r="H72" s="49">
        <v>923</v>
      </c>
      <c r="I72" s="49">
        <v>91.7</v>
      </c>
      <c r="J72" s="49">
        <v>91.7</v>
      </c>
      <c r="K72" s="49">
        <v>1800</v>
      </c>
      <c r="L72" s="49">
        <v>17</v>
      </c>
      <c r="M72" s="49">
        <v>17</v>
      </c>
      <c r="N72" s="49">
        <v>0.12</v>
      </c>
      <c r="O72" s="49">
        <v>0.120007</v>
      </c>
      <c r="P72" s="49">
        <v>1</v>
      </c>
      <c r="Q72" s="49">
        <v>1.0691489999999999</v>
      </c>
      <c r="R72" s="49">
        <v>4.47</v>
      </c>
      <c r="S72" s="49">
        <v>4.4714359999999997</v>
      </c>
      <c r="T72" s="49">
        <v>184.71</v>
      </c>
      <c r="U72" s="49">
        <v>181.79220000000001</v>
      </c>
      <c r="V72" s="49">
        <v>5</v>
      </c>
      <c r="W72" s="49">
        <v>5</v>
      </c>
      <c r="X72" s="49">
        <v>300</v>
      </c>
      <c r="Y72" s="49">
        <v>300</v>
      </c>
      <c r="Z72" s="49">
        <v>0</v>
      </c>
      <c r="AA72" s="49">
        <v>0</v>
      </c>
      <c r="AB72" s="49">
        <v>239.71</v>
      </c>
      <c r="AC72" s="49">
        <v>240</v>
      </c>
      <c r="AD72" s="49">
        <v>0</v>
      </c>
      <c r="AE72" s="49">
        <v>151.7088</v>
      </c>
      <c r="AF72" s="49">
        <v>160</v>
      </c>
      <c r="AG72" s="49">
        <v>160</v>
      </c>
      <c r="AH72" s="49">
        <v>28</v>
      </c>
      <c r="AI72" s="49">
        <v>0.23</v>
      </c>
      <c r="AJ72" s="49">
        <v>102.94</v>
      </c>
      <c r="AK72" s="49">
        <v>123.31</v>
      </c>
      <c r="AL72" s="49">
        <v>156.16</v>
      </c>
      <c r="AM72" s="49">
        <v>160.18</v>
      </c>
      <c r="AN72" s="49">
        <v>674.86</v>
      </c>
      <c r="AO72" s="49">
        <v>227.69980000000001</v>
      </c>
      <c r="AP72" s="49">
        <v>129.44</v>
      </c>
      <c r="AQ72" s="49">
        <v>156.13999999999999</v>
      </c>
      <c r="AR72" s="49">
        <v>149.18</v>
      </c>
      <c r="AS72" s="49">
        <v>749.23</v>
      </c>
      <c r="AT72" s="49">
        <v>26.71</v>
      </c>
      <c r="AU72" s="49">
        <v>60.45</v>
      </c>
      <c r="AV72" s="49">
        <v>100.84</v>
      </c>
      <c r="AW72" s="49">
        <v>117.76</v>
      </c>
      <c r="AX72" s="49">
        <v>0.40799999999999997</v>
      </c>
      <c r="AY72" s="49">
        <v>6.08</v>
      </c>
      <c r="AZ72" s="68">
        <v>10000000000</v>
      </c>
      <c r="BA72" s="49">
        <v>634.04999999999995</v>
      </c>
      <c r="BB72" s="49">
        <v>14.19</v>
      </c>
      <c r="BC72" s="49">
        <v>10.9</v>
      </c>
      <c r="BD72" s="49">
        <v>0.78</v>
      </c>
      <c r="BE72" s="49">
        <v>5.53</v>
      </c>
      <c r="BF72" s="49">
        <v>5.34</v>
      </c>
      <c r="BG72" s="49">
        <v>992.22</v>
      </c>
      <c r="BH72" s="49">
        <v>7.19</v>
      </c>
      <c r="BI72" s="49">
        <v>10000000000</v>
      </c>
      <c r="BJ72" s="49">
        <v>213.2</v>
      </c>
      <c r="BK72" s="49">
        <v>20.2</v>
      </c>
      <c r="BL72" s="49">
        <v>87.3</v>
      </c>
      <c r="BM72" s="49">
        <v>58.01</v>
      </c>
      <c r="BN72" s="49">
        <v>2.44</v>
      </c>
      <c r="BO72" s="49">
        <v>29.66</v>
      </c>
      <c r="BP72" s="49">
        <v>38.6</v>
      </c>
      <c r="BQ72" s="49">
        <v>785.96</v>
      </c>
      <c r="BR72" s="49">
        <v>61.321930000000002</v>
      </c>
      <c r="BS72" s="49">
        <v>259.4067</v>
      </c>
      <c r="BT72" s="49">
        <v>36.042250000000003</v>
      </c>
      <c r="BU72" s="49">
        <v>31.6631</v>
      </c>
      <c r="BV72" s="49">
        <v>32.103490000000001</v>
      </c>
      <c r="BW72" s="49">
        <v>0.104425</v>
      </c>
      <c r="BX72" s="49">
        <v>6.0111999999999999E-2</v>
      </c>
      <c r="BY72" s="49">
        <v>131.4221</v>
      </c>
      <c r="BZ72" s="49">
        <v>18.995360000000002</v>
      </c>
      <c r="CA72" s="49">
        <v>0</v>
      </c>
      <c r="CB72" s="49">
        <v>0.91507099999999997</v>
      </c>
      <c r="CC72" s="49">
        <v>818.78520000000003</v>
      </c>
      <c r="CD72" s="49">
        <v>854.9221</v>
      </c>
      <c r="CE72" s="49">
        <v>136.43100000000001</v>
      </c>
      <c r="CF72" s="49">
        <v>529.91999999999996</v>
      </c>
      <c r="CG72" s="49">
        <v>85.37</v>
      </c>
      <c r="CH72" s="49">
        <v>100.23</v>
      </c>
      <c r="CI72" s="49">
        <v>560.59</v>
      </c>
      <c r="CJ72" s="49">
        <v>585.13</v>
      </c>
      <c r="CK72" s="49">
        <v>599.88</v>
      </c>
      <c r="CL72" s="49">
        <v>624.63</v>
      </c>
      <c r="CM72" s="49">
        <v>620.08000000000004</v>
      </c>
      <c r="CN72" s="49">
        <v>607.6</v>
      </c>
      <c r="CO72" s="49">
        <v>526.91999999999996</v>
      </c>
      <c r="CP72" s="49">
        <v>34.71</v>
      </c>
      <c r="CQ72" s="49">
        <v>926.6</v>
      </c>
      <c r="CR72" s="49">
        <v>923.05</v>
      </c>
      <c r="CS72" s="49">
        <v>16.600000000000001</v>
      </c>
      <c r="CT72" s="49">
        <v>16.5</v>
      </c>
      <c r="CU72" s="5"/>
      <c r="DY72"/>
      <c r="DZ72"/>
      <c r="EA72"/>
      <c r="EB72"/>
      <c r="EC72"/>
    </row>
    <row r="73" spans="1:133" x14ac:dyDescent="0.25">
      <c r="A73" s="72"/>
      <c r="B73" s="49">
        <v>5</v>
      </c>
      <c r="C73" s="50">
        <v>41410.469047326391</v>
      </c>
      <c r="D73" s="49">
        <v>9</v>
      </c>
      <c r="E73" s="49">
        <v>12</v>
      </c>
      <c r="F73" s="49">
        <v>923</v>
      </c>
      <c r="G73" s="49">
        <v>923</v>
      </c>
      <c r="H73" s="49">
        <v>923.1</v>
      </c>
      <c r="I73" s="49">
        <v>91.7</v>
      </c>
      <c r="J73" s="49">
        <v>91.7</v>
      </c>
      <c r="K73" s="49">
        <v>1800</v>
      </c>
      <c r="L73" s="49">
        <v>17</v>
      </c>
      <c r="M73" s="49">
        <v>17</v>
      </c>
      <c r="N73" s="49">
        <v>0.12</v>
      </c>
      <c r="O73" s="49">
        <v>0.120057</v>
      </c>
      <c r="P73" s="49">
        <v>1</v>
      </c>
      <c r="Q73" s="49">
        <v>1.0689139999999999</v>
      </c>
      <c r="R73" s="49">
        <v>4.47</v>
      </c>
      <c r="S73" s="49">
        <v>4.4714359999999997</v>
      </c>
      <c r="T73" s="49">
        <v>184.71</v>
      </c>
      <c r="U73" s="49">
        <v>181.89779999999999</v>
      </c>
      <c r="V73" s="49">
        <v>5</v>
      </c>
      <c r="W73" s="49">
        <v>5</v>
      </c>
      <c r="X73" s="49">
        <v>300</v>
      </c>
      <c r="Y73" s="49">
        <v>300</v>
      </c>
      <c r="Z73" s="49">
        <v>0</v>
      </c>
      <c r="AA73" s="49">
        <v>0</v>
      </c>
      <c r="AB73" s="49">
        <v>239.71</v>
      </c>
      <c r="AC73" s="49">
        <v>240</v>
      </c>
      <c r="AD73" s="49">
        <v>0</v>
      </c>
      <c r="AE73" s="49">
        <v>154.05359999999999</v>
      </c>
      <c r="AF73" s="49">
        <v>160</v>
      </c>
      <c r="AG73" s="49">
        <v>160</v>
      </c>
      <c r="AH73" s="49">
        <v>28</v>
      </c>
      <c r="AI73" s="49">
        <v>0.23</v>
      </c>
      <c r="AJ73" s="49">
        <v>104.13</v>
      </c>
      <c r="AK73" s="49">
        <v>122.18</v>
      </c>
      <c r="AL73" s="49">
        <v>158.41</v>
      </c>
      <c r="AM73" s="49">
        <v>162.56</v>
      </c>
      <c r="AN73" s="49">
        <v>665.35</v>
      </c>
      <c r="AO73" s="49">
        <v>230.3896</v>
      </c>
      <c r="AP73" s="49">
        <v>131.57</v>
      </c>
      <c r="AQ73" s="49">
        <v>144.56</v>
      </c>
      <c r="AR73" s="49">
        <v>151.58000000000001</v>
      </c>
      <c r="AS73" s="49">
        <v>730.54</v>
      </c>
      <c r="AT73" s="49">
        <v>26.83</v>
      </c>
      <c r="AU73" s="49">
        <v>59.71</v>
      </c>
      <c r="AV73" s="49">
        <v>100.82</v>
      </c>
      <c r="AW73" s="49">
        <v>115.66</v>
      </c>
      <c r="AX73" s="49">
        <v>0.32400000000000001</v>
      </c>
      <c r="AY73" s="49">
        <v>4.7</v>
      </c>
      <c r="AZ73" s="68">
        <v>10000000000</v>
      </c>
      <c r="BA73" s="49">
        <v>562.54999999999995</v>
      </c>
      <c r="BB73" s="49">
        <v>14.28</v>
      </c>
      <c r="BC73" s="49">
        <v>10.66</v>
      </c>
      <c r="BD73" s="49">
        <v>0.76</v>
      </c>
      <c r="BE73" s="49">
        <v>5.77</v>
      </c>
      <c r="BF73" s="49">
        <v>5.35</v>
      </c>
      <c r="BG73" s="49">
        <v>1022.79</v>
      </c>
      <c r="BH73" s="49">
        <v>7.12</v>
      </c>
      <c r="BI73" s="49">
        <v>10000000000</v>
      </c>
      <c r="BJ73" s="49">
        <v>212.4</v>
      </c>
      <c r="BK73" s="49">
        <v>19.8</v>
      </c>
      <c r="BL73" s="49">
        <v>84</v>
      </c>
      <c r="BM73" s="49">
        <v>55.98</v>
      </c>
      <c r="BN73" s="49">
        <v>2.4700000000000002</v>
      </c>
      <c r="BO73" s="49">
        <v>29.67</v>
      </c>
      <c r="BP73" s="49">
        <v>38.79</v>
      </c>
      <c r="BQ73" s="49">
        <v>767.72</v>
      </c>
      <c r="BR73" s="49">
        <v>60.589689999999997</v>
      </c>
      <c r="BS73" s="49">
        <v>262.39749999999998</v>
      </c>
      <c r="BT73" s="49">
        <v>36.090319999999998</v>
      </c>
      <c r="BU73" s="49">
        <v>31.81823</v>
      </c>
      <c r="BV73" s="49">
        <v>32.105989999999998</v>
      </c>
      <c r="BW73" s="49">
        <v>0.104377</v>
      </c>
      <c r="BX73" s="49">
        <v>6.8015000000000006E-2</v>
      </c>
      <c r="BY73" s="49">
        <v>131.16589999999999</v>
      </c>
      <c r="BZ73" s="49">
        <v>18.995360000000002</v>
      </c>
      <c r="CA73" s="49">
        <v>0</v>
      </c>
      <c r="CB73" s="49">
        <v>0.91504099999999999</v>
      </c>
      <c r="CC73" s="49">
        <v>830.2079</v>
      </c>
      <c r="CD73" s="49">
        <v>866.26829999999995</v>
      </c>
      <c r="CE73" s="49">
        <v>136.16589999999999</v>
      </c>
      <c r="CF73" s="49">
        <v>529.70000000000005</v>
      </c>
      <c r="CG73" s="49">
        <v>85.91</v>
      </c>
      <c r="CH73" s="49">
        <v>100.53</v>
      </c>
      <c r="CI73" s="49">
        <v>552.33000000000004</v>
      </c>
      <c r="CJ73" s="49">
        <v>577.04</v>
      </c>
      <c r="CK73" s="49">
        <v>591.82000000000005</v>
      </c>
      <c r="CL73" s="49">
        <v>616.63</v>
      </c>
      <c r="CM73" s="49">
        <v>612.54</v>
      </c>
      <c r="CN73" s="49">
        <v>602.38</v>
      </c>
      <c r="CO73" s="49">
        <v>521.66999999999996</v>
      </c>
      <c r="CP73" s="49">
        <v>32.200000000000003</v>
      </c>
      <c r="CQ73" s="49">
        <v>916.2</v>
      </c>
      <c r="CR73" s="49">
        <v>923.06</v>
      </c>
      <c r="CS73" s="49">
        <v>16.399999999999999</v>
      </c>
      <c r="CT73" s="49">
        <v>16.5</v>
      </c>
      <c r="CU73" s="5"/>
      <c r="DY73"/>
      <c r="DZ73"/>
      <c r="EA73"/>
      <c r="EB73"/>
      <c r="EC73"/>
    </row>
    <row r="74" spans="1:133" x14ac:dyDescent="0.25">
      <c r="A74" s="72"/>
      <c r="B74" s="13">
        <v>6</v>
      </c>
      <c r="C74" s="14">
        <v>41410.481745682868</v>
      </c>
      <c r="D74" s="13">
        <v>9</v>
      </c>
      <c r="E74" s="13">
        <v>12</v>
      </c>
      <c r="F74" s="13">
        <v>923</v>
      </c>
      <c r="G74" s="13">
        <v>923</v>
      </c>
      <c r="H74" s="13">
        <v>923.1</v>
      </c>
      <c r="I74" s="13">
        <v>91.7</v>
      </c>
      <c r="J74" s="13">
        <v>91.7</v>
      </c>
      <c r="K74" s="13">
        <v>1800</v>
      </c>
      <c r="L74" s="13">
        <v>17</v>
      </c>
      <c r="M74" s="13">
        <v>17</v>
      </c>
      <c r="N74" s="13">
        <v>0.12</v>
      </c>
      <c r="O74" s="13">
        <v>0.119974</v>
      </c>
      <c r="P74" s="13">
        <v>1</v>
      </c>
      <c r="Q74" s="13">
        <v>1.0689299999999999</v>
      </c>
      <c r="R74" s="13">
        <v>4.47</v>
      </c>
      <c r="S74" s="13">
        <v>4.4714359999999997</v>
      </c>
      <c r="T74" s="13">
        <v>184.71</v>
      </c>
      <c r="U74" s="13">
        <v>181.8459</v>
      </c>
      <c r="V74" s="13">
        <v>5</v>
      </c>
      <c r="W74" s="13">
        <v>5</v>
      </c>
      <c r="X74" s="13">
        <v>300</v>
      </c>
      <c r="Y74" s="13">
        <v>300</v>
      </c>
      <c r="Z74" s="13">
        <v>0</v>
      </c>
      <c r="AA74" s="13">
        <v>0</v>
      </c>
      <c r="AB74" s="13">
        <v>239.71</v>
      </c>
      <c r="AC74" s="13">
        <v>240</v>
      </c>
      <c r="AD74" s="13">
        <v>0</v>
      </c>
      <c r="AE74" s="13">
        <v>153.2466</v>
      </c>
      <c r="AF74" s="13">
        <v>160</v>
      </c>
      <c r="AG74" s="13">
        <v>160</v>
      </c>
      <c r="AH74" s="13">
        <v>28</v>
      </c>
      <c r="AI74" s="13">
        <v>0.23</v>
      </c>
      <c r="AJ74" s="13">
        <v>103.8</v>
      </c>
      <c r="AK74" s="13">
        <v>122.25</v>
      </c>
      <c r="AL74" s="13">
        <v>157.24</v>
      </c>
      <c r="AM74" s="13">
        <v>161.38999999999999</v>
      </c>
      <c r="AN74" s="13">
        <v>669.21</v>
      </c>
      <c r="AO74" s="13">
        <v>229.6463</v>
      </c>
      <c r="AP74" s="13">
        <v>130.88999999999999</v>
      </c>
      <c r="AQ74" s="13">
        <v>145.54</v>
      </c>
      <c r="AR74" s="13">
        <v>150.76</v>
      </c>
      <c r="AS74" s="13">
        <v>733.16</v>
      </c>
      <c r="AT74" s="13">
        <v>26.34</v>
      </c>
      <c r="AU74" s="13">
        <v>60.29</v>
      </c>
      <c r="AV74" s="13">
        <v>100.82</v>
      </c>
      <c r="AW74" s="13">
        <v>115.06</v>
      </c>
      <c r="AX74" s="13">
        <v>0.36699999999999999</v>
      </c>
      <c r="AY74" s="13">
        <v>5.4</v>
      </c>
      <c r="AZ74" s="38">
        <v>10000000000</v>
      </c>
      <c r="BA74" s="13">
        <v>597.08000000000004</v>
      </c>
      <c r="BB74" s="13">
        <v>13.4</v>
      </c>
      <c r="BC74" s="13">
        <v>10.73</v>
      </c>
      <c r="BD74" s="13">
        <v>0.76</v>
      </c>
      <c r="BE74" s="13">
        <v>5.69</v>
      </c>
      <c r="BF74" s="13">
        <v>5.34</v>
      </c>
      <c r="BG74" s="13">
        <v>1017.05</v>
      </c>
      <c r="BH74" s="13">
        <v>7.12</v>
      </c>
      <c r="BI74" s="13">
        <v>10000000000</v>
      </c>
      <c r="BJ74" s="13">
        <v>212.8</v>
      </c>
      <c r="BK74" s="13">
        <v>19.8</v>
      </c>
      <c r="BL74" s="13">
        <v>84.7</v>
      </c>
      <c r="BM74" s="13">
        <v>56.21</v>
      </c>
      <c r="BN74" s="13">
        <v>2.46</v>
      </c>
      <c r="BO74" s="13">
        <v>29.67</v>
      </c>
      <c r="BP74" s="13">
        <v>38.78</v>
      </c>
      <c r="BQ74" s="13">
        <v>769.9</v>
      </c>
      <c r="BR74" s="13">
        <v>61.156559999999999</v>
      </c>
      <c r="BS74" s="13">
        <v>261.23050000000001</v>
      </c>
      <c r="BT74" s="13">
        <v>36.06691</v>
      </c>
      <c r="BU74" s="13">
        <v>31.76727</v>
      </c>
      <c r="BV74" s="13">
        <v>32.104869999999998</v>
      </c>
      <c r="BW74" s="13">
        <v>0.10440099999999999</v>
      </c>
      <c r="BX74" s="13">
        <v>6.5093999999999999E-2</v>
      </c>
      <c r="BY74" s="13">
        <v>131.29300000000001</v>
      </c>
      <c r="BZ74" s="13">
        <v>18.995360000000002</v>
      </c>
      <c r="CA74" s="13">
        <v>0</v>
      </c>
      <c r="CB74" s="13">
        <v>0.91505400000000003</v>
      </c>
      <c r="CC74" s="13">
        <v>826.17560000000003</v>
      </c>
      <c r="CD74" s="13">
        <v>862.27170000000001</v>
      </c>
      <c r="CE74" s="13">
        <v>136.29259999999999</v>
      </c>
      <c r="CF74" s="13">
        <v>529.9</v>
      </c>
      <c r="CG74" s="13">
        <v>85.22</v>
      </c>
      <c r="CH74" s="13">
        <v>99.95</v>
      </c>
      <c r="CI74" s="13">
        <v>555.95000000000005</v>
      </c>
      <c r="CJ74" s="13">
        <v>580.42999999999995</v>
      </c>
      <c r="CK74" s="13">
        <v>595.87</v>
      </c>
      <c r="CL74" s="13">
        <v>619.88</v>
      </c>
      <c r="CM74" s="13">
        <v>615.14</v>
      </c>
      <c r="CN74" s="13">
        <v>604.78</v>
      </c>
      <c r="CO74" s="13">
        <v>523.41999999999996</v>
      </c>
      <c r="CP74" s="13">
        <v>32.409999999999997</v>
      </c>
      <c r="CQ74" s="13">
        <v>917.3</v>
      </c>
      <c r="CR74" s="13">
        <v>923.06</v>
      </c>
      <c r="CS74" s="13">
        <v>16.399999999999999</v>
      </c>
      <c r="CT74" s="13">
        <v>16.5</v>
      </c>
      <c r="CU74" s="5"/>
      <c r="DY74"/>
      <c r="DZ74"/>
      <c r="EA74"/>
      <c r="EB74"/>
      <c r="EC74"/>
    </row>
    <row r="75" spans="1:133" x14ac:dyDescent="0.25">
      <c r="A75" s="72"/>
      <c r="B75" s="13">
        <v>4</v>
      </c>
      <c r="C75" s="14">
        <v>41411.472490439817</v>
      </c>
      <c r="D75" s="13">
        <v>9</v>
      </c>
      <c r="E75" s="13">
        <v>28</v>
      </c>
      <c r="F75" s="13">
        <v>923</v>
      </c>
      <c r="G75" s="13">
        <v>923</v>
      </c>
      <c r="H75" s="13">
        <v>923</v>
      </c>
      <c r="I75" s="13">
        <v>91.7</v>
      </c>
      <c r="J75" s="13">
        <v>91.7</v>
      </c>
      <c r="K75" s="13">
        <v>1800</v>
      </c>
      <c r="L75" s="13">
        <v>17</v>
      </c>
      <c r="M75" s="13">
        <v>17</v>
      </c>
      <c r="N75" s="13">
        <v>0.12</v>
      </c>
      <c r="O75" s="13">
        <v>0.119917</v>
      </c>
      <c r="P75" s="13">
        <v>1</v>
      </c>
      <c r="Q75" s="13">
        <v>1.0693269999999999</v>
      </c>
      <c r="R75" s="13">
        <v>4.47</v>
      </c>
      <c r="S75" s="13">
        <v>4.4714359999999997</v>
      </c>
      <c r="T75" s="13">
        <v>184.71</v>
      </c>
      <c r="U75" s="13">
        <v>181.90219999999999</v>
      </c>
      <c r="V75" s="13">
        <v>5</v>
      </c>
      <c r="W75" s="13">
        <v>5</v>
      </c>
      <c r="X75" s="13">
        <v>300</v>
      </c>
      <c r="Y75" s="13">
        <v>300</v>
      </c>
      <c r="Z75" s="13">
        <v>0</v>
      </c>
      <c r="AA75" s="13">
        <v>0</v>
      </c>
      <c r="AB75" s="13">
        <v>239.71</v>
      </c>
      <c r="AC75" s="13">
        <v>240</v>
      </c>
      <c r="AD75" s="13">
        <v>0</v>
      </c>
      <c r="AE75" s="13">
        <v>155.768</v>
      </c>
      <c r="AF75" s="13">
        <v>160</v>
      </c>
      <c r="AG75" s="13">
        <v>160</v>
      </c>
      <c r="AH75" s="13">
        <v>28</v>
      </c>
      <c r="AI75" s="13">
        <v>0.23</v>
      </c>
      <c r="AJ75" s="13">
        <v>104.38</v>
      </c>
      <c r="AK75" s="13">
        <v>121.3</v>
      </c>
      <c r="AL75" s="13">
        <v>158.96</v>
      </c>
      <c r="AM75" s="13">
        <v>162.9</v>
      </c>
      <c r="AN75" s="13">
        <v>660.12</v>
      </c>
      <c r="AO75" s="13">
        <v>232.57660000000001</v>
      </c>
      <c r="AP75" s="13">
        <v>132.11000000000001</v>
      </c>
      <c r="AQ75" s="13">
        <v>142.11000000000001</v>
      </c>
      <c r="AR75" s="13">
        <v>152.19</v>
      </c>
      <c r="AS75" s="13">
        <v>738.98</v>
      </c>
      <c r="AT75" s="13">
        <v>26.82</v>
      </c>
      <c r="AU75" s="13">
        <v>59.65</v>
      </c>
      <c r="AV75" s="13">
        <v>100.66</v>
      </c>
      <c r="AW75" s="13">
        <v>113.06</v>
      </c>
      <c r="AX75" s="13">
        <v>0.27500000000000002</v>
      </c>
      <c r="AY75" s="13">
        <v>3.94</v>
      </c>
      <c r="AZ75" s="38">
        <v>10000000000</v>
      </c>
      <c r="BA75" s="13">
        <v>530.07000000000005</v>
      </c>
      <c r="BB75" s="13">
        <v>12.68</v>
      </c>
      <c r="BC75" s="13">
        <v>10.53</v>
      </c>
      <c r="BD75" s="13">
        <v>0.74</v>
      </c>
      <c r="BE75" s="13">
        <v>5.88</v>
      </c>
      <c r="BF75" s="13">
        <v>5.37</v>
      </c>
      <c r="BG75" s="13">
        <v>1013.54</v>
      </c>
      <c r="BH75" s="13">
        <v>7.07</v>
      </c>
      <c r="BI75" s="13">
        <v>10000000000</v>
      </c>
      <c r="BJ75" s="13">
        <v>212.3</v>
      </c>
      <c r="BK75" s="13">
        <v>20</v>
      </c>
      <c r="BL75" s="13">
        <v>84.4</v>
      </c>
      <c r="BM75" s="13">
        <v>56.19</v>
      </c>
      <c r="BN75" s="13">
        <v>2.4900000000000002</v>
      </c>
      <c r="BO75" s="13">
        <v>29.66</v>
      </c>
      <c r="BP75" s="13">
        <v>38.68</v>
      </c>
      <c r="BQ75" s="13">
        <v>775.86</v>
      </c>
      <c r="BR75" s="13">
        <v>60.546720000000001</v>
      </c>
      <c r="BS75" s="13">
        <v>264.1644</v>
      </c>
      <c r="BT75" s="13">
        <v>36.104399999999998</v>
      </c>
      <c r="BU75" s="13">
        <v>31.93207</v>
      </c>
      <c r="BV75" s="13">
        <v>32.105780000000003</v>
      </c>
      <c r="BW75" s="13">
        <v>0.104354</v>
      </c>
      <c r="BX75" s="13">
        <v>7.3536000000000004E-2</v>
      </c>
      <c r="BY75" s="13">
        <v>131.09559999999999</v>
      </c>
      <c r="BZ75" s="13">
        <v>18.995360000000002</v>
      </c>
      <c r="CA75" s="13">
        <v>0</v>
      </c>
      <c r="CB75" s="13">
        <v>0.91505599999999998</v>
      </c>
      <c r="CC75" s="13">
        <v>837.9348</v>
      </c>
      <c r="CD75" s="13">
        <v>873.96770000000004</v>
      </c>
      <c r="CE75" s="13">
        <v>136.10169999999999</v>
      </c>
      <c r="CF75" s="13">
        <v>523.47</v>
      </c>
      <c r="CG75" s="13">
        <v>85.57</v>
      </c>
      <c r="CH75" s="13">
        <v>100.24</v>
      </c>
      <c r="CI75" s="13">
        <v>547.87</v>
      </c>
      <c r="CJ75" s="13">
        <v>572.28</v>
      </c>
      <c r="CK75" s="13">
        <v>588.25</v>
      </c>
      <c r="CL75" s="13">
        <v>608.80999999999995</v>
      </c>
      <c r="CM75" s="13">
        <v>608.14</v>
      </c>
      <c r="CN75" s="13">
        <v>597.20000000000005</v>
      </c>
      <c r="CO75" s="13">
        <v>518.29</v>
      </c>
      <c r="CP75" s="13">
        <v>30.87</v>
      </c>
      <c r="CQ75" s="13">
        <v>914</v>
      </c>
      <c r="CR75" s="13">
        <v>923.04</v>
      </c>
      <c r="CS75" s="13">
        <v>16.399999999999999</v>
      </c>
      <c r="CT75" s="13">
        <v>16.5</v>
      </c>
      <c r="CU75" s="5"/>
      <c r="DY75"/>
      <c r="DZ75"/>
      <c r="EA75"/>
      <c r="EB75"/>
      <c r="EC75"/>
    </row>
    <row r="76" spans="1:133" x14ac:dyDescent="0.25">
      <c r="A76" s="72"/>
      <c r="B76" s="5"/>
      <c r="C76" s="2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DY76"/>
      <c r="DZ76"/>
      <c r="EA76"/>
      <c r="EB76"/>
      <c r="EC76"/>
    </row>
    <row r="77" spans="1:133" x14ac:dyDescent="0.25">
      <c r="A77" s="72"/>
      <c r="B77" s="5"/>
      <c r="C77" s="2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DY77"/>
      <c r="DZ77"/>
      <c r="EA77"/>
      <c r="EB77"/>
      <c r="EC77"/>
    </row>
    <row r="78" spans="1:133" x14ac:dyDescent="0.25">
      <c r="A78" s="72"/>
      <c r="B78" s="5"/>
      <c r="C78" s="2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DY78"/>
      <c r="DZ78"/>
      <c r="EA78"/>
      <c r="EB78"/>
      <c r="EC78"/>
    </row>
    <row r="79" spans="1:133" x14ac:dyDescent="0.25">
      <c r="A79" s="72"/>
      <c r="B79" s="5"/>
      <c r="C79" s="2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DY79"/>
      <c r="DZ79"/>
      <c r="EA79"/>
      <c r="EB79"/>
      <c r="EC79"/>
    </row>
    <row r="80" spans="1:133" x14ac:dyDescent="0.25">
      <c r="A80" s="72" t="s">
        <v>105</v>
      </c>
      <c r="B80" s="27">
        <v>5</v>
      </c>
      <c r="C80" s="28">
        <v>41411.48199443287</v>
      </c>
      <c r="D80" s="27">
        <v>10</v>
      </c>
      <c r="E80" s="27">
        <v>1</v>
      </c>
      <c r="F80" s="27">
        <v>751</v>
      </c>
      <c r="G80" s="27">
        <v>751</v>
      </c>
      <c r="H80" s="27">
        <v>751.1</v>
      </c>
      <c r="I80" s="27">
        <v>100</v>
      </c>
      <c r="J80" s="27">
        <v>100</v>
      </c>
      <c r="K80" s="27">
        <v>1890</v>
      </c>
      <c r="L80" s="27">
        <v>37</v>
      </c>
      <c r="M80" s="27">
        <v>37</v>
      </c>
      <c r="N80" s="27">
        <v>0.1</v>
      </c>
      <c r="O80" s="27">
        <v>9.9912000000000001E-2</v>
      </c>
      <c r="P80" s="27">
        <v>1</v>
      </c>
      <c r="Q80" s="27">
        <v>1.069374</v>
      </c>
      <c r="R80" s="27">
        <v>2.4500000000000002</v>
      </c>
      <c r="S80" s="27">
        <v>2.449951</v>
      </c>
      <c r="T80" s="27">
        <v>190.11</v>
      </c>
      <c r="U80" s="27">
        <v>190.10939999999999</v>
      </c>
      <c r="V80" s="27">
        <v>3.5</v>
      </c>
      <c r="W80" s="27">
        <v>3.5</v>
      </c>
      <c r="X80" s="27">
        <v>300</v>
      </c>
      <c r="Y80" s="27">
        <v>300</v>
      </c>
      <c r="Z80" s="27">
        <v>0</v>
      </c>
      <c r="AA80" s="27">
        <v>0</v>
      </c>
      <c r="AB80" s="27">
        <v>300</v>
      </c>
      <c r="AC80" s="27">
        <v>300</v>
      </c>
      <c r="AD80" s="27">
        <v>0</v>
      </c>
      <c r="AE80" s="27">
        <v>168.28469999999999</v>
      </c>
      <c r="AF80" s="27">
        <v>150</v>
      </c>
      <c r="AG80" s="27">
        <v>150</v>
      </c>
      <c r="AH80" s="27">
        <v>34</v>
      </c>
      <c r="AI80" s="27">
        <v>0.16</v>
      </c>
      <c r="AJ80" s="27">
        <v>98.33</v>
      </c>
      <c r="AK80" s="27">
        <v>129.44999999999999</v>
      </c>
      <c r="AL80" s="27">
        <v>212.87</v>
      </c>
      <c r="AM80" s="27">
        <v>215.54</v>
      </c>
      <c r="AN80" s="27">
        <v>557.92999999999995</v>
      </c>
      <c r="AO80" s="27">
        <v>249.16210000000001</v>
      </c>
      <c r="AP80" s="27">
        <v>149.02000000000001</v>
      </c>
      <c r="AQ80" s="27">
        <v>159.01</v>
      </c>
      <c r="AR80" s="27">
        <v>171.59</v>
      </c>
      <c r="AS80" s="27">
        <v>807.28</v>
      </c>
      <c r="AT80" s="27">
        <v>63.85</v>
      </c>
      <c r="AU80" s="27">
        <v>61.23</v>
      </c>
      <c r="AV80" s="27">
        <v>101.45</v>
      </c>
      <c r="AW80" s="27">
        <v>116.54</v>
      </c>
      <c r="AX80" s="27">
        <v>0.08</v>
      </c>
      <c r="AY80" s="27">
        <v>1.08</v>
      </c>
      <c r="AZ80" s="69">
        <v>10000000000</v>
      </c>
      <c r="BA80" s="27">
        <v>384.12</v>
      </c>
      <c r="BB80" s="27">
        <v>15.04</v>
      </c>
      <c r="BC80" s="27">
        <v>8.4700000000000006</v>
      </c>
      <c r="BD80" s="27">
        <v>0.84</v>
      </c>
      <c r="BE80" s="27">
        <v>8.86</v>
      </c>
      <c r="BF80" s="27">
        <v>5.08</v>
      </c>
      <c r="BG80" s="27">
        <v>720.41</v>
      </c>
      <c r="BH80" s="27">
        <v>9.93</v>
      </c>
      <c r="BI80" s="27">
        <v>10000000000</v>
      </c>
      <c r="BJ80" s="27">
        <v>217</v>
      </c>
      <c r="BK80" s="27">
        <v>25</v>
      </c>
      <c r="BL80" s="27">
        <v>84.6</v>
      </c>
      <c r="BM80" s="27">
        <v>88.96</v>
      </c>
      <c r="BN80" s="27">
        <v>2.66</v>
      </c>
      <c r="BO80" s="27">
        <v>29.75</v>
      </c>
      <c r="BP80" s="27">
        <v>36.81</v>
      </c>
      <c r="BQ80" s="27">
        <v>838.9</v>
      </c>
      <c r="BR80" s="27">
        <v>61.936459999999997</v>
      </c>
      <c r="BS80" s="27">
        <v>315.67110000000002</v>
      </c>
      <c r="BT80" s="27">
        <v>41.801380000000002</v>
      </c>
      <c r="BU80" s="27">
        <v>40.445729999999998</v>
      </c>
      <c r="BV80" s="27">
        <v>39.898699999999998</v>
      </c>
      <c r="BW80" s="27">
        <v>0.100062</v>
      </c>
      <c r="BX80" s="27">
        <v>9.7878000000000007E-2</v>
      </c>
      <c r="BY80" s="27">
        <v>107.7214</v>
      </c>
      <c r="BZ80" s="27">
        <v>18.995360000000002</v>
      </c>
      <c r="CA80" s="27">
        <v>0</v>
      </c>
      <c r="CB80" s="27">
        <v>0.918605</v>
      </c>
      <c r="CC80" s="27">
        <v>942.29349999999999</v>
      </c>
      <c r="CD80" s="27">
        <v>973.19899999999996</v>
      </c>
      <c r="CE80" s="27">
        <v>111.23990000000001</v>
      </c>
      <c r="CF80" s="27">
        <v>500.42</v>
      </c>
      <c r="CG80" s="27">
        <v>83.33</v>
      </c>
      <c r="CH80" s="27">
        <v>95.92</v>
      </c>
      <c r="CI80" s="27">
        <v>474.97</v>
      </c>
      <c r="CJ80" s="27">
        <v>492.6</v>
      </c>
      <c r="CK80" s="27">
        <v>510.27</v>
      </c>
      <c r="CL80" s="27">
        <v>529.9</v>
      </c>
      <c r="CM80" s="27">
        <v>531.95000000000005</v>
      </c>
      <c r="CN80" s="27">
        <v>526.97</v>
      </c>
      <c r="CO80" s="27">
        <v>403.7</v>
      </c>
      <c r="CP80" s="27">
        <v>30.55</v>
      </c>
      <c r="CQ80" s="27">
        <v>747.5</v>
      </c>
      <c r="CR80" s="27">
        <v>751.06</v>
      </c>
      <c r="CS80" s="27">
        <v>13.4</v>
      </c>
      <c r="CT80" s="27">
        <v>13.5</v>
      </c>
      <c r="CU80" s="5"/>
    </row>
    <row r="81" spans="1:133" x14ac:dyDescent="0.25">
      <c r="A81" s="72"/>
      <c r="B81" s="27">
        <v>16</v>
      </c>
      <c r="C81" s="28">
        <v>41411.541562962964</v>
      </c>
      <c r="D81" s="27">
        <v>10</v>
      </c>
      <c r="E81" s="27">
        <v>12</v>
      </c>
      <c r="F81" s="27">
        <v>751</v>
      </c>
      <c r="G81" s="27">
        <v>751</v>
      </c>
      <c r="H81" s="27">
        <v>751.1</v>
      </c>
      <c r="I81" s="27">
        <v>100</v>
      </c>
      <c r="J81" s="27">
        <v>100</v>
      </c>
      <c r="K81" s="27">
        <v>1890</v>
      </c>
      <c r="L81" s="27">
        <v>37</v>
      </c>
      <c r="M81" s="27">
        <v>37</v>
      </c>
      <c r="N81" s="27">
        <v>0.1</v>
      </c>
      <c r="O81" s="27">
        <v>0.100024</v>
      </c>
      <c r="P81" s="27">
        <v>1</v>
      </c>
      <c r="Q81" s="27">
        <v>1.0693790000000001</v>
      </c>
      <c r="R81" s="27">
        <v>2.4500000000000002</v>
      </c>
      <c r="S81" s="27">
        <v>2.449951</v>
      </c>
      <c r="T81" s="27">
        <v>190.11</v>
      </c>
      <c r="U81" s="27">
        <v>190.10939999999999</v>
      </c>
      <c r="V81" s="27">
        <v>3.5</v>
      </c>
      <c r="W81" s="27">
        <v>3.5</v>
      </c>
      <c r="X81" s="27">
        <v>300</v>
      </c>
      <c r="Y81" s="27">
        <v>300</v>
      </c>
      <c r="Z81" s="27">
        <v>0</v>
      </c>
      <c r="AA81" s="27">
        <v>0</v>
      </c>
      <c r="AB81" s="27">
        <v>300</v>
      </c>
      <c r="AC81" s="27">
        <v>300</v>
      </c>
      <c r="AD81" s="27">
        <v>0</v>
      </c>
      <c r="AE81" s="27">
        <v>168.21690000000001</v>
      </c>
      <c r="AF81" s="27">
        <v>150</v>
      </c>
      <c r="AG81" s="27">
        <v>150</v>
      </c>
      <c r="AH81" s="27">
        <v>34</v>
      </c>
      <c r="AI81" s="27">
        <v>0.16</v>
      </c>
      <c r="AJ81" s="27">
        <v>98.44</v>
      </c>
      <c r="AK81" s="27">
        <v>129.12</v>
      </c>
      <c r="AL81" s="27">
        <v>211.44</v>
      </c>
      <c r="AM81" s="27">
        <v>214.22</v>
      </c>
      <c r="AN81" s="27">
        <v>560.25</v>
      </c>
      <c r="AO81" s="27">
        <v>248.75380000000001</v>
      </c>
      <c r="AP81" s="27">
        <v>148.52000000000001</v>
      </c>
      <c r="AQ81" s="27">
        <v>158.43</v>
      </c>
      <c r="AR81" s="27">
        <v>171.01</v>
      </c>
      <c r="AS81" s="27">
        <v>804.96</v>
      </c>
      <c r="AT81" s="27">
        <v>62.92</v>
      </c>
      <c r="AU81" s="27">
        <v>60.78</v>
      </c>
      <c r="AV81" s="27">
        <v>101.42</v>
      </c>
      <c r="AW81" s="27">
        <v>114.16</v>
      </c>
      <c r="AX81" s="27">
        <v>9.2999999999999999E-2</v>
      </c>
      <c r="AY81" s="27">
        <v>1.25</v>
      </c>
      <c r="AZ81" s="69">
        <v>10000000000</v>
      </c>
      <c r="BA81" s="27">
        <v>381.31</v>
      </c>
      <c r="BB81" s="27">
        <v>16.34</v>
      </c>
      <c r="BC81" s="27">
        <v>8.48</v>
      </c>
      <c r="BD81" s="27">
        <v>0.83</v>
      </c>
      <c r="BE81" s="27">
        <v>8.7899999999999991</v>
      </c>
      <c r="BF81" s="27">
        <v>5.0199999999999996</v>
      </c>
      <c r="BG81" s="27">
        <v>713.63</v>
      </c>
      <c r="BH81" s="27">
        <v>9.83</v>
      </c>
      <c r="BI81" s="27">
        <v>10000000000</v>
      </c>
      <c r="BJ81" s="27">
        <v>217.6</v>
      </c>
      <c r="BK81" s="27">
        <v>24.9</v>
      </c>
      <c r="BL81" s="27">
        <v>84.3</v>
      </c>
      <c r="BM81" s="27">
        <v>87.69</v>
      </c>
      <c r="BN81" s="27">
        <v>2.66</v>
      </c>
      <c r="BO81" s="27">
        <v>29.74</v>
      </c>
      <c r="BP81" s="27">
        <v>36.85</v>
      </c>
      <c r="BQ81" s="27">
        <v>836.86</v>
      </c>
      <c r="BR81" s="27">
        <v>61.5274</v>
      </c>
      <c r="BS81" s="27">
        <v>314.43720000000002</v>
      </c>
      <c r="BT81" s="27">
        <v>41.765689999999999</v>
      </c>
      <c r="BU81" s="27">
        <v>40.34695</v>
      </c>
      <c r="BV81" s="27">
        <v>39.787970000000001</v>
      </c>
      <c r="BW81" s="27">
        <v>0.100325</v>
      </c>
      <c r="BX81" s="27">
        <v>9.8013000000000003E-2</v>
      </c>
      <c r="BY81" s="27">
        <v>107.9341</v>
      </c>
      <c r="BZ81" s="27">
        <v>18.995360000000002</v>
      </c>
      <c r="CA81" s="27">
        <v>0</v>
      </c>
      <c r="CB81" s="27">
        <v>0.91849700000000001</v>
      </c>
      <c r="CC81" s="27">
        <v>941.81769999999995</v>
      </c>
      <c r="CD81" s="27">
        <v>972.78420000000006</v>
      </c>
      <c r="CE81" s="27">
        <v>111.4473</v>
      </c>
      <c r="CF81" s="27">
        <v>501.53</v>
      </c>
      <c r="CG81" s="27">
        <v>83.99</v>
      </c>
      <c r="CH81" s="27">
        <v>96.54</v>
      </c>
      <c r="CI81" s="27">
        <v>475.39</v>
      </c>
      <c r="CJ81" s="27">
        <v>492.99</v>
      </c>
      <c r="CK81" s="27">
        <v>511.68</v>
      </c>
      <c r="CL81" s="27">
        <v>532.66999999999996</v>
      </c>
      <c r="CM81" s="27">
        <v>532.95000000000005</v>
      </c>
      <c r="CN81" s="27">
        <v>527.97</v>
      </c>
      <c r="CO81" s="27">
        <v>406.76</v>
      </c>
      <c r="CP81" s="27">
        <v>29.86</v>
      </c>
      <c r="CQ81" s="27">
        <v>747.3</v>
      </c>
      <c r="CR81" s="27">
        <v>751.05</v>
      </c>
      <c r="CS81" s="27">
        <v>13.4</v>
      </c>
      <c r="CT81" s="27">
        <v>13.5</v>
      </c>
      <c r="CU81" s="5"/>
    </row>
    <row r="82" spans="1:133" x14ac:dyDescent="0.25">
      <c r="A82" s="72"/>
      <c r="B82" s="15">
        <v>17</v>
      </c>
      <c r="C82" s="16">
        <v>41411.567673773148</v>
      </c>
      <c r="D82" s="15">
        <v>10</v>
      </c>
      <c r="E82" s="15">
        <v>12</v>
      </c>
      <c r="F82" s="15">
        <v>751</v>
      </c>
      <c r="G82" s="15">
        <v>751</v>
      </c>
      <c r="H82" s="15">
        <v>751</v>
      </c>
      <c r="I82" s="15">
        <v>100</v>
      </c>
      <c r="J82" s="15">
        <v>100</v>
      </c>
      <c r="K82" s="15">
        <v>1890</v>
      </c>
      <c r="L82" s="15">
        <v>37</v>
      </c>
      <c r="M82" s="15">
        <v>37</v>
      </c>
      <c r="N82" s="15">
        <v>0.1</v>
      </c>
      <c r="O82" s="15">
        <v>9.9965999999999999E-2</v>
      </c>
      <c r="P82" s="15">
        <v>1</v>
      </c>
      <c r="Q82" s="15">
        <v>1.069879</v>
      </c>
      <c r="R82" s="15">
        <v>2.4500000000000002</v>
      </c>
      <c r="S82" s="15">
        <v>2.449951</v>
      </c>
      <c r="T82" s="15">
        <v>190.11</v>
      </c>
      <c r="U82" s="15">
        <v>190.10939999999999</v>
      </c>
      <c r="V82" s="15">
        <v>3.5</v>
      </c>
      <c r="W82" s="15">
        <v>3.5</v>
      </c>
      <c r="X82" s="15">
        <v>300</v>
      </c>
      <c r="Y82" s="15">
        <v>300</v>
      </c>
      <c r="Z82" s="15">
        <v>0</v>
      </c>
      <c r="AA82" s="15">
        <v>0</v>
      </c>
      <c r="AB82" s="15">
        <v>300</v>
      </c>
      <c r="AC82" s="15">
        <v>300</v>
      </c>
      <c r="AD82" s="15">
        <v>0</v>
      </c>
      <c r="AE82" s="15">
        <v>164.51519999999999</v>
      </c>
      <c r="AF82" s="15">
        <v>150</v>
      </c>
      <c r="AG82" s="15">
        <v>150</v>
      </c>
      <c r="AH82" s="15">
        <v>34</v>
      </c>
      <c r="AI82" s="15">
        <v>0.16</v>
      </c>
      <c r="AJ82" s="15">
        <v>96.73</v>
      </c>
      <c r="AK82" s="15">
        <v>129.75</v>
      </c>
      <c r="AL82" s="15">
        <v>207.79</v>
      </c>
      <c r="AM82" s="15">
        <v>210.27</v>
      </c>
      <c r="AN82" s="15">
        <v>571.39</v>
      </c>
      <c r="AO82" s="15">
        <v>244.4708</v>
      </c>
      <c r="AP82" s="15">
        <v>144</v>
      </c>
      <c r="AQ82" s="15">
        <v>166.36</v>
      </c>
      <c r="AR82" s="15">
        <v>166</v>
      </c>
      <c r="AS82" s="15">
        <v>806</v>
      </c>
      <c r="AT82" s="15">
        <v>63.79</v>
      </c>
      <c r="AU82" s="15">
        <v>61.11</v>
      </c>
      <c r="AV82" s="15">
        <v>101.49</v>
      </c>
      <c r="AW82" s="15">
        <v>117.28</v>
      </c>
      <c r="AX82" s="15">
        <v>0.10199999999999999</v>
      </c>
      <c r="AY82" s="15">
        <v>1.38</v>
      </c>
      <c r="AZ82" s="54">
        <v>10000000000</v>
      </c>
      <c r="BA82" s="15">
        <v>375.79</v>
      </c>
      <c r="BB82" s="15">
        <v>18.149999999999999</v>
      </c>
      <c r="BC82" s="15">
        <v>8.7200000000000006</v>
      </c>
      <c r="BD82" s="15">
        <v>0.87</v>
      </c>
      <c r="BE82" s="15">
        <v>8.5299999999999994</v>
      </c>
      <c r="BF82" s="15">
        <v>4.99</v>
      </c>
      <c r="BG82" s="15">
        <v>709.07</v>
      </c>
      <c r="BH82" s="15">
        <v>9.9600000000000009</v>
      </c>
      <c r="BI82" s="15">
        <v>10000000000</v>
      </c>
      <c r="BJ82" s="15">
        <v>217.6</v>
      </c>
      <c r="BK82" s="15">
        <v>24.9</v>
      </c>
      <c r="BL82" s="15">
        <v>86.2</v>
      </c>
      <c r="BM82" s="15">
        <v>89.2</v>
      </c>
      <c r="BN82" s="15">
        <v>2.61</v>
      </c>
      <c r="BO82" s="15">
        <v>29.75</v>
      </c>
      <c r="BP82" s="15">
        <v>36.840000000000003</v>
      </c>
      <c r="BQ82" s="15">
        <v>838.4</v>
      </c>
      <c r="BR82" s="15">
        <v>61.794319999999999</v>
      </c>
      <c r="BS82" s="15">
        <v>310.28250000000003</v>
      </c>
      <c r="BT82" s="15">
        <v>41.73948</v>
      </c>
      <c r="BU82" s="15">
        <v>39.508589999999998</v>
      </c>
      <c r="BV82" s="15">
        <v>39.001849999999997</v>
      </c>
      <c r="BW82" s="15">
        <v>0.100526</v>
      </c>
      <c r="BX82" s="15">
        <v>9.8923999999999998E-2</v>
      </c>
      <c r="BY82" s="15">
        <v>108.0898</v>
      </c>
      <c r="BZ82" s="15">
        <v>18.995360000000002</v>
      </c>
      <c r="CA82" s="15">
        <v>0</v>
      </c>
      <c r="CB82" s="15">
        <v>0.91841600000000001</v>
      </c>
      <c r="CC82" s="15">
        <v>924.70500000000004</v>
      </c>
      <c r="CD82" s="15">
        <v>955.71019999999999</v>
      </c>
      <c r="CE82" s="15">
        <v>111.6048</v>
      </c>
      <c r="CF82" s="15">
        <v>508.48</v>
      </c>
      <c r="CG82" s="15">
        <v>81.430000000000007</v>
      </c>
      <c r="CH82" s="15">
        <v>95</v>
      </c>
      <c r="CI82" s="15">
        <v>481.28</v>
      </c>
      <c r="CJ82" s="15">
        <v>501.11</v>
      </c>
      <c r="CK82" s="15">
        <v>520.39</v>
      </c>
      <c r="CL82" s="15">
        <v>546.74</v>
      </c>
      <c r="CM82" s="15">
        <v>542.83000000000004</v>
      </c>
      <c r="CN82" s="15">
        <v>537.33000000000004</v>
      </c>
      <c r="CO82" s="15">
        <v>413.49</v>
      </c>
      <c r="CP82" s="15">
        <v>31.12</v>
      </c>
      <c r="CQ82" s="15">
        <v>750.7</v>
      </c>
      <c r="CR82" s="15">
        <v>751.05</v>
      </c>
      <c r="CS82" s="15">
        <v>13.4</v>
      </c>
      <c r="CT82" s="15">
        <v>13.5</v>
      </c>
      <c r="CU82" s="5"/>
    </row>
    <row r="83" spans="1:133" x14ac:dyDescent="0.25">
      <c r="A83" s="72"/>
      <c r="B83" s="15">
        <v>33</v>
      </c>
      <c r="C83" s="16">
        <v>41411.66324263889</v>
      </c>
      <c r="D83" s="15">
        <v>10</v>
      </c>
      <c r="E83" s="15">
        <v>28</v>
      </c>
      <c r="F83" s="15">
        <v>751</v>
      </c>
      <c r="G83" s="15">
        <v>751</v>
      </c>
      <c r="H83" s="15">
        <v>751</v>
      </c>
      <c r="I83" s="15">
        <v>100</v>
      </c>
      <c r="J83" s="15">
        <v>100</v>
      </c>
      <c r="K83" s="15">
        <v>1890</v>
      </c>
      <c r="L83" s="15">
        <v>37</v>
      </c>
      <c r="M83" s="15">
        <v>37</v>
      </c>
      <c r="N83" s="15">
        <v>0.1</v>
      </c>
      <c r="O83" s="15">
        <v>9.9987000000000006E-2</v>
      </c>
      <c r="P83" s="15">
        <v>1</v>
      </c>
      <c r="Q83" s="15">
        <v>1.0693900000000001</v>
      </c>
      <c r="R83" s="15">
        <v>2.4500000000000002</v>
      </c>
      <c r="S83" s="15">
        <v>2.449951</v>
      </c>
      <c r="T83" s="15">
        <v>190.11</v>
      </c>
      <c r="U83" s="15">
        <v>190.10939999999999</v>
      </c>
      <c r="V83" s="15">
        <v>3.5</v>
      </c>
      <c r="W83" s="15">
        <v>3.5</v>
      </c>
      <c r="X83" s="15">
        <v>300</v>
      </c>
      <c r="Y83" s="15">
        <v>300</v>
      </c>
      <c r="Z83" s="15">
        <v>0</v>
      </c>
      <c r="AA83" s="15">
        <v>0</v>
      </c>
      <c r="AB83" s="15">
        <v>300</v>
      </c>
      <c r="AC83" s="15">
        <v>300</v>
      </c>
      <c r="AD83" s="15">
        <v>0</v>
      </c>
      <c r="AE83" s="15">
        <v>170.09719999999999</v>
      </c>
      <c r="AF83" s="15">
        <v>150</v>
      </c>
      <c r="AG83" s="15">
        <v>150</v>
      </c>
      <c r="AH83" s="15">
        <v>34</v>
      </c>
      <c r="AI83" s="15">
        <v>0.16</v>
      </c>
      <c r="AJ83" s="15">
        <v>99.51</v>
      </c>
      <c r="AK83" s="15">
        <v>129.03</v>
      </c>
      <c r="AL83" s="15">
        <v>212.25</v>
      </c>
      <c r="AM83" s="15">
        <v>215.05</v>
      </c>
      <c r="AN83" s="15">
        <v>557.64</v>
      </c>
      <c r="AO83" s="15">
        <v>251.05690000000001</v>
      </c>
      <c r="AP83" s="15">
        <v>150.83000000000001</v>
      </c>
      <c r="AQ83" s="15">
        <v>156.28</v>
      </c>
      <c r="AR83" s="15">
        <v>173.15</v>
      </c>
      <c r="AS83" s="15">
        <v>801.52</v>
      </c>
      <c r="AT83" s="15">
        <v>61.42</v>
      </c>
      <c r="AU83" s="15">
        <v>60.7</v>
      </c>
      <c r="AV83" s="15">
        <v>101.46</v>
      </c>
      <c r="AW83" s="15">
        <v>116.04</v>
      </c>
      <c r="AX83" s="15">
        <v>7.8E-2</v>
      </c>
      <c r="AY83" s="15">
        <v>1.05</v>
      </c>
      <c r="AZ83" s="54">
        <v>10000000000</v>
      </c>
      <c r="BA83" s="15">
        <v>367.9</v>
      </c>
      <c r="BB83" s="15">
        <v>15.93</v>
      </c>
      <c r="BC83" s="15">
        <v>8.49</v>
      </c>
      <c r="BD83" s="15">
        <v>0.82</v>
      </c>
      <c r="BE83" s="15">
        <v>8.94</v>
      </c>
      <c r="BF83" s="15">
        <v>4.9800000000000004</v>
      </c>
      <c r="BG83" s="15">
        <v>710.44</v>
      </c>
      <c r="BH83" s="15">
        <v>9.7100000000000009</v>
      </c>
      <c r="BI83" s="15">
        <v>10000000000</v>
      </c>
      <c r="BJ83" s="15">
        <v>217</v>
      </c>
      <c r="BK83" s="15">
        <v>24.9</v>
      </c>
      <c r="BL83" s="15">
        <v>83.1</v>
      </c>
      <c r="BM83" s="15">
        <v>86.26</v>
      </c>
      <c r="BN83" s="15">
        <v>2.69</v>
      </c>
      <c r="BO83" s="15">
        <v>29.74</v>
      </c>
      <c r="BP83" s="15">
        <v>36.86</v>
      </c>
      <c r="BQ83" s="15">
        <v>834.13</v>
      </c>
      <c r="BR83" s="15">
        <v>61.43177</v>
      </c>
      <c r="BS83" s="15">
        <v>315.8415</v>
      </c>
      <c r="BT83" s="15">
        <v>41.825009999999999</v>
      </c>
      <c r="BU83" s="15">
        <v>40.901600000000002</v>
      </c>
      <c r="BV83" s="15">
        <v>40.323180000000001</v>
      </c>
      <c r="BW83" s="15">
        <v>9.9887000000000004E-2</v>
      </c>
      <c r="BX83" s="15">
        <v>9.7293000000000004E-2</v>
      </c>
      <c r="BY83" s="15">
        <v>107.5812</v>
      </c>
      <c r="BZ83" s="15">
        <v>18.995360000000002</v>
      </c>
      <c r="CA83" s="15">
        <v>0</v>
      </c>
      <c r="CB83" s="15">
        <v>0.91867799999999999</v>
      </c>
      <c r="CC83" s="15">
        <v>950.95500000000004</v>
      </c>
      <c r="CD83" s="15">
        <v>981.82230000000004</v>
      </c>
      <c r="CE83" s="15">
        <v>111.0959</v>
      </c>
      <c r="CF83" s="15">
        <v>498.15</v>
      </c>
      <c r="CG83" s="15">
        <v>83.79</v>
      </c>
      <c r="CH83" s="15">
        <v>96.46</v>
      </c>
      <c r="CI83" s="15">
        <v>468.47</v>
      </c>
      <c r="CJ83" s="15">
        <v>488.27</v>
      </c>
      <c r="CK83" s="15">
        <v>508.19</v>
      </c>
      <c r="CL83" s="15">
        <v>538.54999999999995</v>
      </c>
      <c r="CM83" s="15">
        <v>528.61</v>
      </c>
      <c r="CN83" s="15">
        <v>524.78</v>
      </c>
      <c r="CO83" s="15">
        <v>403.95</v>
      </c>
      <c r="CP83" s="15">
        <v>26.82</v>
      </c>
      <c r="CQ83" s="15">
        <v>746.7</v>
      </c>
      <c r="CR83" s="15">
        <v>751.05</v>
      </c>
      <c r="CS83" s="15">
        <v>13.4</v>
      </c>
      <c r="CT83" s="15">
        <v>13.5</v>
      </c>
      <c r="CU83" s="5"/>
    </row>
    <row r="84" spans="1:133" x14ac:dyDescent="0.25">
      <c r="A84" s="72"/>
      <c r="B84" s="5"/>
      <c r="C84" s="2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</row>
    <row r="85" spans="1:133" x14ac:dyDescent="0.25">
      <c r="A85" s="72"/>
      <c r="B85" s="5"/>
      <c r="C85" s="2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</row>
    <row r="86" spans="1:133" x14ac:dyDescent="0.25">
      <c r="A86" s="72"/>
      <c r="B86" s="5"/>
      <c r="C86" s="2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</row>
    <row r="87" spans="1:133" x14ac:dyDescent="0.25">
      <c r="A87" s="72"/>
      <c r="B87" s="5"/>
      <c r="C87" s="2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</row>
    <row r="88" spans="1:133" s="1" customFormat="1" ht="60" x14ac:dyDescent="0.25">
      <c r="B88" s="1" t="s">
        <v>0</v>
      </c>
      <c r="C88" s="1" t="s">
        <v>1</v>
      </c>
      <c r="D88" s="1" t="s">
        <v>2</v>
      </c>
      <c r="E88" s="1" t="s">
        <v>3</v>
      </c>
      <c r="F88" s="1" t="s">
        <v>4</v>
      </c>
      <c r="G88" s="1" t="s">
        <v>5</v>
      </c>
      <c r="H88" s="1" t="s">
        <v>6</v>
      </c>
      <c r="I88" s="1" t="s">
        <v>7</v>
      </c>
      <c r="J88" s="1" t="s">
        <v>8</v>
      </c>
      <c r="K88" s="1" t="s">
        <v>9</v>
      </c>
      <c r="L88" s="6" t="s">
        <v>10</v>
      </c>
      <c r="M88" s="6" t="s">
        <v>11</v>
      </c>
      <c r="N88" s="1" t="s">
        <v>12</v>
      </c>
      <c r="O88" s="1" t="s">
        <v>13</v>
      </c>
      <c r="P88" s="1" t="s">
        <v>14</v>
      </c>
      <c r="Q88" s="1" t="s">
        <v>15</v>
      </c>
      <c r="R88" s="1" t="s">
        <v>16</v>
      </c>
      <c r="S88" s="1" t="s">
        <v>17</v>
      </c>
      <c r="T88" s="1" t="s">
        <v>18</v>
      </c>
      <c r="U88" s="1" t="s">
        <v>19</v>
      </c>
      <c r="V88" s="1" t="s">
        <v>20</v>
      </c>
      <c r="W88" s="1" t="s">
        <v>21</v>
      </c>
      <c r="X88" s="1" t="s">
        <v>22</v>
      </c>
      <c r="Y88" s="1" t="s">
        <v>23</v>
      </c>
      <c r="Z88" s="1" t="s">
        <v>24</v>
      </c>
      <c r="AA88" s="1" t="s">
        <v>25</v>
      </c>
      <c r="AB88" s="1" t="s">
        <v>26</v>
      </c>
      <c r="AC88" s="1" t="s">
        <v>27</v>
      </c>
      <c r="AD88" s="1" t="s">
        <v>28</v>
      </c>
      <c r="AE88" s="1" t="s">
        <v>29</v>
      </c>
      <c r="AF88" s="1" t="s">
        <v>30</v>
      </c>
      <c r="AG88" s="1" t="s">
        <v>31</v>
      </c>
      <c r="AH88" s="1" t="s">
        <v>32</v>
      </c>
      <c r="AI88" s="1" t="s">
        <v>33</v>
      </c>
      <c r="AJ88" s="1" t="s">
        <v>34</v>
      </c>
      <c r="AK88" s="1" t="s">
        <v>35</v>
      </c>
      <c r="AL88" s="1" t="s">
        <v>36</v>
      </c>
      <c r="AM88" s="1" t="s">
        <v>37</v>
      </c>
      <c r="AN88" s="1" t="s">
        <v>38</v>
      </c>
      <c r="AO88" s="1" t="s">
        <v>39</v>
      </c>
      <c r="AP88" s="1" t="s">
        <v>40</v>
      </c>
      <c r="AQ88" s="1" t="s">
        <v>41</v>
      </c>
      <c r="AR88" s="1" t="s">
        <v>42</v>
      </c>
      <c r="AS88" s="1" t="s">
        <v>43</v>
      </c>
      <c r="AT88" s="1" t="s">
        <v>44</v>
      </c>
      <c r="AU88" s="1" t="s">
        <v>45</v>
      </c>
      <c r="AV88" s="1" t="s">
        <v>46</v>
      </c>
      <c r="AW88" s="1" t="s">
        <v>47</v>
      </c>
      <c r="AX88" s="6" t="s">
        <v>48</v>
      </c>
      <c r="AY88" s="6" t="s">
        <v>49</v>
      </c>
      <c r="AZ88" s="6" t="s">
        <v>50</v>
      </c>
      <c r="BA88" s="6" t="s">
        <v>51</v>
      </c>
      <c r="BB88" s="6" t="s">
        <v>52</v>
      </c>
      <c r="BC88" s="6" t="s">
        <v>53</v>
      </c>
      <c r="BD88" s="6" t="s">
        <v>54</v>
      </c>
      <c r="BE88" s="1" t="s">
        <v>108</v>
      </c>
      <c r="BF88" s="6" t="s">
        <v>55</v>
      </c>
      <c r="BG88" s="6" t="s">
        <v>56</v>
      </c>
      <c r="BH88" s="1" t="s">
        <v>57</v>
      </c>
      <c r="BI88" s="1" t="s">
        <v>58</v>
      </c>
      <c r="BJ88" s="1" t="s">
        <v>59</v>
      </c>
      <c r="BK88" s="1" t="s">
        <v>60</v>
      </c>
      <c r="BL88" s="1" t="s">
        <v>61</v>
      </c>
      <c r="BM88" s="1" t="s">
        <v>62</v>
      </c>
      <c r="BN88" s="1" t="s">
        <v>63</v>
      </c>
      <c r="BO88" s="1" t="s">
        <v>64</v>
      </c>
      <c r="BP88" s="1" t="s">
        <v>65</v>
      </c>
      <c r="BQ88" s="1" t="s">
        <v>66</v>
      </c>
      <c r="BR88" s="1" t="s">
        <v>67</v>
      </c>
      <c r="BS88" s="1" t="s">
        <v>68</v>
      </c>
      <c r="BT88" s="1" t="s">
        <v>69</v>
      </c>
      <c r="BU88" s="1" t="s">
        <v>70</v>
      </c>
      <c r="BV88" s="1" t="s">
        <v>71</v>
      </c>
      <c r="BW88" s="1" t="s">
        <v>72</v>
      </c>
      <c r="BX88" s="1" t="s">
        <v>73</v>
      </c>
      <c r="BY88" s="1" t="s">
        <v>74</v>
      </c>
      <c r="BZ88" s="1" t="s">
        <v>75</v>
      </c>
      <c r="CA88" s="1" t="s">
        <v>76</v>
      </c>
      <c r="CB88" s="1" t="s">
        <v>77</v>
      </c>
      <c r="CC88" s="1" t="s">
        <v>78</v>
      </c>
      <c r="CD88" s="1" t="s">
        <v>79</v>
      </c>
      <c r="CE88" s="1" t="s">
        <v>80</v>
      </c>
      <c r="CF88" s="1" t="s">
        <v>81</v>
      </c>
      <c r="CG88" s="1" t="s">
        <v>82</v>
      </c>
      <c r="CH88" s="1" t="s">
        <v>83</v>
      </c>
      <c r="CI88" s="1" t="s">
        <v>84</v>
      </c>
      <c r="CJ88" s="1" t="s">
        <v>85</v>
      </c>
      <c r="CK88" s="1" t="s">
        <v>86</v>
      </c>
      <c r="CL88" s="1" t="s">
        <v>87</v>
      </c>
      <c r="CM88" s="1" t="s">
        <v>88</v>
      </c>
      <c r="CN88" s="1" t="s">
        <v>89</v>
      </c>
      <c r="CO88" s="1" t="s">
        <v>90</v>
      </c>
      <c r="CP88" s="1" t="s">
        <v>91</v>
      </c>
      <c r="CQ88" s="1" t="s">
        <v>92</v>
      </c>
      <c r="CR88" s="1" t="s">
        <v>93</v>
      </c>
      <c r="CS88" s="1" t="s">
        <v>94</v>
      </c>
      <c r="CT88" s="1" t="s">
        <v>95</v>
      </c>
      <c r="CU88" s="6" t="s">
        <v>114</v>
      </c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</row>
    <row r="89" spans="1:133" x14ac:dyDescent="0.25">
      <c r="A89" s="72" t="s">
        <v>106</v>
      </c>
      <c r="B89" s="15">
        <v>1</v>
      </c>
      <c r="C89" s="16">
        <v>3.0357638888888889E-2</v>
      </c>
      <c r="D89" s="15">
        <v>11</v>
      </c>
      <c r="E89" s="15">
        <v>1</v>
      </c>
      <c r="F89" s="15">
        <v>339</v>
      </c>
      <c r="G89" s="15">
        <v>339</v>
      </c>
      <c r="H89" s="15">
        <v>339.1</v>
      </c>
      <c r="I89" s="15">
        <v>100</v>
      </c>
      <c r="J89" s="15">
        <v>100</v>
      </c>
      <c r="K89" s="15">
        <v>1890</v>
      </c>
      <c r="L89" s="15">
        <v>29</v>
      </c>
      <c r="M89" s="15">
        <v>29</v>
      </c>
      <c r="N89" s="15">
        <v>0.21</v>
      </c>
      <c r="O89" s="15">
        <v>0.209981</v>
      </c>
      <c r="P89" s="15">
        <v>1</v>
      </c>
      <c r="Q89" s="15">
        <v>1.0695140000000001</v>
      </c>
      <c r="R89" s="15">
        <v>-4.62</v>
      </c>
      <c r="S89" s="15">
        <v>-4.6252440000000004</v>
      </c>
      <c r="T89" s="15">
        <v>141.22999999999999</v>
      </c>
      <c r="U89" s="15">
        <v>141.23439999999999</v>
      </c>
      <c r="V89" s="15">
        <v>3.5</v>
      </c>
      <c r="W89" s="15">
        <v>3.5</v>
      </c>
      <c r="X89" s="15">
        <v>300</v>
      </c>
      <c r="Y89" s="15">
        <v>300</v>
      </c>
      <c r="Z89" s="15">
        <v>3.5</v>
      </c>
      <c r="AA89" s="15">
        <v>3.5</v>
      </c>
      <c r="AB89" s="15">
        <v>300</v>
      </c>
      <c r="AC89" s="15">
        <v>300</v>
      </c>
      <c r="AD89" s="15">
        <v>0</v>
      </c>
      <c r="AE89" s="15">
        <v>105.29770000000001</v>
      </c>
      <c r="AF89" s="15">
        <v>0</v>
      </c>
      <c r="AG89" s="15">
        <v>105.29770000000001</v>
      </c>
      <c r="AH89" s="15">
        <v>37</v>
      </c>
      <c r="AI89" s="15">
        <v>0.17</v>
      </c>
      <c r="AJ89" s="15">
        <v>60.09</v>
      </c>
      <c r="AK89" s="15">
        <v>85.73</v>
      </c>
      <c r="AL89" s="15">
        <v>79.03</v>
      </c>
      <c r="AM89" s="15">
        <v>79.400000000000006</v>
      </c>
      <c r="AN89" s="15">
        <v>468.33</v>
      </c>
      <c r="AO89" s="15">
        <v>156.1086</v>
      </c>
      <c r="AP89" s="15">
        <v>53.39</v>
      </c>
      <c r="AQ89" s="15">
        <v>86.53</v>
      </c>
      <c r="AR89" s="15">
        <v>66.680000000000007</v>
      </c>
      <c r="AS89" s="15">
        <v>490.19</v>
      </c>
      <c r="AT89" s="15">
        <v>25.64</v>
      </c>
      <c r="AU89" s="15">
        <v>55.05</v>
      </c>
      <c r="AV89" s="15">
        <v>103.32</v>
      </c>
      <c r="AW89" s="15">
        <v>116.12</v>
      </c>
      <c r="AX89" s="15">
        <v>0.379</v>
      </c>
      <c r="AY89" s="15">
        <v>5.59</v>
      </c>
      <c r="AZ89" s="54">
        <v>10000000000</v>
      </c>
      <c r="BA89" s="15">
        <v>243.95</v>
      </c>
      <c r="BB89" s="15">
        <v>89.31</v>
      </c>
      <c r="BC89" s="15">
        <v>7.52</v>
      </c>
      <c r="BD89" s="15">
        <v>1.22</v>
      </c>
      <c r="BE89" s="15">
        <v>10.56</v>
      </c>
      <c r="BF89" s="15">
        <v>2.19</v>
      </c>
      <c r="BG89" s="15">
        <v>225.12</v>
      </c>
      <c r="BH89" s="15">
        <v>16.190000000000001</v>
      </c>
      <c r="BI89" s="15">
        <v>10000000000</v>
      </c>
      <c r="BJ89" s="15">
        <v>247.7</v>
      </c>
      <c r="BK89" s="15">
        <v>29.5</v>
      </c>
      <c r="BL89" s="15">
        <v>86.2</v>
      </c>
      <c r="BM89" s="15">
        <v>94.74</v>
      </c>
      <c r="BN89" s="15">
        <v>1.71</v>
      </c>
      <c r="BO89" s="15">
        <v>30.05</v>
      </c>
      <c r="BP89" s="15">
        <v>35.659999999999997</v>
      </c>
      <c r="BQ89" s="15">
        <v>506.96</v>
      </c>
      <c r="BR89" s="15">
        <v>56.18141</v>
      </c>
      <c r="BS89" s="15">
        <v>177.0436</v>
      </c>
      <c r="BT89" s="15">
        <v>57.98415</v>
      </c>
      <c r="BU89" s="15">
        <v>53.352550000000001</v>
      </c>
      <c r="BV89" s="15">
        <v>52.82526</v>
      </c>
      <c r="BW89" s="15">
        <v>9.1217999999999994E-2</v>
      </c>
      <c r="BX89" s="15">
        <v>9.0672000000000003E-2</v>
      </c>
      <c r="BY89" s="15">
        <v>47.950780000000002</v>
      </c>
      <c r="BZ89" s="15">
        <v>18.995360000000002</v>
      </c>
      <c r="CA89" s="15">
        <v>0</v>
      </c>
      <c r="CB89" s="15">
        <v>0.93125500000000005</v>
      </c>
      <c r="CC89" s="15">
        <v>608.94690000000003</v>
      </c>
      <c r="CD89" s="15">
        <v>624.17309999999998</v>
      </c>
      <c r="CE89" s="15">
        <v>54.946669999999997</v>
      </c>
      <c r="CF89" s="15">
        <v>446.91</v>
      </c>
      <c r="CG89" s="15">
        <v>77.709999999999994</v>
      </c>
      <c r="CH89" s="15">
        <v>93.61</v>
      </c>
      <c r="CI89" s="15">
        <v>391.37</v>
      </c>
      <c r="CJ89" s="15">
        <v>401.28</v>
      </c>
      <c r="CK89" s="15">
        <v>413.25</v>
      </c>
      <c r="CL89" s="15">
        <v>455.65</v>
      </c>
      <c r="CM89" s="15">
        <v>442.71</v>
      </c>
      <c r="CN89" s="15">
        <v>447.43</v>
      </c>
      <c r="CO89" s="15">
        <v>372.71</v>
      </c>
      <c r="CP89" s="15">
        <v>24.23</v>
      </c>
      <c r="CQ89" s="15">
        <v>337.7</v>
      </c>
      <c r="CR89" s="15">
        <v>339.04</v>
      </c>
      <c r="CS89" s="15">
        <v>6.1</v>
      </c>
      <c r="CT89" s="15">
        <v>6.1</v>
      </c>
      <c r="EC89"/>
    </row>
    <row r="90" spans="1:133" x14ac:dyDescent="0.25">
      <c r="A90" s="72"/>
      <c r="B90" s="15">
        <v>12</v>
      </c>
      <c r="C90" s="16">
        <v>6.6423611111111102E-3</v>
      </c>
      <c r="D90" s="15">
        <v>11</v>
      </c>
      <c r="E90" s="15">
        <v>12</v>
      </c>
      <c r="F90" s="15">
        <v>339</v>
      </c>
      <c r="G90" s="15">
        <v>339</v>
      </c>
      <c r="H90" s="15">
        <v>339.1</v>
      </c>
      <c r="I90" s="15">
        <v>100</v>
      </c>
      <c r="J90" s="15">
        <v>100</v>
      </c>
      <c r="K90" s="15">
        <v>1890</v>
      </c>
      <c r="L90" s="15">
        <v>29</v>
      </c>
      <c r="M90" s="15">
        <v>29</v>
      </c>
      <c r="N90" s="15">
        <v>0.21</v>
      </c>
      <c r="O90" s="15">
        <v>0.210059</v>
      </c>
      <c r="P90" s="15">
        <v>1</v>
      </c>
      <c r="Q90" s="15">
        <v>1.069477</v>
      </c>
      <c r="R90" s="15">
        <v>-4.62</v>
      </c>
      <c r="S90" s="15">
        <v>-4.6252440000000004</v>
      </c>
      <c r="T90" s="15">
        <v>141.22999999999999</v>
      </c>
      <c r="U90" s="15">
        <v>141.23439999999999</v>
      </c>
      <c r="V90" s="15">
        <v>3.5</v>
      </c>
      <c r="W90" s="15">
        <v>3.5</v>
      </c>
      <c r="X90" s="15">
        <v>300</v>
      </c>
      <c r="Y90" s="15">
        <v>300</v>
      </c>
      <c r="Z90" s="15">
        <v>3.5</v>
      </c>
      <c r="AA90" s="15">
        <v>3.5</v>
      </c>
      <c r="AB90" s="15">
        <v>300</v>
      </c>
      <c r="AC90" s="15">
        <v>300</v>
      </c>
      <c r="AD90" s="15">
        <v>0</v>
      </c>
      <c r="AE90" s="15">
        <v>102.5545</v>
      </c>
      <c r="AF90" s="15">
        <v>0</v>
      </c>
      <c r="AG90" s="15">
        <v>102.5545</v>
      </c>
      <c r="AH90" s="15">
        <v>37</v>
      </c>
      <c r="AI90" s="15">
        <v>0.17</v>
      </c>
      <c r="AJ90" s="15">
        <v>59.73</v>
      </c>
      <c r="AK90" s="15">
        <v>86.05</v>
      </c>
      <c r="AL90" s="15">
        <v>78.459999999999994</v>
      </c>
      <c r="AM90" s="15">
        <v>79.459999999999994</v>
      </c>
      <c r="AN90" s="15">
        <v>478.67</v>
      </c>
      <c r="AO90" s="15">
        <v>155.27549999999999</v>
      </c>
      <c r="AP90" s="15">
        <v>53.16</v>
      </c>
      <c r="AQ90" s="15">
        <v>90.77</v>
      </c>
      <c r="AR90" s="15">
        <v>66.790000000000006</v>
      </c>
      <c r="AS90" s="15">
        <v>486.66</v>
      </c>
      <c r="AT90" s="15">
        <v>25.3</v>
      </c>
      <c r="AU90" s="15">
        <v>62.45</v>
      </c>
      <c r="AV90" s="15">
        <v>103.61</v>
      </c>
      <c r="AW90" s="15">
        <v>116.12</v>
      </c>
      <c r="AX90" s="15">
        <v>0.38</v>
      </c>
      <c r="AY90" s="15">
        <v>5.62</v>
      </c>
      <c r="AZ90" s="54">
        <v>10000000000</v>
      </c>
      <c r="BA90" s="15">
        <v>222.76</v>
      </c>
      <c r="BB90" s="15">
        <v>81.42</v>
      </c>
      <c r="BC90" s="15">
        <v>7.57</v>
      </c>
      <c r="BD90" s="15">
        <v>1.21</v>
      </c>
      <c r="BE90" s="15">
        <v>10.41</v>
      </c>
      <c r="BF90" s="15">
        <v>2.2799999999999998</v>
      </c>
      <c r="BG90" s="15">
        <v>235.28</v>
      </c>
      <c r="BH90" s="15">
        <v>15.96</v>
      </c>
      <c r="BI90" s="15">
        <v>10000000000</v>
      </c>
      <c r="BJ90" s="15">
        <v>247.7</v>
      </c>
      <c r="BK90" s="15">
        <v>29.3</v>
      </c>
      <c r="BL90" s="15">
        <v>87.5</v>
      </c>
      <c r="BM90" s="15">
        <v>92.46</v>
      </c>
      <c r="BN90" s="15">
        <v>1.67</v>
      </c>
      <c r="BO90" s="15">
        <v>30.04</v>
      </c>
      <c r="BP90" s="15">
        <v>35.700000000000003</v>
      </c>
      <c r="BQ90" s="15">
        <v>503.57</v>
      </c>
      <c r="BR90" s="15">
        <v>63.245989999999999</v>
      </c>
      <c r="BS90" s="15">
        <v>176.1961</v>
      </c>
      <c r="BT90" s="15">
        <v>57.820630000000001</v>
      </c>
      <c r="BU90" s="15">
        <v>51.406129999999997</v>
      </c>
      <c r="BV90" s="15">
        <v>51.083570000000002</v>
      </c>
      <c r="BW90" s="15">
        <v>9.1411999999999993E-2</v>
      </c>
      <c r="BX90" s="15">
        <v>9.3353000000000005E-2</v>
      </c>
      <c r="BY90" s="15">
        <v>48.310160000000003</v>
      </c>
      <c r="BZ90" s="15">
        <v>18.995360000000002</v>
      </c>
      <c r="CA90" s="15">
        <v>0</v>
      </c>
      <c r="CB90" s="15">
        <v>0.93118400000000001</v>
      </c>
      <c r="CC90" s="15">
        <v>592.93039999999996</v>
      </c>
      <c r="CD90" s="15">
        <v>608.25229999999999</v>
      </c>
      <c r="CE90" s="15">
        <v>55.307450000000003</v>
      </c>
      <c r="CF90" s="15">
        <v>457.57</v>
      </c>
      <c r="CG90" s="15">
        <v>83.54</v>
      </c>
      <c r="CH90" s="15">
        <v>96.05</v>
      </c>
      <c r="CI90" s="15">
        <v>397.2</v>
      </c>
      <c r="CJ90" s="15">
        <v>407.84</v>
      </c>
      <c r="CK90" s="15">
        <v>418.49</v>
      </c>
      <c r="CL90" s="15">
        <v>466.35</v>
      </c>
      <c r="CM90" s="15">
        <v>454.09</v>
      </c>
      <c r="CN90" s="15">
        <v>454.23</v>
      </c>
      <c r="CO90" s="15">
        <v>386.14</v>
      </c>
      <c r="CP90" s="15">
        <v>26.43</v>
      </c>
      <c r="CQ90" s="15">
        <v>338.1</v>
      </c>
      <c r="CR90" s="15">
        <v>339.05</v>
      </c>
      <c r="CS90" s="15">
        <v>6.1</v>
      </c>
      <c r="CT90" s="15">
        <v>6.1</v>
      </c>
      <c r="EC90"/>
    </row>
    <row r="91" spans="1:133" x14ac:dyDescent="0.25">
      <c r="A91" s="72"/>
      <c r="B91" s="24">
        <v>13</v>
      </c>
      <c r="C91" s="25">
        <v>1.734490740740741E-2</v>
      </c>
      <c r="D91" s="24">
        <v>11</v>
      </c>
      <c r="E91" s="24">
        <v>12</v>
      </c>
      <c r="F91" s="24">
        <v>339</v>
      </c>
      <c r="G91" s="24">
        <v>339</v>
      </c>
      <c r="H91" s="24">
        <v>339.1</v>
      </c>
      <c r="I91" s="24">
        <v>100</v>
      </c>
      <c r="J91" s="24">
        <v>100</v>
      </c>
      <c r="K91" s="24">
        <v>1890</v>
      </c>
      <c r="L91" s="24">
        <v>29</v>
      </c>
      <c r="M91" s="24">
        <v>29</v>
      </c>
      <c r="N91" s="24">
        <v>0.21</v>
      </c>
      <c r="O91" s="24">
        <v>0.210003</v>
      </c>
      <c r="P91" s="24">
        <v>1</v>
      </c>
      <c r="Q91" s="24">
        <v>1.069561</v>
      </c>
      <c r="R91" s="24">
        <v>-4.62</v>
      </c>
      <c r="S91" s="24">
        <v>-4.6252440000000004</v>
      </c>
      <c r="T91" s="24">
        <v>141.22999999999999</v>
      </c>
      <c r="U91" s="24">
        <v>141.23439999999999</v>
      </c>
      <c r="V91" s="24">
        <v>3.5</v>
      </c>
      <c r="W91" s="24">
        <v>3.5</v>
      </c>
      <c r="X91" s="24">
        <v>300</v>
      </c>
      <c r="Y91" s="24">
        <v>300</v>
      </c>
      <c r="Z91" s="24">
        <v>3.5</v>
      </c>
      <c r="AA91" s="24">
        <v>3.5</v>
      </c>
      <c r="AB91" s="24">
        <v>300</v>
      </c>
      <c r="AC91" s="24">
        <v>300</v>
      </c>
      <c r="AD91" s="24">
        <v>0</v>
      </c>
      <c r="AE91" s="24">
        <v>104.4327</v>
      </c>
      <c r="AF91" s="24">
        <v>0</v>
      </c>
      <c r="AG91" s="24">
        <v>104.4327</v>
      </c>
      <c r="AH91" s="24">
        <v>37</v>
      </c>
      <c r="AI91" s="24">
        <v>0.17</v>
      </c>
      <c r="AJ91" s="24">
        <v>60.11</v>
      </c>
      <c r="AK91" s="24">
        <v>86.28</v>
      </c>
      <c r="AL91" s="24">
        <v>79.290000000000006</v>
      </c>
      <c r="AM91" s="24">
        <v>80.239999999999995</v>
      </c>
      <c r="AN91" s="24">
        <v>473.67</v>
      </c>
      <c r="AO91" s="24">
        <v>155.9949</v>
      </c>
      <c r="AP91" s="24">
        <v>53.2</v>
      </c>
      <c r="AQ91" s="24">
        <v>90.5</v>
      </c>
      <c r="AR91" s="24">
        <v>66.86</v>
      </c>
      <c r="AS91" s="24">
        <v>490.09</v>
      </c>
      <c r="AT91" s="24">
        <v>26.08</v>
      </c>
      <c r="AU91" s="24">
        <v>57.72</v>
      </c>
      <c r="AV91" s="24">
        <v>104.1</v>
      </c>
      <c r="AW91" s="24">
        <v>117.59</v>
      </c>
      <c r="AX91" s="24">
        <v>0.39700000000000002</v>
      </c>
      <c r="AY91" s="24">
        <v>5.89</v>
      </c>
      <c r="AZ91" s="60">
        <v>10000000000</v>
      </c>
      <c r="BA91" s="24">
        <v>241.11</v>
      </c>
      <c r="BB91" s="24">
        <v>90.86</v>
      </c>
      <c r="BC91" s="24">
        <v>7.38</v>
      </c>
      <c r="BD91" s="24">
        <v>1.19</v>
      </c>
      <c r="BE91" s="24">
        <v>10.52</v>
      </c>
      <c r="BF91" s="24">
        <v>2.2200000000000002</v>
      </c>
      <c r="BG91" s="24">
        <v>227.57</v>
      </c>
      <c r="BH91" s="24">
        <v>16.170000000000002</v>
      </c>
      <c r="BI91" s="24">
        <v>10000000000</v>
      </c>
      <c r="BJ91" s="24">
        <v>247.7</v>
      </c>
      <c r="BK91" s="24">
        <v>29.5</v>
      </c>
      <c r="BL91" s="24">
        <v>87</v>
      </c>
      <c r="BM91" s="24">
        <v>94.53</v>
      </c>
      <c r="BN91" s="24">
        <v>1.69</v>
      </c>
      <c r="BO91" s="24">
        <v>30.05</v>
      </c>
      <c r="BP91" s="24">
        <v>35.659999999999997</v>
      </c>
      <c r="BQ91" s="24">
        <v>506.74</v>
      </c>
      <c r="BR91" s="24">
        <v>58.626980000000003</v>
      </c>
      <c r="BS91" s="24">
        <v>176.88630000000001</v>
      </c>
      <c r="BT91" s="24">
        <v>57.921970000000002</v>
      </c>
      <c r="BU91" s="24">
        <v>52.674869999999999</v>
      </c>
      <c r="BV91" s="24">
        <v>52.262599999999999</v>
      </c>
      <c r="BW91" s="24">
        <v>9.1276999999999997E-2</v>
      </c>
      <c r="BX91" s="24">
        <v>9.2129000000000003E-2</v>
      </c>
      <c r="BY91" s="24">
        <v>48.085729999999998</v>
      </c>
      <c r="BZ91" s="24">
        <v>18.995360000000002</v>
      </c>
      <c r="CA91" s="24">
        <v>0</v>
      </c>
      <c r="CB91" s="24">
        <v>0.93122799999999994</v>
      </c>
      <c r="CC91" s="24">
        <v>604.00099999999998</v>
      </c>
      <c r="CD91" s="24">
        <v>619.25670000000002</v>
      </c>
      <c r="CE91" s="24">
        <v>55.083539999999999</v>
      </c>
      <c r="CF91" s="24">
        <v>453.47</v>
      </c>
      <c r="CG91" s="24">
        <v>80.540000000000006</v>
      </c>
      <c r="CH91" s="24">
        <v>95.28</v>
      </c>
      <c r="CI91" s="24">
        <v>392.16</v>
      </c>
      <c r="CJ91" s="24">
        <v>402.52</v>
      </c>
      <c r="CK91" s="24">
        <v>415.41</v>
      </c>
      <c r="CL91" s="24">
        <v>458.24</v>
      </c>
      <c r="CM91" s="24">
        <v>448.73</v>
      </c>
      <c r="CN91" s="24">
        <v>451.91</v>
      </c>
      <c r="CO91" s="24">
        <v>378.24</v>
      </c>
      <c r="CP91" s="24">
        <v>27.13</v>
      </c>
      <c r="CQ91" s="24">
        <v>338.2</v>
      </c>
      <c r="CR91" s="24">
        <v>339.05</v>
      </c>
      <c r="CS91" s="24">
        <v>6.1</v>
      </c>
      <c r="CT91" s="24">
        <v>6.1</v>
      </c>
      <c r="EC91"/>
    </row>
    <row r="92" spans="1:133" x14ac:dyDescent="0.25">
      <c r="A92" s="72"/>
      <c r="B92" s="24">
        <v>24</v>
      </c>
      <c r="C92" s="25">
        <v>3.5503472222222221E-2</v>
      </c>
      <c r="D92" s="24">
        <v>11</v>
      </c>
      <c r="E92" s="24">
        <v>23</v>
      </c>
      <c r="F92" s="24">
        <v>339</v>
      </c>
      <c r="G92" s="24">
        <v>339</v>
      </c>
      <c r="H92" s="24">
        <v>339</v>
      </c>
      <c r="I92" s="24">
        <v>100</v>
      </c>
      <c r="J92" s="24">
        <v>100</v>
      </c>
      <c r="K92" s="24">
        <v>1890</v>
      </c>
      <c r="L92" s="24">
        <v>29</v>
      </c>
      <c r="M92" s="24">
        <v>29</v>
      </c>
      <c r="N92" s="24">
        <v>0.21</v>
      </c>
      <c r="O92" s="24">
        <v>0.21005399999999999</v>
      </c>
      <c r="P92" s="24">
        <v>1</v>
      </c>
      <c r="Q92" s="24">
        <v>1.069388</v>
      </c>
      <c r="R92" s="24">
        <v>-4.62</v>
      </c>
      <c r="S92" s="24">
        <v>-4.6252440000000004</v>
      </c>
      <c r="T92" s="24">
        <v>141.22999999999999</v>
      </c>
      <c r="U92" s="24">
        <v>141.23439999999999</v>
      </c>
      <c r="V92" s="24">
        <v>3.5</v>
      </c>
      <c r="W92" s="24">
        <v>3.5</v>
      </c>
      <c r="X92" s="24">
        <v>300</v>
      </c>
      <c r="Y92" s="24">
        <v>300</v>
      </c>
      <c r="Z92" s="24">
        <v>3.5</v>
      </c>
      <c r="AA92" s="24">
        <v>3.5</v>
      </c>
      <c r="AB92" s="24">
        <v>300</v>
      </c>
      <c r="AC92" s="24">
        <v>300</v>
      </c>
      <c r="AD92" s="24">
        <v>0</v>
      </c>
      <c r="AE92" s="24">
        <v>105.2072</v>
      </c>
      <c r="AF92" s="24">
        <v>0</v>
      </c>
      <c r="AG92" s="24">
        <v>105.2072</v>
      </c>
      <c r="AH92" s="24">
        <v>37</v>
      </c>
      <c r="AI92" s="24">
        <v>0.17</v>
      </c>
      <c r="AJ92" s="24">
        <v>60.64</v>
      </c>
      <c r="AK92" s="24">
        <v>86.08</v>
      </c>
      <c r="AL92" s="24">
        <v>80.56</v>
      </c>
      <c r="AM92" s="24">
        <v>81.849999999999994</v>
      </c>
      <c r="AN92" s="24">
        <v>467.93</v>
      </c>
      <c r="AO92" s="24">
        <v>157.1011</v>
      </c>
      <c r="AP92" s="24">
        <v>54.63</v>
      </c>
      <c r="AQ92" s="24">
        <v>84.76</v>
      </c>
      <c r="AR92" s="24">
        <v>68.510000000000005</v>
      </c>
      <c r="AS92" s="24">
        <v>489.28</v>
      </c>
      <c r="AT92" s="24">
        <v>25.93</v>
      </c>
      <c r="AU92" s="24">
        <v>57.51</v>
      </c>
      <c r="AV92" s="24">
        <v>104.15</v>
      </c>
      <c r="AW92" s="24">
        <v>111.74</v>
      </c>
      <c r="AX92" s="24">
        <v>0.33500000000000002</v>
      </c>
      <c r="AY92" s="24">
        <v>4.87</v>
      </c>
      <c r="AZ92" s="60">
        <v>10000000000</v>
      </c>
      <c r="BA92" s="24">
        <v>237.36</v>
      </c>
      <c r="BB92" s="24">
        <v>93.26</v>
      </c>
      <c r="BC92" s="24">
        <v>7.22</v>
      </c>
      <c r="BD92" s="24">
        <v>1.1499999999999999</v>
      </c>
      <c r="BE92" s="24">
        <v>10.68</v>
      </c>
      <c r="BF92" s="24">
        <v>2.25</v>
      </c>
      <c r="BG92" s="24">
        <v>231.64</v>
      </c>
      <c r="BH92" s="24">
        <v>15.96</v>
      </c>
      <c r="BI92" s="24">
        <v>10000000000</v>
      </c>
      <c r="BJ92" s="24">
        <v>247.3</v>
      </c>
      <c r="BK92" s="24">
        <v>29.5</v>
      </c>
      <c r="BL92" s="24">
        <v>85.9</v>
      </c>
      <c r="BM92" s="24">
        <v>92.99</v>
      </c>
      <c r="BN92" s="24">
        <v>1.71</v>
      </c>
      <c r="BO92" s="24">
        <v>30.04</v>
      </c>
      <c r="BP92" s="24">
        <v>35.659999999999997</v>
      </c>
      <c r="BQ92" s="24">
        <v>506.19</v>
      </c>
      <c r="BR92" s="24">
        <v>58.55292</v>
      </c>
      <c r="BS92" s="24">
        <v>179.4195</v>
      </c>
      <c r="BT92" s="24">
        <v>58.141719999999999</v>
      </c>
      <c r="BU92" s="24">
        <v>53.845579999999998</v>
      </c>
      <c r="BV92" s="24">
        <v>53.127969999999998</v>
      </c>
      <c r="BW92" s="24">
        <v>9.1171000000000002E-2</v>
      </c>
      <c r="BX92" s="24">
        <v>8.8039000000000006E-2</v>
      </c>
      <c r="BY92" s="24">
        <v>47.5976</v>
      </c>
      <c r="BZ92" s="24">
        <v>18.995360000000002</v>
      </c>
      <c r="CA92" s="24">
        <v>0</v>
      </c>
      <c r="CB92" s="24">
        <v>0.93132300000000001</v>
      </c>
      <c r="CC92" s="24">
        <v>608.4873</v>
      </c>
      <c r="CD92" s="24">
        <v>623.61379999999997</v>
      </c>
      <c r="CE92" s="24">
        <v>54.595419999999997</v>
      </c>
      <c r="CF92" s="24">
        <v>452.26</v>
      </c>
      <c r="CG92" s="24">
        <v>82.61</v>
      </c>
      <c r="CH92" s="24">
        <v>95.92</v>
      </c>
      <c r="CI92" s="24">
        <v>390.08</v>
      </c>
      <c r="CJ92" s="24">
        <v>401.58</v>
      </c>
      <c r="CK92" s="24">
        <v>411.06</v>
      </c>
      <c r="CL92" s="24">
        <v>451.63</v>
      </c>
      <c r="CM92" s="24">
        <v>443.46</v>
      </c>
      <c r="CN92" s="24">
        <v>450.19</v>
      </c>
      <c r="CO92" s="24">
        <v>377.19</v>
      </c>
      <c r="CP92" s="24">
        <v>26.42</v>
      </c>
      <c r="CQ92" s="24">
        <v>337</v>
      </c>
      <c r="CR92" s="24">
        <v>339.05</v>
      </c>
      <c r="CS92" s="24">
        <v>6</v>
      </c>
      <c r="CT92" s="24">
        <v>6.1</v>
      </c>
      <c r="EC92"/>
    </row>
    <row r="93" spans="1:133" x14ac:dyDescent="0.25">
      <c r="A93" s="72"/>
      <c r="B93" s="13">
        <v>25</v>
      </c>
      <c r="C93" s="14">
        <v>1.6689814814814814E-3</v>
      </c>
      <c r="D93" s="13">
        <v>11</v>
      </c>
      <c r="E93" s="13">
        <v>23</v>
      </c>
      <c r="F93" s="13">
        <v>339</v>
      </c>
      <c r="G93" s="13">
        <v>339</v>
      </c>
      <c r="H93" s="13">
        <v>339.1</v>
      </c>
      <c r="I93" s="13">
        <v>100</v>
      </c>
      <c r="J93" s="13">
        <v>100</v>
      </c>
      <c r="K93" s="13">
        <v>1890</v>
      </c>
      <c r="L93" s="13">
        <v>29</v>
      </c>
      <c r="M93" s="13">
        <v>29</v>
      </c>
      <c r="N93" s="13">
        <v>0.21</v>
      </c>
      <c r="O93" s="13">
        <v>0.21007700000000001</v>
      </c>
      <c r="P93" s="13">
        <v>1</v>
      </c>
      <c r="Q93" s="13">
        <v>1.0694699999999999</v>
      </c>
      <c r="R93" s="13">
        <v>-4.62</v>
      </c>
      <c r="S93" s="13">
        <v>-4.6252440000000004</v>
      </c>
      <c r="T93" s="13">
        <v>141.22999999999999</v>
      </c>
      <c r="U93" s="13">
        <v>141.23439999999999</v>
      </c>
      <c r="V93" s="13">
        <v>3.5</v>
      </c>
      <c r="W93" s="13">
        <v>3.5</v>
      </c>
      <c r="X93" s="13">
        <v>300</v>
      </c>
      <c r="Y93" s="13">
        <v>300</v>
      </c>
      <c r="Z93" s="13">
        <v>3.5</v>
      </c>
      <c r="AA93" s="13">
        <v>3.5</v>
      </c>
      <c r="AB93" s="13">
        <v>300</v>
      </c>
      <c r="AC93" s="13">
        <v>300</v>
      </c>
      <c r="AD93" s="13">
        <v>0</v>
      </c>
      <c r="AE93" s="13">
        <v>105.8044</v>
      </c>
      <c r="AF93" s="13">
        <v>0</v>
      </c>
      <c r="AG93" s="13">
        <v>105.80410000000001</v>
      </c>
      <c r="AH93" s="13">
        <v>37</v>
      </c>
      <c r="AI93" s="13">
        <v>0.17</v>
      </c>
      <c r="AJ93" s="13">
        <v>60.41</v>
      </c>
      <c r="AK93" s="13">
        <v>86.16</v>
      </c>
      <c r="AL93" s="13">
        <v>80.239999999999995</v>
      </c>
      <c r="AM93" s="13">
        <v>81.45</v>
      </c>
      <c r="AN93" s="13">
        <v>465.28</v>
      </c>
      <c r="AO93" s="13">
        <v>156.48929999999999</v>
      </c>
      <c r="AP93" s="13">
        <v>53.8</v>
      </c>
      <c r="AQ93" s="13">
        <v>85.88</v>
      </c>
      <c r="AR93" s="13">
        <v>67.62</v>
      </c>
      <c r="AS93" s="13">
        <v>493.78</v>
      </c>
      <c r="AT93" s="13">
        <v>26.44</v>
      </c>
      <c r="AU93" s="13">
        <v>54.06</v>
      </c>
      <c r="AV93" s="13">
        <v>104.28</v>
      </c>
      <c r="AW93" s="13">
        <v>117.15</v>
      </c>
      <c r="AX93" s="13">
        <v>0.34599999999999997</v>
      </c>
      <c r="AY93" s="13">
        <v>5.05</v>
      </c>
      <c r="AZ93" s="38">
        <v>10000000000</v>
      </c>
      <c r="BA93" s="13">
        <v>236.47</v>
      </c>
      <c r="BB93" s="13">
        <v>91.66</v>
      </c>
      <c r="BC93" s="13">
        <v>7.16</v>
      </c>
      <c r="BD93" s="13">
        <v>1.1499999999999999</v>
      </c>
      <c r="BE93" s="13">
        <v>10.74</v>
      </c>
      <c r="BF93" s="13">
        <v>2.23</v>
      </c>
      <c r="BG93" s="13">
        <v>227.1</v>
      </c>
      <c r="BH93" s="13">
        <v>16.05</v>
      </c>
      <c r="BI93" s="13">
        <v>10000000000</v>
      </c>
      <c r="BJ93" s="13">
        <v>246.3</v>
      </c>
      <c r="BK93" s="13">
        <v>29.9</v>
      </c>
      <c r="BL93" s="13">
        <v>86.3</v>
      </c>
      <c r="BM93" s="13">
        <v>94.4</v>
      </c>
      <c r="BN93" s="13">
        <v>1.71</v>
      </c>
      <c r="BO93" s="13">
        <v>30.03</v>
      </c>
      <c r="BP93" s="13">
        <v>35.58</v>
      </c>
      <c r="BQ93" s="13">
        <v>510.12</v>
      </c>
      <c r="BR93" s="13">
        <v>55.353749999999998</v>
      </c>
      <c r="BS93" s="13">
        <v>178.73410000000001</v>
      </c>
      <c r="BT93" s="13">
        <v>58.253630000000001</v>
      </c>
      <c r="BU93" s="13">
        <v>54.486579999999996</v>
      </c>
      <c r="BV93" s="13">
        <v>53.681220000000003</v>
      </c>
      <c r="BW93" s="13">
        <v>9.1169E-2</v>
      </c>
      <c r="BX93" s="13">
        <v>8.6923E-2</v>
      </c>
      <c r="BY93" s="13">
        <v>47.351819999999996</v>
      </c>
      <c r="BZ93" s="13">
        <v>18.995360000000002</v>
      </c>
      <c r="CA93" s="13">
        <v>0</v>
      </c>
      <c r="CB93" s="13">
        <v>0.93137099999999995</v>
      </c>
      <c r="CC93" s="13">
        <v>612.03250000000003</v>
      </c>
      <c r="CD93" s="13">
        <v>627.09289999999999</v>
      </c>
      <c r="CE93" s="13">
        <v>54.349060000000001</v>
      </c>
      <c r="CF93" s="13">
        <v>446.66</v>
      </c>
      <c r="CG93" s="13">
        <v>80.34</v>
      </c>
      <c r="CH93" s="13">
        <v>95.32</v>
      </c>
      <c r="CI93" s="13">
        <v>387.32</v>
      </c>
      <c r="CJ93" s="13">
        <v>397.85</v>
      </c>
      <c r="CK93" s="13">
        <v>409.66</v>
      </c>
      <c r="CL93" s="13">
        <v>448.81</v>
      </c>
      <c r="CM93" s="13">
        <v>440.45</v>
      </c>
      <c r="CN93" s="13">
        <v>445.31</v>
      </c>
      <c r="CO93" s="13">
        <v>372.07</v>
      </c>
      <c r="CP93" s="13">
        <v>26.81</v>
      </c>
      <c r="CQ93" s="13">
        <v>337.4</v>
      </c>
      <c r="CR93" s="13">
        <v>339.05</v>
      </c>
      <c r="CS93" s="13">
        <v>6</v>
      </c>
      <c r="CT93" s="13">
        <v>6.1</v>
      </c>
      <c r="EC93"/>
    </row>
    <row r="94" spans="1:133" x14ac:dyDescent="0.25">
      <c r="A94" s="72"/>
      <c r="B94" s="13">
        <v>27</v>
      </c>
      <c r="C94" s="14">
        <v>1.5109953703703704E-2</v>
      </c>
      <c r="D94" s="13">
        <v>11</v>
      </c>
      <c r="E94" s="13">
        <v>26</v>
      </c>
      <c r="F94" s="13">
        <v>339</v>
      </c>
      <c r="G94" s="13">
        <v>339</v>
      </c>
      <c r="H94" s="13">
        <v>339.1</v>
      </c>
      <c r="I94" s="13">
        <v>100</v>
      </c>
      <c r="J94" s="13">
        <v>100</v>
      </c>
      <c r="K94" s="13">
        <v>1890</v>
      </c>
      <c r="L94" s="13">
        <v>29</v>
      </c>
      <c r="M94" s="13">
        <v>29</v>
      </c>
      <c r="N94" s="13">
        <v>0.21</v>
      </c>
      <c r="O94" s="13">
        <v>0.21002000000000001</v>
      </c>
      <c r="P94" s="13">
        <v>1</v>
      </c>
      <c r="Q94" s="13">
        <v>1.0693980000000001</v>
      </c>
      <c r="R94" s="13">
        <v>-4.62</v>
      </c>
      <c r="S94" s="13">
        <v>-4.6252440000000004</v>
      </c>
      <c r="T94" s="13">
        <v>141.22999999999999</v>
      </c>
      <c r="U94" s="13">
        <v>141.23439999999999</v>
      </c>
      <c r="V94" s="13">
        <v>3.5</v>
      </c>
      <c r="W94" s="13">
        <v>3.5</v>
      </c>
      <c r="X94" s="13">
        <v>300</v>
      </c>
      <c r="Y94" s="13">
        <v>300</v>
      </c>
      <c r="Z94" s="13">
        <v>3.5</v>
      </c>
      <c r="AA94" s="13">
        <v>3.5</v>
      </c>
      <c r="AB94" s="13">
        <v>300</v>
      </c>
      <c r="AC94" s="13">
        <v>300</v>
      </c>
      <c r="AD94" s="13">
        <v>0</v>
      </c>
      <c r="AE94" s="13">
        <v>105.3656</v>
      </c>
      <c r="AF94" s="13">
        <v>0</v>
      </c>
      <c r="AG94" s="13">
        <v>105.3656</v>
      </c>
      <c r="AH94" s="13">
        <v>37</v>
      </c>
      <c r="AI94" s="13">
        <v>0.17</v>
      </c>
      <c r="AJ94" s="13">
        <v>60.72</v>
      </c>
      <c r="AK94" s="13">
        <v>86.27</v>
      </c>
      <c r="AL94" s="13">
        <v>80.680000000000007</v>
      </c>
      <c r="AM94" s="13">
        <v>81.99</v>
      </c>
      <c r="AN94" s="13">
        <v>468.75</v>
      </c>
      <c r="AO94" s="13">
        <v>157.4008</v>
      </c>
      <c r="AP94" s="13">
        <v>54.83</v>
      </c>
      <c r="AQ94" s="13">
        <v>85.53</v>
      </c>
      <c r="AR94" s="13">
        <v>68.709999999999994</v>
      </c>
      <c r="AS94" s="13">
        <v>490.59</v>
      </c>
      <c r="AT94" s="13">
        <v>25.86</v>
      </c>
      <c r="AU94" s="13">
        <v>57.62</v>
      </c>
      <c r="AV94" s="13">
        <v>104.23</v>
      </c>
      <c r="AW94" s="13">
        <v>114.51</v>
      </c>
      <c r="AX94" s="13">
        <v>0.35499999999999998</v>
      </c>
      <c r="AY94" s="13">
        <v>5.21</v>
      </c>
      <c r="AZ94" s="38">
        <v>10000000000</v>
      </c>
      <c r="BA94" s="13">
        <v>230.98</v>
      </c>
      <c r="BB94" s="13">
        <v>89.87</v>
      </c>
      <c r="BC94" s="13">
        <v>7.19</v>
      </c>
      <c r="BD94" s="13">
        <v>1.1499999999999999</v>
      </c>
      <c r="BE94" s="13">
        <v>10.69</v>
      </c>
      <c r="BF94" s="13">
        <v>2.27</v>
      </c>
      <c r="BG94" s="13">
        <v>232.93</v>
      </c>
      <c r="BH94" s="13">
        <v>15.92</v>
      </c>
      <c r="BI94" s="13">
        <v>10000000000</v>
      </c>
      <c r="BJ94" s="13">
        <v>247</v>
      </c>
      <c r="BK94" s="13">
        <v>29.6</v>
      </c>
      <c r="BL94" s="13">
        <v>86</v>
      </c>
      <c r="BM94" s="13">
        <v>92.93</v>
      </c>
      <c r="BN94" s="13">
        <v>1.71</v>
      </c>
      <c r="BO94" s="13">
        <v>30.03</v>
      </c>
      <c r="BP94" s="13">
        <v>35.630000000000003</v>
      </c>
      <c r="BQ94" s="13">
        <v>507.36</v>
      </c>
      <c r="BR94" s="13">
        <v>58.64479</v>
      </c>
      <c r="BS94" s="13">
        <v>179.8785</v>
      </c>
      <c r="BT94" s="13">
        <v>58.118070000000003</v>
      </c>
      <c r="BU94" s="13">
        <v>53.913910000000001</v>
      </c>
      <c r="BV94" s="13">
        <v>53.162649999999999</v>
      </c>
      <c r="BW94" s="13">
        <v>9.1174000000000005E-2</v>
      </c>
      <c r="BX94" s="13">
        <v>8.7623000000000006E-2</v>
      </c>
      <c r="BY94" s="13">
        <v>47.651769999999999</v>
      </c>
      <c r="BZ94" s="13">
        <v>18.995360000000002</v>
      </c>
      <c r="CA94" s="13">
        <v>0</v>
      </c>
      <c r="CB94" s="13">
        <v>0.93131299999999995</v>
      </c>
      <c r="CC94" s="13">
        <v>609.46230000000003</v>
      </c>
      <c r="CD94" s="13">
        <v>624.60440000000006</v>
      </c>
      <c r="CE94" s="13">
        <v>54.64958</v>
      </c>
      <c r="CF94" s="13">
        <v>452.03</v>
      </c>
      <c r="CG94" s="13">
        <v>83.16</v>
      </c>
      <c r="CH94" s="13">
        <v>96.3</v>
      </c>
      <c r="CI94" s="13">
        <v>389.92</v>
      </c>
      <c r="CJ94" s="13">
        <v>401.65</v>
      </c>
      <c r="CK94" s="13">
        <v>411.06</v>
      </c>
      <c r="CL94" s="13">
        <v>452.86</v>
      </c>
      <c r="CM94" s="13">
        <v>443.67</v>
      </c>
      <c r="CN94" s="13">
        <v>450.11</v>
      </c>
      <c r="CO94" s="13">
        <v>376.79</v>
      </c>
      <c r="CP94" s="13">
        <v>26.69</v>
      </c>
      <c r="CQ94" s="13">
        <v>337.1</v>
      </c>
      <c r="CR94" s="13">
        <v>339.05</v>
      </c>
      <c r="CS94" s="13">
        <v>6</v>
      </c>
      <c r="CT94" s="13">
        <v>6.1</v>
      </c>
      <c r="EC94"/>
    </row>
    <row r="95" spans="1:133" x14ac:dyDescent="0.25">
      <c r="A95" s="72"/>
      <c r="B95" s="27">
        <v>37</v>
      </c>
      <c r="C95" s="28">
        <v>3.7800925925925925E-2</v>
      </c>
      <c r="D95" s="27">
        <v>11</v>
      </c>
      <c r="E95" s="27">
        <v>34</v>
      </c>
      <c r="F95" s="27">
        <v>339</v>
      </c>
      <c r="G95" s="27">
        <v>339</v>
      </c>
      <c r="H95" s="27">
        <v>339.1</v>
      </c>
      <c r="I95" s="27">
        <v>100</v>
      </c>
      <c r="J95" s="27">
        <v>100</v>
      </c>
      <c r="K95" s="27">
        <v>1890</v>
      </c>
      <c r="L95" s="27">
        <v>29</v>
      </c>
      <c r="M95" s="27">
        <v>29</v>
      </c>
      <c r="N95" s="27">
        <v>0.21</v>
      </c>
      <c r="O95" s="27">
        <v>0.21007000000000001</v>
      </c>
      <c r="P95" s="27">
        <v>1</v>
      </c>
      <c r="Q95" s="27">
        <v>1.0694630000000001</v>
      </c>
      <c r="R95" s="27">
        <v>-4.62</v>
      </c>
      <c r="S95" s="27">
        <v>-4.6252440000000004</v>
      </c>
      <c r="T95" s="27">
        <v>141.22999999999999</v>
      </c>
      <c r="U95" s="27">
        <v>141.23439999999999</v>
      </c>
      <c r="V95" s="27">
        <v>3.5</v>
      </c>
      <c r="W95" s="27">
        <v>3.5</v>
      </c>
      <c r="X95" s="27">
        <v>300</v>
      </c>
      <c r="Y95" s="27">
        <v>300</v>
      </c>
      <c r="Z95" s="27">
        <v>3.5</v>
      </c>
      <c r="AA95" s="27">
        <v>3.5</v>
      </c>
      <c r="AB95" s="27">
        <v>300</v>
      </c>
      <c r="AC95" s="27">
        <v>300</v>
      </c>
      <c r="AD95" s="27">
        <v>0</v>
      </c>
      <c r="AE95" s="27">
        <v>106.084</v>
      </c>
      <c r="AF95" s="27">
        <v>0</v>
      </c>
      <c r="AG95" s="27">
        <v>106.084</v>
      </c>
      <c r="AH95" s="27">
        <v>37</v>
      </c>
      <c r="AI95" s="27">
        <v>0.17</v>
      </c>
      <c r="AJ95" s="27">
        <v>60.36</v>
      </c>
      <c r="AK95" s="27">
        <v>85.94</v>
      </c>
      <c r="AL95" s="27">
        <v>79.930000000000007</v>
      </c>
      <c r="AM95" s="27">
        <v>81.010000000000005</v>
      </c>
      <c r="AN95" s="27">
        <v>465.06</v>
      </c>
      <c r="AO95" s="27">
        <v>156.1651</v>
      </c>
      <c r="AP95" s="27">
        <v>53.46</v>
      </c>
      <c r="AQ95" s="27">
        <v>85.4</v>
      </c>
      <c r="AR95" s="27">
        <v>67.17</v>
      </c>
      <c r="AS95" s="27">
        <v>492.76</v>
      </c>
      <c r="AT95" s="27">
        <v>26.47</v>
      </c>
      <c r="AU95" s="27">
        <v>52.47</v>
      </c>
      <c r="AV95" s="27">
        <v>104.45</v>
      </c>
      <c r="AW95" s="27">
        <v>115.73</v>
      </c>
      <c r="AX95" s="27">
        <v>0.318</v>
      </c>
      <c r="AY95" s="27">
        <v>4.5999999999999996</v>
      </c>
      <c r="AZ95" s="69">
        <v>10000000000</v>
      </c>
      <c r="BA95" s="27">
        <v>235.62</v>
      </c>
      <c r="BB95" s="27">
        <v>91.29</v>
      </c>
      <c r="BC95" s="27">
        <v>7.21</v>
      </c>
      <c r="BD95" s="27">
        <v>1.1599999999999999</v>
      </c>
      <c r="BE95" s="27">
        <v>10.7</v>
      </c>
      <c r="BF95" s="27">
        <v>2.23</v>
      </c>
      <c r="BG95" s="27">
        <v>227.39</v>
      </c>
      <c r="BH95" s="27">
        <v>16.13</v>
      </c>
      <c r="BI95" s="27">
        <v>10000000000</v>
      </c>
      <c r="BJ95" s="27">
        <v>246.1</v>
      </c>
      <c r="BK95" s="27">
        <v>29.8</v>
      </c>
      <c r="BL95" s="27">
        <v>86</v>
      </c>
      <c r="BM95" s="27">
        <v>94.81</v>
      </c>
      <c r="BN95" s="27">
        <v>1.72</v>
      </c>
      <c r="BO95" s="27">
        <v>30.04</v>
      </c>
      <c r="BP95" s="27">
        <v>35.58</v>
      </c>
      <c r="BQ95" s="27">
        <v>509.41</v>
      </c>
      <c r="BR95" s="27">
        <v>53.795679999999997</v>
      </c>
      <c r="BS95" s="27">
        <v>178.70760000000001</v>
      </c>
      <c r="BT95" s="27">
        <v>58.18168</v>
      </c>
      <c r="BU95" s="27">
        <v>54.495939999999997</v>
      </c>
      <c r="BV95" s="27">
        <v>53.66948</v>
      </c>
      <c r="BW95" s="27">
        <v>9.1174000000000005E-2</v>
      </c>
      <c r="BX95" s="27">
        <v>8.6611999999999995E-2</v>
      </c>
      <c r="BY95" s="27">
        <v>47.51135</v>
      </c>
      <c r="BZ95" s="27">
        <v>18.995360000000002</v>
      </c>
      <c r="CA95" s="27">
        <v>0</v>
      </c>
      <c r="CB95" s="27">
        <v>0.93134099999999997</v>
      </c>
      <c r="CC95" s="27">
        <v>613.67909999999995</v>
      </c>
      <c r="CD95" s="27">
        <v>628.7808</v>
      </c>
      <c r="CE95" s="27">
        <v>54.509219999999999</v>
      </c>
      <c r="CF95" s="27">
        <v>445.52</v>
      </c>
      <c r="CG95" s="27">
        <v>79.27</v>
      </c>
      <c r="CH95" s="27">
        <v>95.04</v>
      </c>
      <c r="CI95" s="27">
        <v>387.57</v>
      </c>
      <c r="CJ95" s="27">
        <v>398.39</v>
      </c>
      <c r="CK95" s="27">
        <v>411.08</v>
      </c>
      <c r="CL95" s="27">
        <v>449.41</v>
      </c>
      <c r="CM95" s="27">
        <v>440.17</v>
      </c>
      <c r="CN95" s="27">
        <v>443.7</v>
      </c>
      <c r="CO95" s="27">
        <v>370.39</v>
      </c>
      <c r="CP95" s="27">
        <v>27.61</v>
      </c>
      <c r="CQ95" s="27">
        <v>337.4</v>
      </c>
      <c r="CR95" s="27">
        <v>339.05</v>
      </c>
      <c r="CS95" s="27">
        <v>6</v>
      </c>
      <c r="CT95" s="27">
        <v>6.1</v>
      </c>
      <c r="EC95"/>
    </row>
    <row r="96" spans="1:133" x14ac:dyDescent="0.25">
      <c r="A96" s="72"/>
      <c r="B96" s="27">
        <v>8</v>
      </c>
      <c r="C96" s="28">
        <v>41397.679998738429</v>
      </c>
      <c r="D96" s="27">
        <v>11</v>
      </c>
      <c r="E96" s="27">
        <v>45</v>
      </c>
      <c r="F96" s="27">
        <v>339</v>
      </c>
      <c r="G96" s="27">
        <v>339</v>
      </c>
      <c r="H96" s="27">
        <v>339.1</v>
      </c>
      <c r="I96" s="27">
        <v>100</v>
      </c>
      <c r="J96" s="27">
        <v>100</v>
      </c>
      <c r="K96" s="27">
        <v>1890</v>
      </c>
      <c r="L96" s="27">
        <v>29</v>
      </c>
      <c r="M96" s="27">
        <v>29</v>
      </c>
      <c r="N96" s="27">
        <v>0.21</v>
      </c>
      <c r="O96" s="27">
        <v>0.21007200000000001</v>
      </c>
      <c r="P96" s="27">
        <v>1</v>
      </c>
      <c r="Q96" s="27">
        <v>1.068932</v>
      </c>
      <c r="R96" s="27">
        <v>-4.62</v>
      </c>
      <c r="S96" s="27">
        <v>-4.6252440000000004</v>
      </c>
      <c r="T96" s="27">
        <v>141.22999999999999</v>
      </c>
      <c r="U96" s="27">
        <v>141.23439999999999</v>
      </c>
      <c r="V96" s="27">
        <v>3.5</v>
      </c>
      <c r="W96" s="27">
        <v>3.5</v>
      </c>
      <c r="X96" s="27">
        <v>300</v>
      </c>
      <c r="Y96" s="27">
        <v>300</v>
      </c>
      <c r="Z96" s="27">
        <v>3.5</v>
      </c>
      <c r="AA96" s="27">
        <v>3.5</v>
      </c>
      <c r="AB96" s="27">
        <v>300</v>
      </c>
      <c r="AC96" s="27">
        <v>300</v>
      </c>
      <c r="AD96" s="27">
        <v>0</v>
      </c>
      <c r="AE96" s="27">
        <v>105.4432</v>
      </c>
      <c r="AF96" s="27">
        <v>0</v>
      </c>
      <c r="AG96" s="27">
        <v>105.4432</v>
      </c>
      <c r="AH96" s="27">
        <v>37</v>
      </c>
      <c r="AI96" s="27">
        <v>0.17</v>
      </c>
      <c r="AJ96" s="27">
        <v>60.84</v>
      </c>
      <c r="AK96" s="27">
        <v>86.47</v>
      </c>
      <c r="AL96" s="27">
        <v>81.12</v>
      </c>
      <c r="AM96" s="27">
        <v>82.2</v>
      </c>
      <c r="AN96" s="27">
        <v>464.24</v>
      </c>
      <c r="AO96" s="27">
        <v>157.40260000000001</v>
      </c>
      <c r="AP96" s="27">
        <v>55.77</v>
      </c>
      <c r="AQ96" s="27">
        <v>85.48</v>
      </c>
      <c r="AR96" s="27">
        <v>68.400000000000006</v>
      </c>
      <c r="AS96" s="27">
        <v>491.47</v>
      </c>
      <c r="AT96" s="27">
        <v>25.34</v>
      </c>
      <c r="AU96" s="27">
        <v>57.39</v>
      </c>
      <c r="AV96" s="27">
        <v>102.51</v>
      </c>
      <c r="AW96" s="27">
        <v>120.37</v>
      </c>
      <c r="AX96" s="27">
        <v>0.33100000000000002</v>
      </c>
      <c r="AY96" s="27">
        <v>4.8</v>
      </c>
      <c r="AZ96" s="69">
        <v>10000000000</v>
      </c>
      <c r="BA96" s="27">
        <v>228.3</v>
      </c>
      <c r="BB96" s="27">
        <v>78.66</v>
      </c>
      <c r="BC96" s="27">
        <v>7.2</v>
      </c>
      <c r="BD96" s="27">
        <v>1.1299999999999999</v>
      </c>
      <c r="BE96" s="27">
        <v>10.66</v>
      </c>
      <c r="BF96" s="27">
        <v>2.2400000000000002</v>
      </c>
      <c r="BG96" s="27">
        <v>228.82</v>
      </c>
      <c r="BH96" s="27">
        <v>15.63</v>
      </c>
      <c r="BI96" s="27">
        <v>10000000000</v>
      </c>
      <c r="BJ96" s="27">
        <v>246.8</v>
      </c>
      <c r="BK96" s="27">
        <v>29.7</v>
      </c>
      <c r="BL96" s="27">
        <v>85.7</v>
      </c>
      <c r="BM96" s="27">
        <v>91.05</v>
      </c>
      <c r="BN96" s="27">
        <v>1.71</v>
      </c>
      <c r="BO96" s="27">
        <v>30.01</v>
      </c>
      <c r="BP96" s="27">
        <v>35.619999999999997</v>
      </c>
      <c r="BQ96" s="27">
        <v>507.88</v>
      </c>
      <c r="BR96" s="27">
        <v>58.399889999999999</v>
      </c>
      <c r="BS96" s="27">
        <v>181.5385</v>
      </c>
      <c r="BT96" s="27">
        <v>58.337670000000003</v>
      </c>
      <c r="BU96" s="27">
        <v>54.625889999999998</v>
      </c>
      <c r="BV96" s="27">
        <v>53.685130000000001</v>
      </c>
      <c r="BW96" s="27">
        <v>9.1173000000000004E-2</v>
      </c>
      <c r="BX96" s="27">
        <v>8.5107000000000002E-2</v>
      </c>
      <c r="BY96" s="27">
        <v>47.164630000000002</v>
      </c>
      <c r="BZ96" s="27">
        <v>18.995360000000002</v>
      </c>
      <c r="CA96" s="27">
        <v>0</v>
      </c>
      <c r="CB96" s="27">
        <v>0.93140599999999996</v>
      </c>
      <c r="CC96" s="27">
        <v>609.97789999999998</v>
      </c>
      <c r="CD96" s="27">
        <v>624.98249999999996</v>
      </c>
      <c r="CE96" s="27">
        <v>54.165889999999997</v>
      </c>
      <c r="CF96" s="27">
        <v>445.08</v>
      </c>
      <c r="CG96" s="27">
        <v>82.66</v>
      </c>
      <c r="CH96" s="27">
        <v>95.31</v>
      </c>
      <c r="CI96" s="27">
        <v>390.26</v>
      </c>
      <c r="CJ96" s="27">
        <v>398.73</v>
      </c>
      <c r="CK96" s="27">
        <v>411.78</v>
      </c>
      <c r="CL96" s="27">
        <v>447.9</v>
      </c>
      <c r="CM96" s="27">
        <v>436.58</v>
      </c>
      <c r="CN96" s="27">
        <v>444.22</v>
      </c>
      <c r="CO96" s="27">
        <v>372.91</v>
      </c>
      <c r="CP96" s="27">
        <v>25.79</v>
      </c>
      <c r="CQ96" s="27">
        <v>337.4</v>
      </c>
      <c r="CR96" s="27">
        <v>339.05</v>
      </c>
      <c r="CS96" s="27">
        <v>6</v>
      </c>
      <c r="CT96" s="27">
        <v>6.1</v>
      </c>
      <c r="EC96"/>
    </row>
    <row r="97" spans="1:133" s="1" customFormat="1" ht="60" x14ac:dyDescent="0.25">
      <c r="B97" s="1" t="s">
        <v>0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5</v>
      </c>
      <c r="H97" s="1" t="s">
        <v>6</v>
      </c>
      <c r="I97" s="1" t="s">
        <v>7</v>
      </c>
      <c r="J97" s="1" t="s">
        <v>8</v>
      </c>
      <c r="K97" s="1" t="s">
        <v>9</v>
      </c>
      <c r="L97" s="6" t="s">
        <v>10</v>
      </c>
      <c r="M97" s="6" t="s">
        <v>11</v>
      </c>
      <c r="N97" s="1" t="s">
        <v>12</v>
      </c>
      <c r="O97" s="1" t="s">
        <v>13</v>
      </c>
      <c r="P97" s="1" t="s">
        <v>14</v>
      </c>
      <c r="Q97" s="1" t="s">
        <v>15</v>
      </c>
      <c r="R97" s="1" t="s">
        <v>16</v>
      </c>
      <c r="S97" s="1" t="s">
        <v>17</v>
      </c>
      <c r="T97" s="1" t="s">
        <v>18</v>
      </c>
      <c r="U97" s="1" t="s">
        <v>19</v>
      </c>
      <c r="V97" s="1" t="s">
        <v>20</v>
      </c>
      <c r="W97" s="1" t="s">
        <v>21</v>
      </c>
      <c r="X97" s="1" t="s">
        <v>22</v>
      </c>
      <c r="Y97" s="1" t="s">
        <v>23</v>
      </c>
      <c r="Z97" s="1" t="s">
        <v>24</v>
      </c>
      <c r="AA97" s="1" t="s">
        <v>25</v>
      </c>
      <c r="AB97" s="1" t="s">
        <v>26</v>
      </c>
      <c r="AC97" s="1" t="s">
        <v>27</v>
      </c>
      <c r="AD97" s="1" t="s">
        <v>28</v>
      </c>
      <c r="AE97" s="1" t="s">
        <v>29</v>
      </c>
      <c r="AF97" s="1" t="s">
        <v>30</v>
      </c>
      <c r="AG97" s="1" t="s">
        <v>31</v>
      </c>
      <c r="AH97" s="1" t="s">
        <v>32</v>
      </c>
      <c r="AI97" s="1" t="s">
        <v>33</v>
      </c>
      <c r="AJ97" s="1" t="s">
        <v>34</v>
      </c>
      <c r="AK97" s="1" t="s">
        <v>35</v>
      </c>
      <c r="AL97" s="1" t="s">
        <v>36</v>
      </c>
      <c r="AM97" s="1" t="s">
        <v>37</v>
      </c>
      <c r="AN97" s="1" t="s">
        <v>38</v>
      </c>
      <c r="AO97" s="1" t="s">
        <v>39</v>
      </c>
      <c r="AP97" s="1" t="s">
        <v>40</v>
      </c>
      <c r="AQ97" s="1" t="s">
        <v>41</v>
      </c>
      <c r="AR97" s="1" t="s">
        <v>42</v>
      </c>
      <c r="AS97" s="1" t="s">
        <v>43</v>
      </c>
      <c r="AT97" s="1" t="s">
        <v>44</v>
      </c>
      <c r="AU97" s="1" t="s">
        <v>45</v>
      </c>
      <c r="AV97" s="1" t="s">
        <v>46</v>
      </c>
      <c r="AW97" s="1" t="s">
        <v>47</v>
      </c>
      <c r="AX97" s="6" t="s">
        <v>48</v>
      </c>
      <c r="AY97" s="6" t="s">
        <v>49</v>
      </c>
      <c r="AZ97" s="6" t="s">
        <v>50</v>
      </c>
      <c r="BA97" s="6" t="s">
        <v>51</v>
      </c>
      <c r="BB97" s="6" t="s">
        <v>52</v>
      </c>
      <c r="BC97" s="6" t="s">
        <v>53</v>
      </c>
      <c r="BD97" s="6" t="s">
        <v>54</v>
      </c>
      <c r="BE97" s="1" t="s">
        <v>108</v>
      </c>
      <c r="BF97" s="6" t="s">
        <v>55</v>
      </c>
      <c r="BG97" s="6" t="s">
        <v>56</v>
      </c>
      <c r="BH97" s="1" t="s">
        <v>57</v>
      </c>
      <c r="BI97" s="1" t="s">
        <v>58</v>
      </c>
      <c r="BJ97" s="1" t="s">
        <v>59</v>
      </c>
      <c r="BK97" s="1" t="s">
        <v>60</v>
      </c>
      <c r="BL97" s="1" t="s">
        <v>61</v>
      </c>
      <c r="BM97" s="1" t="s">
        <v>62</v>
      </c>
      <c r="BN97" s="1" t="s">
        <v>63</v>
      </c>
      <c r="BO97" s="1" t="s">
        <v>64</v>
      </c>
      <c r="BP97" s="1" t="s">
        <v>65</v>
      </c>
      <c r="BQ97" s="1" t="s">
        <v>66</v>
      </c>
      <c r="BR97" s="1" t="s">
        <v>67</v>
      </c>
      <c r="BS97" s="1" t="s">
        <v>68</v>
      </c>
      <c r="BT97" s="1" t="s">
        <v>69</v>
      </c>
      <c r="BU97" s="1" t="s">
        <v>70</v>
      </c>
      <c r="BV97" s="1" t="s">
        <v>71</v>
      </c>
      <c r="BW97" s="1" t="s">
        <v>72</v>
      </c>
      <c r="BX97" s="1" t="s">
        <v>73</v>
      </c>
      <c r="BY97" s="1" t="s">
        <v>74</v>
      </c>
      <c r="BZ97" s="1" t="s">
        <v>75</v>
      </c>
      <c r="CA97" s="1" t="s">
        <v>76</v>
      </c>
      <c r="CB97" s="1" t="s">
        <v>77</v>
      </c>
      <c r="CC97" s="1" t="s">
        <v>78</v>
      </c>
      <c r="CD97" s="1" t="s">
        <v>79</v>
      </c>
      <c r="CE97" s="1" t="s">
        <v>80</v>
      </c>
      <c r="CF97" s="1" t="s">
        <v>81</v>
      </c>
      <c r="CG97" s="1" t="s">
        <v>82</v>
      </c>
      <c r="CH97" s="1" t="s">
        <v>83</v>
      </c>
      <c r="CI97" s="1" t="s">
        <v>84</v>
      </c>
      <c r="CJ97" s="1" t="s">
        <v>85</v>
      </c>
      <c r="CK97" s="1" t="s">
        <v>86</v>
      </c>
      <c r="CL97" s="1" t="s">
        <v>87</v>
      </c>
      <c r="CM97" s="1" t="s">
        <v>88</v>
      </c>
      <c r="CN97" s="1" t="s">
        <v>89</v>
      </c>
      <c r="CO97" s="1" t="s">
        <v>90</v>
      </c>
      <c r="CP97" s="1" t="s">
        <v>91</v>
      </c>
      <c r="CQ97" s="1" t="s">
        <v>92</v>
      </c>
      <c r="CR97" s="1" t="s">
        <v>93</v>
      </c>
      <c r="CS97" s="1" t="s">
        <v>94</v>
      </c>
      <c r="CT97" s="1" t="s">
        <v>95</v>
      </c>
      <c r="CU97" s="6" t="s">
        <v>114</v>
      </c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</row>
    <row r="98" spans="1:133" x14ac:dyDescent="0.25">
      <c r="A98" s="72" t="s">
        <v>137</v>
      </c>
      <c r="B98" s="34">
        <v>1</v>
      </c>
      <c r="C98" s="35">
        <v>41414.53837253472</v>
      </c>
      <c r="D98" s="34">
        <v>1</v>
      </c>
      <c r="E98" s="34">
        <v>1</v>
      </c>
      <c r="F98" s="34">
        <v>243</v>
      </c>
      <c r="G98" s="34">
        <v>243</v>
      </c>
      <c r="H98" s="34">
        <v>243</v>
      </c>
      <c r="I98" s="34">
        <v>82.6</v>
      </c>
      <c r="J98" s="34">
        <v>82.6</v>
      </c>
      <c r="K98" s="34">
        <v>1701</v>
      </c>
      <c r="L98" s="34">
        <v>49</v>
      </c>
      <c r="M98" s="34">
        <v>49</v>
      </c>
      <c r="N98" s="34">
        <v>0.24</v>
      </c>
      <c r="O98" s="34">
        <v>0.23996799999999999</v>
      </c>
      <c r="P98" s="34">
        <v>1</v>
      </c>
      <c r="Q98" s="34">
        <v>1.069461</v>
      </c>
      <c r="R98" s="34">
        <v>-1.59</v>
      </c>
      <c r="S98" s="34">
        <v>-1.593018</v>
      </c>
      <c r="T98" s="34">
        <v>113.06</v>
      </c>
      <c r="U98" s="34">
        <v>113.0625</v>
      </c>
      <c r="V98" s="34">
        <v>3.5</v>
      </c>
      <c r="W98" s="34">
        <v>3.5</v>
      </c>
      <c r="X98" s="34">
        <v>300</v>
      </c>
      <c r="Y98" s="34">
        <v>300</v>
      </c>
      <c r="Z98" s="34">
        <v>3.5</v>
      </c>
      <c r="AA98" s="34">
        <v>3.5</v>
      </c>
      <c r="AB98" s="34">
        <v>300</v>
      </c>
      <c r="AC98" s="34">
        <v>300</v>
      </c>
      <c r="AD98" s="34">
        <v>0</v>
      </c>
      <c r="AE98" s="34">
        <v>96.789429999999996</v>
      </c>
      <c r="AF98" s="34">
        <v>0</v>
      </c>
      <c r="AG98" s="34">
        <v>96.789429999999996</v>
      </c>
      <c r="AH98" s="34">
        <v>49.64</v>
      </c>
      <c r="AI98" s="34">
        <v>0.22</v>
      </c>
      <c r="AJ98" s="34">
        <v>52.83</v>
      </c>
      <c r="AK98" s="34">
        <v>73.02</v>
      </c>
      <c r="AL98" s="34">
        <v>69.55</v>
      </c>
      <c r="AM98" s="34">
        <v>68.760000000000005</v>
      </c>
      <c r="AN98" s="34">
        <v>360.74</v>
      </c>
      <c r="AO98" s="34">
        <v>139.66079999999999</v>
      </c>
      <c r="AP98" s="34">
        <v>39.14</v>
      </c>
      <c r="AQ98" s="34">
        <v>71.540000000000006</v>
      </c>
      <c r="AR98" s="34">
        <v>47.55</v>
      </c>
      <c r="AS98" s="34">
        <v>371.45</v>
      </c>
      <c r="AT98" s="34">
        <v>30.41</v>
      </c>
      <c r="AU98" s="34">
        <v>49.61</v>
      </c>
      <c r="AV98" s="34">
        <v>99.62</v>
      </c>
      <c r="AW98" s="34">
        <v>119.48</v>
      </c>
      <c r="AX98" s="34">
        <v>0.67400000000000004</v>
      </c>
      <c r="AY98" s="34">
        <v>10.89</v>
      </c>
      <c r="AZ98" s="34">
        <v>10000000000</v>
      </c>
      <c r="BA98" s="58">
        <v>490.12</v>
      </c>
      <c r="BB98" s="34">
        <v>69.88</v>
      </c>
      <c r="BC98" s="34">
        <v>6.43</v>
      </c>
      <c r="BD98" s="34">
        <v>1.44</v>
      </c>
      <c r="BE98" s="34">
        <v>11.72</v>
      </c>
      <c r="BF98" s="34">
        <v>2.0699999999999998</v>
      </c>
      <c r="BG98" s="34">
        <v>177.49</v>
      </c>
      <c r="BH98" s="34">
        <v>22.36</v>
      </c>
      <c r="BI98" s="34">
        <v>10000000000</v>
      </c>
      <c r="BJ98" s="34">
        <v>251.1</v>
      </c>
      <c r="BK98" s="34">
        <v>34.200000000000003</v>
      </c>
      <c r="BL98" s="34">
        <v>84.9</v>
      </c>
      <c r="BM98" s="34">
        <v>106.93</v>
      </c>
      <c r="BN98" s="34">
        <v>1.57</v>
      </c>
      <c r="BO98" s="34">
        <v>30.27</v>
      </c>
      <c r="BP98" s="34">
        <v>34.770000000000003</v>
      </c>
      <c r="BQ98" s="34">
        <v>382.22</v>
      </c>
      <c r="BR98" s="34">
        <v>50.720570000000002</v>
      </c>
      <c r="BS98" s="34">
        <v>160.20939999999999</v>
      </c>
      <c r="BT98" s="34">
        <v>83.066469999999995</v>
      </c>
      <c r="BU98" s="34">
        <v>73.404449999999997</v>
      </c>
      <c r="BV98" s="34">
        <v>72.743700000000004</v>
      </c>
      <c r="BW98" s="34">
        <v>4.7475000000000003E-2</v>
      </c>
      <c r="BX98" s="34">
        <v>5.0005000000000001E-2</v>
      </c>
      <c r="BY98" s="34">
        <v>31.818280000000001</v>
      </c>
      <c r="BZ98" s="34">
        <v>18.995360000000002</v>
      </c>
      <c r="CA98" s="34">
        <v>0</v>
      </c>
      <c r="CB98" s="34">
        <v>0.93939300000000003</v>
      </c>
      <c r="CC98" s="34">
        <v>502.97669999999999</v>
      </c>
      <c r="CD98" s="34">
        <v>512.61940000000004</v>
      </c>
      <c r="CE98" s="34">
        <v>38.82255</v>
      </c>
      <c r="CF98" s="34">
        <v>351.25</v>
      </c>
      <c r="CG98" s="34">
        <v>75.08</v>
      </c>
      <c r="CH98" s="34">
        <v>90.42</v>
      </c>
      <c r="CI98" s="34">
        <v>337.46</v>
      </c>
      <c r="CJ98" s="34">
        <v>333.34</v>
      </c>
      <c r="CK98" s="34">
        <v>338.27</v>
      </c>
      <c r="CL98" s="34">
        <v>351.71</v>
      </c>
      <c r="CM98" s="34">
        <v>353.74</v>
      </c>
      <c r="CN98" s="34">
        <v>343.62</v>
      </c>
      <c r="CO98" s="34">
        <v>282.48</v>
      </c>
      <c r="CP98" s="34">
        <v>24.94</v>
      </c>
      <c r="CQ98" s="34">
        <v>242.8</v>
      </c>
      <c r="CR98" s="34">
        <v>243.05</v>
      </c>
      <c r="CS98" s="34">
        <v>4.4000000000000004</v>
      </c>
      <c r="CT98" s="34">
        <v>4.4000000000000004</v>
      </c>
      <c r="CU98" s="3"/>
      <c r="CV98" s="3"/>
      <c r="CW98" s="3"/>
    </row>
    <row r="99" spans="1:133" x14ac:dyDescent="0.25">
      <c r="A99" s="72"/>
      <c r="B99" s="34">
        <v>12</v>
      </c>
      <c r="C99" s="35">
        <v>41414.598000370373</v>
      </c>
      <c r="D99" s="34">
        <v>1</v>
      </c>
      <c r="E99" s="34">
        <v>12</v>
      </c>
      <c r="F99" s="34">
        <v>243</v>
      </c>
      <c r="G99" s="34">
        <v>243</v>
      </c>
      <c r="H99" s="34">
        <v>243.1</v>
      </c>
      <c r="I99" s="34">
        <v>82.6</v>
      </c>
      <c r="J99" s="34">
        <v>82.6</v>
      </c>
      <c r="K99" s="34">
        <v>1701</v>
      </c>
      <c r="L99" s="34">
        <v>49</v>
      </c>
      <c r="M99" s="34">
        <v>49</v>
      </c>
      <c r="N99" s="34">
        <v>0.24</v>
      </c>
      <c r="O99" s="34">
        <v>0.239953</v>
      </c>
      <c r="P99" s="34">
        <v>1</v>
      </c>
      <c r="Q99" s="34">
        <v>1.069442</v>
      </c>
      <c r="R99" s="34">
        <v>-1.59</v>
      </c>
      <c r="S99" s="34">
        <v>-1.593018</v>
      </c>
      <c r="T99" s="34">
        <v>113.06</v>
      </c>
      <c r="U99" s="34">
        <v>113.0625</v>
      </c>
      <c r="V99" s="34">
        <v>3.5</v>
      </c>
      <c r="W99" s="34">
        <v>3.5</v>
      </c>
      <c r="X99" s="34">
        <v>300</v>
      </c>
      <c r="Y99" s="34">
        <v>300</v>
      </c>
      <c r="Z99" s="34">
        <v>3.5</v>
      </c>
      <c r="AA99" s="34">
        <v>3.5</v>
      </c>
      <c r="AB99" s="34">
        <v>300</v>
      </c>
      <c r="AC99" s="34">
        <v>300</v>
      </c>
      <c r="AD99" s="34">
        <v>0</v>
      </c>
      <c r="AE99" s="34">
        <v>96.701040000000006</v>
      </c>
      <c r="AF99" s="34">
        <v>0</v>
      </c>
      <c r="AG99" s="34">
        <v>96.701040000000006</v>
      </c>
      <c r="AH99" s="34">
        <v>49.64</v>
      </c>
      <c r="AI99" s="34">
        <v>0.22</v>
      </c>
      <c r="AJ99" s="34">
        <v>53.38</v>
      </c>
      <c r="AK99" s="34">
        <v>73.45</v>
      </c>
      <c r="AL99" s="34">
        <v>70.459999999999994</v>
      </c>
      <c r="AM99" s="34">
        <v>70.099999999999994</v>
      </c>
      <c r="AN99" s="34">
        <v>364.15</v>
      </c>
      <c r="AO99" s="34">
        <v>140.53469999999999</v>
      </c>
      <c r="AP99" s="34">
        <v>40.07</v>
      </c>
      <c r="AQ99" s="34">
        <v>72.27</v>
      </c>
      <c r="AR99" s="34">
        <v>48.75</v>
      </c>
      <c r="AS99" s="34">
        <v>370.74</v>
      </c>
      <c r="AT99" s="34">
        <v>30.39</v>
      </c>
      <c r="AU99" s="34">
        <v>51.94</v>
      </c>
      <c r="AV99" s="34">
        <v>100.39</v>
      </c>
      <c r="AW99" s="34">
        <v>116.65</v>
      </c>
      <c r="AX99" s="34">
        <v>0.69599999999999995</v>
      </c>
      <c r="AY99" s="34">
        <v>11.3</v>
      </c>
      <c r="AZ99" s="34">
        <v>10000000000</v>
      </c>
      <c r="BA99" s="58">
        <v>492.28</v>
      </c>
      <c r="BB99" s="34">
        <v>85.53</v>
      </c>
      <c r="BC99" s="34">
        <v>6.39</v>
      </c>
      <c r="BD99" s="34">
        <v>1.42</v>
      </c>
      <c r="BE99" s="34">
        <v>11.76</v>
      </c>
      <c r="BF99" s="34">
        <v>2.04</v>
      </c>
      <c r="BG99" s="34">
        <v>174.6</v>
      </c>
      <c r="BH99" s="34">
        <v>22.31</v>
      </c>
      <c r="BI99" s="34">
        <v>10000000000</v>
      </c>
      <c r="BJ99" s="34">
        <v>251.1</v>
      </c>
      <c r="BK99" s="34">
        <v>34.1</v>
      </c>
      <c r="BL99" s="34">
        <v>84.8</v>
      </c>
      <c r="BM99" s="34">
        <v>106.45</v>
      </c>
      <c r="BN99" s="34">
        <v>1.57</v>
      </c>
      <c r="BO99" s="34">
        <v>30.27</v>
      </c>
      <c r="BP99" s="34">
        <v>34.78</v>
      </c>
      <c r="BQ99" s="34">
        <v>381.63</v>
      </c>
      <c r="BR99" s="34">
        <v>53.057029999999997</v>
      </c>
      <c r="BS99" s="34">
        <v>161.81880000000001</v>
      </c>
      <c r="BT99" s="34">
        <v>82.707949999999997</v>
      </c>
      <c r="BU99" s="34">
        <v>72.828199999999995</v>
      </c>
      <c r="BV99" s="34">
        <v>72.174530000000004</v>
      </c>
      <c r="BW99" s="34">
        <v>4.8087999999999999E-2</v>
      </c>
      <c r="BX99" s="34">
        <v>5.0682999999999999E-2</v>
      </c>
      <c r="BY99" s="34">
        <v>32.056719999999999</v>
      </c>
      <c r="BZ99" s="34">
        <v>18.995360000000002</v>
      </c>
      <c r="CA99" s="34">
        <v>0</v>
      </c>
      <c r="CB99" s="34">
        <v>0.93945800000000002</v>
      </c>
      <c r="CC99" s="34">
        <v>502.53059999999999</v>
      </c>
      <c r="CD99" s="34">
        <v>512.24149999999997</v>
      </c>
      <c r="CE99" s="34">
        <v>39.057920000000003</v>
      </c>
      <c r="CF99" s="34">
        <v>357.56</v>
      </c>
      <c r="CG99" s="34">
        <v>78.099999999999994</v>
      </c>
      <c r="CH99" s="34">
        <v>92.31</v>
      </c>
      <c r="CI99" s="34">
        <v>338.18</v>
      </c>
      <c r="CJ99" s="34">
        <v>332.16</v>
      </c>
      <c r="CK99" s="34">
        <v>339.77</v>
      </c>
      <c r="CL99" s="34">
        <v>351.17</v>
      </c>
      <c r="CM99" s="34">
        <v>353.59</v>
      </c>
      <c r="CN99" s="34">
        <v>350.52</v>
      </c>
      <c r="CO99" s="34">
        <v>289.37</v>
      </c>
      <c r="CP99" s="34">
        <v>26.73</v>
      </c>
      <c r="CQ99" s="34">
        <v>242.6</v>
      </c>
      <c r="CR99" s="34">
        <v>243.05</v>
      </c>
      <c r="CS99" s="34">
        <v>4.3</v>
      </c>
      <c r="CT99" s="34">
        <v>4.4000000000000004</v>
      </c>
      <c r="CU99" s="3"/>
      <c r="CV99" s="3"/>
      <c r="CW99" s="3"/>
    </row>
    <row r="100" spans="1:133" x14ac:dyDescent="0.25">
      <c r="A100" s="72"/>
      <c r="B100" s="13">
        <v>13</v>
      </c>
      <c r="C100" s="14">
        <v>41414.612339791667</v>
      </c>
      <c r="D100" s="13">
        <v>1</v>
      </c>
      <c r="E100" s="13">
        <v>12</v>
      </c>
      <c r="F100" s="13">
        <v>243</v>
      </c>
      <c r="G100" s="13">
        <v>243</v>
      </c>
      <c r="H100" s="13">
        <v>243.1</v>
      </c>
      <c r="I100" s="13">
        <v>82.6</v>
      </c>
      <c r="J100" s="13">
        <v>82.6</v>
      </c>
      <c r="K100" s="13">
        <v>1701</v>
      </c>
      <c r="L100" s="13">
        <v>49</v>
      </c>
      <c r="M100" s="13">
        <v>49</v>
      </c>
      <c r="N100" s="13">
        <v>0.24</v>
      </c>
      <c r="O100" s="13">
        <v>0.240013</v>
      </c>
      <c r="P100" s="13">
        <v>1</v>
      </c>
      <c r="Q100" s="13">
        <v>1.0694459999999999</v>
      </c>
      <c r="R100" s="13">
        <v>-1.59</v>
      </c>
      <c r="S100" s="13">
        <v>-1.593018</v>
      </c>
      <c r="T100" s="13">
        <v>113.06</v>
      </c>
      <c r="U100" s="13">
        <v>113.0625</v>
      </c>
      <c r="V100" s="13">
        <v>3.5</v>
      </c>
      <c r="W100" s="13">
        <v>3.5</v>
      </c>
      <c r="X100" s="13">
        <v>300</v>
      </c>
      <c r="Y100" s="13">
        <v>300</v>
      </c>
      <c r="Z100" s="13">
        <v>3.5</v>
      </c>
      <c r="AA100" s="13">
        <v>3.5</v>
      </c>
      <c r="AB100" s="13">
        <v>300</v>
      </c>
      <c r="AC100" s="13">
        <v>300</v>
      </c>
      <c r="AD100" s="13">
        <v>0</v>
      </c>
      <c r="AE100" s="13">
        <v>96.352130000000002</v>
      </c>
      <c r="AF100" s="13">
        <v>0</v>
      </c>
      <c r="AG100" s="13">
        <v>96.352130000000002</v>
      </c>
      <c r="AH100" s="13">
        <v>49.64</v>
      </c>
      <c r="AI100" s="13">
        <v>0.22</v>
      </c>
      <c r="AJ100" s="13">
        <v>53.04</v>
      </c>
      <c r="AK100" s="13">
        <v>73.16</v>
      </c>
      <c r="AL100" s="13">
        <v>70.02</v>
      </c>
      <c r="AM100" s="13">
        <v>69.599999999999994</v>
      </c>
      <c r="AN100" s="13">
        <v>365.62</v>
      </c>
      <c r="AO100" s="13">
        <v>139.5659</v>
      </c>
      <c r="AP100" s="13">
        <v>39.01</v>
      </c>
      <c r="AQ100" s="13">
        <v>73.53</v>
      </c>
      <c r="AR100" s="13">
        <v>47.57</v>
      </c>
      <c r="AS100" s="13">
        <v>369.97</v>
      </c>
      <c r="AT100" s="13">
        <v>31.01</v>
      </c>
      <c r="AU100" s="13">
        <v>50.91</v>
      </c>
      <c r="AV100" s="13">
        <v>100.62</v>
      </c>
      <c r="AW100" s="13">
        <v>111.42</v>
      </c>
      <c r="AX100" s="13">
        <v>0.73199999999999998</v>
      </c>
      <c r="AY100" s="13">
        <v>12.04</v>
      </c>
      <c r="AZ100" s="13">
        <v>10000000000</v>
      </c>
      <c r="BA100" s="38">
        <v>488</v>
      </c>
      <c r="BB100" s="13">
        <v>85.01</v>
      </c>
      <c r="BC100" s="13">
        <v>6.47</v>
      </c>
      <c r="BD100" s="13">
        <v>1.46</v>
      </c>
      <c r="BE100" s="13">
        <v>11.74</v>
      </c>
      <c r="BF100" s="13">
        <v>1.91</v>
      </c>
      <c r="BG100" s="13">
        <v>164.19</v>
      </c>
      <c r="BH100" s="13">
        <v>22.59</v>
      </c>
      <c r="BI100" s="13">
        <v>10000000000</v>
      </c>
      <c r="BJ100" s="13">
        <v>250.5</v>
      </c>
      <c r="BK100" s="13">
        <v>34.1</v>
      </c>
      <c r="BL100" s="13">
        <v>85.2</v>
      </c>
      <c r="BM100" s="13">
        <v>107.98</v>
      </c>
      <c r="BN100" s="13">
        <v>1.57</v>
      </c>
      <c r="BO100" s="13">
        <v>30.28</v>
      </c>
      <c r="BP100" s="13">
        <v>34.78</v>
      </c>
      <c r="BQ100" s="13">
        <v>380.76</v>
      </c>
      <c r="BR100" s="13">
        <v>52.01688</v>
      </c>
      <c r="BS100" s="13">
        <v>160.71090000000001</v>
      </c>
      <c r="BT100" s="13">
        <v>83.151859999999999</v>
      </c>
      <c r="BU100" s="13">
        <v>73.154570000000007</v>
      </c>
      <c r="BV100" s="13">
        <v>72.518180000000001</v>
      </c>
      <c r="BW100" s="13">
        <v>4.7331999999999999E-2</v>
      </c>
      <c r="BX100" s="13">
        <v>5.0021999999999997E-2</v>
      </c>
      <c r="BY100" s="13">
        <v>31.763069999999999</v>
      </c>
      <c r="BZ100" s="13">
        <v>18.995360000000002</v>
      </c>
      <c r="CA100" s="13">
        <v>0</v>
      </c>
      <c r="CB100" s="13">
        <v>0.93937800000000005</v>
      </c>
      <c r="CC100" s="13">
        <v>500.63209999999998</v>
      </c>
      <c r="CD100" s="13">
        <v>510.26330000000002</v>
      </c>
      <c r="CE100" s="13">
        <v>38.764429999999997</v>
      </c>
      <c r="CF100" s="13">
        <v>357.1</v>
      </c>
      <c r="CG100" s="13">
        <v>76.64</v>
      </c>
      <c r="CH100" s="13">
        <v>91.75</v>
      </c>
      <c r="CI100" s="13">
        <v>339.56</v>
      </c>
      <c r="CJ100" s="13">
        <v>333.67</v>
      </c>
      <c r="CK100" s="13">
        <v>340.03</v>
      </c>
      <c r="CL100" s="13">
        <v>359.38</v>
      </c>
      <c r="CM100" s="13">
        <v>354.02</v>
      </c>
      <c r="CN100" s="13">
        <v>351.02</v>
      </c>
      <c r="CO100" s="13">
        <v>286.45</v>
      </c>
      <c r="CP100" s="13">
        <v>26.23</v>
      </c>
      <c r="CQ100" s="13">
        <v>243.1</v>
      </c>
      <c r="CR100" s="13">
        <v>243.05</v>
      </c>
      <c r="CS100" s="13">
        <v>4.4000000000000004</v>
      </c>
      <c r="CT100" s="13">
        <v>4.4000000000000004</v>
      </c>
      <c r="CU100" s="3"/>
      <c r="CV100" s="3"/>
      <c r="CW100" s="3"/>
    </row>
    <row r="101" spans="1:133" x14ac:dyDescent="0.25">
      <c r="A101" s="72"/>
      <c r="B101" s="13">
        <v>24</v>
      </c>
      <c r="C101" s="14">
        <v>41414.672042731479</v>
      </c>
      <c r="D101" s="13">
        <v>1</v>
      </c>
      <c r="E101" s="13">
        <v>23</v>
      </c>
      <c r="F101" s="13">
        <v>243</v>
      </c>
      <c r="G101" s="13">
        <v>243</v>
      </c>
      <c r="H101" s="13">
        <v>243.1</v>
      </c>
      <c r="I101" s="13">
        <v>82.6</v>
      </c>
      <c r="J101" s="13">
        <v>82.6</v>
      </c>
      <c r="K101" s="13">
        <v>1701</v>
      </c>
      <c r="L101" s="13">
        <v>49</v>
      </c>
      <c r="M101" s="13">
        <v>49</v>
      </c>
      <c r="N101" s="13">
        <v>0.24</v>
      </c>
      <c r="O101" s="13">
        <v>0.240013</v>
      </c>
      <c r="P101" s="13">
        <v>1</v>
      </c>
      <c r="Q101" s="13">
        <v>1.069404</v>
      </c>
      <c r="R101" s="13">
        <v>-1.59</v>
      </c>
      <c r="S101" s="13">
        <v>-1.593018</v>
      </c>
      <c r="T101" s="13">
        <v>113.06</v>
      </c>
      <c r="U101" s="13">
        <v>113.0625</v>
      </c>
      <c r="V101" s="13">
        <v>3.5</v>
      </c>
      <c r="W101" s="13">
        <v>3.5</v>
      </c>
      <c r="X101" s="13">
        <v>300</v>
      </c>
      <c r="Y101" s="13">
        <v>300</v>
      </c>
      <c r="Z101" s="13">
        <v>3.5</v>
      </c>
      <c r="AA101" s="13">
        <v>3.5</v>
      </c>
      <c r="AB101" s="13">
        <v>300</v>
      </c>
      <c r="AC101" s="13">
        <v>300</v>
      </c>
      <c r="AD101" s="13">
        <v>0</v>
      </c>
      <c r="AE101" s="13">
        <v>96.093900000000005</v>
      </c>
      <c r="AF101" s="13">
        <v>0</v>
      </c>
      <c r="AG101" s="13">
        <v>96.09469</v>
      </c>
      <c r="AH101" s="13">
        <v>49.64</v>
      </c>
      <c r="AI101" s="13">
        <v>0.22</v>
      </c>
      <c r="AJ101" s="13">
        <v>53.38</v>
      </c>
      <c r="AK101" s="13">
        <v>73.14</v>
      </c>
      <c r="AL101" s="13">
        <v>69.739999999999995</v>
      </c>
      <c r="AM101" s="13">
        <v>69.27</v>
      </c>
      <c r="AN101" s="13">
        <v>363.93</v>
      </c>
      <c r="AO101" s="13">
        <v>140.37960000000001</v>
      </c>
      <c r="AP101" s="13">
        <v>40.17</v>
      </c>
      <c r="AQ101" s="13">
        <v>69.91</v>
      </c>
      <c r="AR101" s="13">
        <v>48.62</v>
      </c>
      <c r="AS101" s="13">
        <v>369.62</v>
      </c>
      <c r="AT101" s="13">
        <v>29.57</v>
      </c>
      <c r="AU101" s="13">
        <v>53.73</v>
      </c>
      <c r="AV101" s="13">
        <v>100.23</v>
      </c>
      <c r="AW101" s="13">
        <v>113.54</v>
      </c>
      <c r="AX101" s="13">
        <v>0.62</v>
      </c>
      <c r="AY101" s="13">
        <v>9.84</v>
      </c>
      <c r="AZ101" s="13">
        <v>10000000000</v>
      </c>
      <c r="BA101" s="38">
        <v>475.89</v>
      </c>
      <c r="BB101" s="13">
        <v>73.56</v>
      </c>
      <c r="BC101" s="13">
        <v>6.39</v>
      </c>
      <c r="BD101" s="13">
        <v>1.4</v>
      </c>
      <c r="BE101" s="13">
        <v>11.76</v>
      </c>
      <c r="BF101" s="13">
        <v>2</v>
      </c>
      <c r="BG101" s="13">
        <v>171.73</v>
      </c>
      <c r="BH101" s="13">
        <v>21.85</v>
      </c>
      <c r="BI101" s="13">
        <v>10000000000</v>
      </c>
      <c r="BJ101" s="13">
        <v>251.1</v>
      </c>
      <c r="BK101" s="13">
        <v>34</v>
      </c>
      <c r="BL101" s="13">
        <v>84.5</v>
      </c>
      <c r="BM101" s="13">
        <v>103.42</v>
      </c>
      <c r="BN101" s="13">
        <v>1.56</v>
      </c>
      <c r="BO101" s="13">
        <v>30.24</v>
      </c>
      <c r="BP101" s="13">
        <v>34.799999999999997</v>
      </c>
      <c r="BQ101" s="13">
        <v>380.69</v>
      </c>
      <c r="BR101" s="13">
        <v>54.886560000000003</v>
      </c>
      <c r="BS101" s="13">
        <v>165.71340000000001</v>
      </c>
      <c r="BT101" s="13">
        <v>83.101860000000002</v>
      </c>
      <c r="BU101" s="13">
        <v>72.871740000000003</v>
      </c>
      <c r="BV101" s="13">
        <v>72.233699999999999</v>
      </c>
      <c r="BW101" s="13">
        <v>4.7419999999999997E-2</v>
      </c>
      <c r="BX101" s="13">
        <v>5.0199000000000001E-2</v>
      </c>
      <c r="BY101" s="13">
        <v>31.796199999999999</v>
      </c>
      <c r="BZ101" s="13">
        <v>18.995360000000002</v>
      </c>
      <c r="CA101" s="13">
        <v>0</v>
      </c>
      <c r="CB101" s="13">
        <v>0.93938699999999997</v>
      </c>
      <c r="CC101" s="13">
        <v>499.14460000000003</v>
      </c>
      <c r="CD101" s="13">
        <v>508.78539999999998</v>
      </c>
      <c r="CE101" s="13">
        <v>38.797190000000001</v>
      </c>
      <c r="CF101" s="13">
        <v>357.15</v>
      </c>
      <c r="CG101" s="13">
        <v>79.760000000000005</v>
      </c>
      <c r="CH101" s="13">
        <v>92.66</v>
      </c>
      <c r="CI101" s="13">
        <v>342.37</v>
      </c>
      <c r="CJ101" s="13">
        <v>332.93</v>
      </c>
      <c r="CK101" s="13">
        <v>342.63</v>
      </c>
      <c r="CL101" s="13">
        <v>350.66</v>
      </c>
      <c r="CM101" s="13">
        <v>353.31</v>
      </c>
      <c r="CN101" s="13">
        <v>350.22</v>
      </c>
      <c r="CO101" s="13">
        <v>293.10000000000002</v>
      </c>
      <c r="CP101" s="13">
        <v>24.57</v>
      </c>
      <c r="CQ101" s="13">
        <v>242.3</v>
      </c>
      <c r="CR101" s="13">
        <v>243.05</v>
      </c>
      <c r="CS101" s="13">
        <v>4.3</v>
      </c>
      <c r="CT101" s="13">
        <v>4.4000000000000004</v>
      </c>
      <c r="CU101" s="3"/>
      <c r="CV101" s="3"/>
      <c r="CW101" s="3"/>
    </row>
    <row r="102" spans="1:133" x14ac:dyDescent="0.25">
      <c r="A102" s="75"/>
    </row>
    <row r="103" spans="1:133" x14ac:dyDescent="0.25">
      <c r="A103" s="75"/>
    </row>
    <row r="104" spans="1:133" x14ac:dyDescent="0.25">
      <c r="A104" s="75"/>
    </row>
    <row r="105" spans="1:133" x14ac:dyDescent="0.25">
      <c r="A105" s="75"/>
    </row>
  </sheetData>
  <mergeCells count="12">
    <mergeCell ref="A98:A101"/>
    <mergeCell ref="A89:A96"/>
    <mergeCell ref="A4:A11"/>
    <mergeCell ref="A12:A19"/>
    <mergeCell ref="A21:A28"/>
    <mergeCell ref="A29:A36"/>
    <mergeCell ref="A38:A45"/>
    <mergeCell ref="A46:A53"/>
    <mergeCell ref="A55:A62"/>
    <mergeCell ref="A63:A70"/>
    <mergeCell ref="A72:A79"/>
    <mergeCell ref="A80:A8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2"/>
  <sheetViews>
    <sheetView workbookViewId="0">
      <selection activeCell="L17" sqref="L17"/>
    </sheetView>
  </sheetViews>
  <sheetFormatPr defaultRowHeight="15" x14ac:dyDescent="0.25"/>
  <cols>
    <col min="2" max="3" width="9.140625" style="5"/>
    <col min="7" max="7" width="9.140625" style="3"/>
    <col min="13" max="13" width="9.140625" style="3"/>
    <col min="18" max="19" width="9.140625" style="5"/>
  </cols>
  <sheetData>
    <row r="1" spans="1:48" x14ac:dyDescent="0.25">
      <c r="A1" s="40"/>
      <c r="D1" s="40"/>
      <c r="R1" s="1"/>
      <c r="S1" s="1"/>
    </row>
    <row r="2" spans="1:48" x14ac:dyDescent="0.25">
      <c r="A2" s="41"/>
      <c r="D2" s="41"/>
    </row>
    <row r="3" spans="1:48" x14ac:dyDescent="0.25">
      <c r="A3" s="41"/>
      <c r="B3" s="74" t="s">
        <v>134</v>
      </c>
      <c r="C3" s="74"/>
      <c r="D3" s="74"/>
      <c r="E3" s="74"/>
      <c r="F3" s="74"/>
      <c r="H3" s="73" t="s">
        <v>97</v>
      </c>
      <c r="I3" s="73"/>
      <c r="J3" s="73"/>
      <c r="K3" s="73"/>
      <c r="L3" s="73"/>
      <c r="N3" s="73" t="s">
        <v>100</v>
      </c>
      <c r="O3" s="73"/>
      <c r="P3" s="73"/>
      <c r="Q3" s="73"/>
      <c r="R3" s="73"/>
      <c r="S3" s="42"/>
      <c r="T3" s="73" t="s">
        <v>101</v>
      </c>
      <c r="U3" s="73"/>
      <c r="V3" s="73"/>
      <c r="W3" s="73"/>
      <c r="X3" s="73"/>
      <c r="Z3" s="73" t="s">
        <v>102</v>
      </c>
      <c r="AA3" s="73"/>
      <c r="AB3" s="73"/>
      <c r="AC3" s="73"/>
      <c r="AD3" s="73"/>
      <c r="AF3" s="73" t="s">
        <v>103</v>
      </c>
      <c r="AG3" s="73"/>
      <c r="AH3" s="73"/>
      <c r="AI3" s="73"/>
      <c r="AJ3" s="73"/>
      <c r="AL3" s="73" t="s">
        <v>105</v>
      </c>
      <c r="AM3" s="73"/>
      <c r="AN3" s="73"/>
      <c r="AO3" s="73"/>
      <c r="AP3" s="73"/>
      <c r="AR3" s="73" t="s">
        <v>106</v>
      </c>
      <c r="AS3" s="73"/>
      <c r="AT3" s="73"/>
      <c r="AU3" s="73"/>
      <c r="AV3" s="73"/>
    </row>
    <row r="4" spans="1:48" ht="30" x14ac:dyDescent="0.25">
      <c r="A4" s="41"/>
      <c r="B4" s="6" t="s">
        <v>9</v>
      </c>
      <c r="C4" s="6" t="s">
        <v>80</v>
      </c>
      <c r="D4" s="6" t="s">
        <v>61</v>
      </c>
      <c r="E4" s="6" t="s">
        <v>133</v>
      </c>
      <c r="F4" s="6" t="s">
        <v>135</v>
      </c>
      <c r="G4" s="6"/>
      <c r="H4" s="6" t="s">
        <v>9</v>
      </c>
      <c r="I4" s="1" t="s">
        <v>80</v>
      </c>
      <c r="J4" s="1" t="s">
        <v>61</v>
      </c>
      <c r="K4" s="6" t="s">
        <v>133</v>
      </c>
      <c r="L4" s="6" t="s">
        <v>135</v>
      </c>
      <c r="N4" s="6" t="s">
        <v>9</v>
      </c>
      <c r="O4" s="6" t="s">
        <v>80</v>
      </c>
      <c r="P4" s="6" t="s">
        <v>61</v>
      </c>
      <c r="Q4" s="6" t="s">
        <v>133</v>
      </c>
      <c r="R4" s="6" t="s">
        <v>135</v>
      </c>
      <c r="S4" s="6"/>
      <c r="T4" s="6" t="s">
        <v>9</v>
      </c>
      <c r="U4" s="6" t="s">
        <v>80</v>
      </c>
      <c r="V4" s="6" t="s">
        <v>61</v>
      </c>
      <c r="W4" s="6" t="s">
        <v>133</v>
      </c>
      <c r="X4" s="6" t="s">
        <v>135</v>
      </c>
      <c r="Z4" s="6" t="s">
        <v>9</v>
      </c>
      <c r="AA4" s="6" t="s">
        <v>80</v>
      </c>
      <c r="AB4" s="6" t="s">
        <v>61</v>
      </c>
      <c r="AC4" s="6" t="s">
        <v>133</v>
      </c>
      <c r="AD4" s="6" t="s">
        <v>135</v>
      </c>
      <c r="AF4" s="6" t="s">
        <v>9</v>
      </c>
      <c r="AG4" s="6" t="s">
        <v>80</v>
      </c>
      <c r="AH4" s="6" t="s">
        <v>61</v>
      </c>
      <c r="AI4" s="6" t="s">
        <v>133</v>
      </c>
      <c r="AJ4" s="6" t="s">
        <v>135</v>
      </c>
      <c r="AL4" s="6" t="s">
        <v>9</v>
      </c>
      <c r="AM4" s="6" t="s">
        <v>80</v>
      </c>
      <c r="AN4" s="6" t="s">
        <v>61</v>
      </c>
      <c r="AO4" s="6" t="s">
        <v>133</v>
      </c>
      <c r="AP4" s="6" t="s">
        <v>135</v>
      </c>
      <c r="AR4" s="6" t="s">
        <v>9</v>
      </c>
      <c r="AS4" s="6" t="s">
        <v>80</v>
      </c>
      <c r="AT4" s="6" t="s">
        <v>61</v>
      </c>
      <c r="AU4" s="6" t="s">
        <v>133</v>
      </c>
      <c r="AV4" s="6" t="s">
        <v>135</v>
      </c>
    </row>
    <row r="5" spans="1:48" x14ac:dyDescent="0.25">
      <c r="A5" s="41"/>
      <c r="B5" s="5">
        <v>1701</v>
      </c>
      <c r="C5" s="5">
        <v>17.748069999999998</v>
      </c>
      <c r="D5" s="5">
        <v>82.6</v>
      </c>
      <c r="E5" s="3">
        <v>0.93220000000000003</v>
      </c>
      <c r="F5">
        <f>100*(E5-D5/100)/E5</f>
        <v>11.392405063291148</v>
      </c>
      <c r="H5" s="5">
        <v>1701</v>
      </c>
      <c r="I5" s="3">
        <v>59.883800000000001</v>
      </c>
      <c r="J5" s="3">
        <v>85.8</v>
      </c>
      <c r="K5" s="3">
        <v>0.93420000000000003</v>
      </c>
      <c r="L5" s="3">
        <f>100*(K5-J5/100)/K5</f>
        <v>8.1567116249197227</v>
      </c>
      <c r="N5" s="3">
        <v>1800</v>
      </c>
      <c r="O5" s="3">
        <v>19.011089999999999</v>
      </c>
      <c r="P5" s="3">
        <v>86.3</v>
      </c>
      <c r="Q5" s="3">
        <v>0.93410000000000004</v>
      </c>
      <c r="R5" s="3">
        <f>100*(Q5-P5/100)/Q5</f>
        <v>7.6116047532384163</v>
      </c>
      <c r="T5" s="5">
        <v>1800</v>
      </c>
      <c r="U5" s="5">
        <v>54.803330000000003</v>
      </c>
      <c r="V5" s="5">
        <v>82.9</v>
      </c>
      <c r="W5" s="3">
        <v>0.93100000000000005</v>
      </c>
      <c r="X5" s="3">
        <f>100*(W5-V5/100)/W5</f>
        <v>10.955961331901179</v>
      </c>
      <c r="Z5" s="3">
        <v>1800</v>
      </c>
      <c r="AA5" s="3">
        <v>70.269170000000003</v>
      </c>
      <c r="AB5" s="3">
        <v>86.6</v>
      </c>
      <c r="AC5" s="3">
        <v>0.93240000000000001</v>
      </c>
      <c r="AD5" s="3">
        <f>100*(AC5-AB5/100)/AC5</f>
        <v>7.1214071214071231</v>
      </c>
      <c r="AF5" s="3">
        <v>1800</v>
      </c>
      <c r="AG5" s="3">
        <v>107.70440000000001</v>
      </c>
      <c r="AH5" s="3">
        <v>85.2</v>
      </c>
      <c r="AI5" s="3">
        <v>0.92179999999999995</v>
      </c>
      <c r="AJ5" s="3">
        <f>100*(AI5-AH5/100)/AI5</f>
        <v>7.5721414623562566</v>
      </c>
      <c r="AL5" s="3">
        <v>1890</v>
      </c>
      <c r="AM5" s="3">
        <v>101.9567</v>
      </c>
      <c r="AN5" s="3">
        <v>81.3</v>
      </c>
      <c r="AO5" s="3">
        <v>0.92049999999999998</v>
      </c>
      <c r="AP5" s="3">
        <f>100*(AO5-AN5/100)/AO5</f>
        <v>11.678435632808261</v>
      </c>
      <c r="AR5" s="3">
        <v>1890</v>
      </c>
      <c r="AS5" s="3">
        <v>79.099630000000005</v>
      </c>
      <c r="AT5" s="3">
        <v>83.8</v>
      </c>
      <c r="AU5" s="3">
        <v>0.9264</v>
      </c>
      <c r="AV5" s="3">
        <f>100*(AU5-AT5/100)/AU5</f>
        <v>9.5423143350604533</v>
      </c>
    </row>
    <row r="6" spans="1:48" x14ac:dyDescent="0.25">
      <c r="A6" s="41"/>
      <c r="B6" s="5">
        <v>1701</v>
      </c>
      <c r="C6" s="5">
        <v>18.6938</v>
      </c>
      <c r="D6" s="5">
        <v>82.9</v>
      </c>
      <c r="E6" s="3">
        <v>0.93330000000000002</v>
      </c>
      <c r="F6" s="3">
        <f t="shared" ref="F6:F36" si="0">100*(E6-D6/100)/E6</f>
        <v>11.175399121397186</v>
      </c>
      <c r="H6" s="5">
        <v>1701</v>
      </c>
      <c r="I6" s="3">
        <v>55.495109999999997</v>
      </c>
      <c r="J6" s="3">
        <v>86.5</v>
      </c>
      <c r="K6" s="3">
        <v>0.93369999999999997</v>
      </c>
      <c r="L6" s="3">
        <f t="shared" ref="L6:L34" si="1">100*(K6-J6/100)/K6</f>
        <v>7.3578237121130972</v>
      </c>
      <c r="N6" s="5">
        <v>1800</v>
      </c>
      <c r="O6" s="5">
        <v>21.671559999999999</v>
      </c>
      <c r="P6" s="5">
        <v>89.5</v>
      </c>
      <c r="Q6" s="3">
        <v>0.93620000000000003</v>
      </c>
      <c r="R6" s="3">
        <f t="shared" ref="R6:R34" si="2">100*(Q6-P6/100)/Q6</f>
        <v>4.4007690664387962</v>
      </c>
      <c r="T6" s="5">
        <v>1800</v>
      </c>
      <c r="U6" s="5">
        <v>32.79401</v>
      </c>
      <c r="V6" s="5">
        <v>86.5</v>
      </c>
      <c r="W6" s="3">
        <v>0.93869999999999998</v>
      </c>
      <c r="X6" s="3">
        <f t="shared" ref="X6:X34" si="3">100*(W6-V6/100)/W6</f>
        <v>7.8512836902098639</v>
      </c>
      <c r="Z6" s="3">
        <v>1800</v>
      </c>
      <c r="AA6" s="3">
        <v>70.985420000000005</v>
      </c>
      <c r="AB6" s="3">
        <v>86.6</v>
      </c>
      <c r="AC6" s="3">
        <v>0.93240000000000001</v>
      </c>
      <c r="AD6" s="3">
        <f t="shared" ref="AD6:AD34" si="4">100*(AC6-AB6/100)/AC6</f>
        <v>7.1214071214071231</v>
      </c>
      <c r="AF6" s="3">
        <v>1800</v>
      </c>
      <c r="AG6" s="3">
        <v>102.58880000000001</v>
      </c>
      <c r="AH6" s="3">
        <v>82.8</v>
      </c>
      <c r="AI6" s="3">
        <v>0.92310000000000003</v>
      </c>
      <c r="AJ6" s="3">
        <f t="shared" ref="AJ6:AJ34" si="5">100*(AI6-AH6/100)/AI6</f>
        <v>10.302242443938908</v>
      </c>
      <c r="AL6" s="3">
        <v>1890</v>
      </c>
      <c r="AM6" s="3">
        <v>93.040570000000002</v>
      </c>
      <c r="AN6" s="3">
        <v>85.4</v>
      </c>
      <c r="AO6" s="3">
        <v>0.92200000000000004</v>
      </c>
      <c r="AP6" s="3">
        <f t="shared" ref="AP6:AP34" si="6">100*(AO6-AN6/100)/AO6</f>
        <v>7.3752711496746146</v>
      </c>
      <c r="AR6" s="3">
        <v>1890</v>
      </c>
      <c r="AS6" s="3">
        <v>65.917969999999997</v>
      </c>
      <c r="AT6" s="3">
        <v>85.1</v>
      </c>
      <c r="AU6" s="3">
        <v>0.92949999999999999</v>
      </c>
      <c r="AV6" s="3">
        <f t="shared" ref="AV6:AV34" si="7">100*(AU6-AT6/100)/AU6</f>
        <v>8.4454007530930628</v>
      </c>
    </row>
    <row r="7" spans="1:48" x14ac:dyDescent="0.25">
      <c r="A7" s="41"/>
      <c r="B7" s="5">
        <v>1701</v>
      </c>
      <c r="C7" s="5">
        <v>19.22823</v>
      </c>
      <c r="D7" s="5">
        <v>81.7</v>
      </c>
      <c r="E7" s="3">
        <v>0.93379999999999996</v>
      </c>
      <c r="F7" s="3">
        <f t="shared" si="0"/>
        <v>12.508031698436486</v>
      </c>
      <c r="H7" s="5">
        <v>1701</v>
      </c>
      <c r="I7" s="3">
        <v>74.369119999999995</v>
      </c>
      <c r="J7" s="3">
        <v>83.8</v>
      </c>
      <c r="K7" s="3">
        <v>0.93859999999999999</v>
      </c>
      <c r="L7" s="3">
        <f t="shared" si="1"/>
        <v>10.718090773492438</v>
      </c>
      <c r="N7" s="5">
        <v>1800</v>
      </c>
      <c r="O7" s="5">
        <v>18.601040000000001</v>
      </c>
      <c r="P7" s="5">
        <v>83.2</v>
      </c>
      <c r="Q7" s="13">
        <v>0.93369999999999997</v>
      </c>
      <c r="R7" s="3">
        <f t="shared" si="2"/>
        <v>10.892149512691434</v>
      </c>
      <c r="T7" s="5">
        <v>1800</v>
      </c>
      <c r="U7" s="5">
        <v>52.136879999999998</v>
      </c>
      <c r="V7" s="5">
        <v>85.6</v>
      </c>
      <c r="W7" s="3">
        <v>0.93130000000000002</v>
      </c>
      <c r="X7" s="3">
        <f t="shared" si="3"/>
        <v>8.08547192097069</v>
      </c>
      <c r="Z7" s="3">
        <v>1800</v>
      </c>
      <c r="AA7" s="3">
        <v>81.333690000000004</v>
      </c>
      <c r="AB7" s="3">
        <v>87.7</v>
      </c>
      <c r="AC7" s="3">
        <v>0.93089999999999995</v>
      </c>
      <c r="AD7" s="3">
        <f t="shared" si="4"/>
        <v>5.7900956064024012</v>
      </c>
      <c r="AF7" s="3">
        <v>1800</v>
      </c>
      <c r="AG7" s="3">
        <v>99.208079999999995</v>
      </c>
      <c r="AH7" s="3">
        <v>81.400000000000006</v>
      </c>
      <c r="AI7" s="3">
        <v>0.92410000000000003</v>
      </c>
      <c r="AJ7" s="3">
        <f t="shared" si="5"/>
        <v>11.914294989719725</v>
      </c>
      <c r="AL7" s="3">
        <v>1890</v>
      </c>
      <c r="AM7" s="3">
        <v>85.717089999999999</v>
      </c>
      <c r="AN7" s="3">
        <v>85.1</v>
      </c>
      <c r="AO7" s="3">
        <v>0.92400000000000004</v>
      </c>
      <c r="AP7" s="3">
        <f t="shared" si="6"/>
        <v>7.9004329004329064</v>
      </c>
      <c r="AR7" s="3">
        <v>1890</v>
      </c>
      <c r="AS7" s="3">
        <v>67.70026</v>
      </c>
      <c r="AT7" s="3">
        <v>84.1</v>
      </c>
      <c r="AU7" s="3">
        <v>0.92930000000000001</v>
      </c>
      <c r="AV7" s="3">
        <f t="shared" si="7"/>
        <v>9.5017755299687998</v>
      </c>
    </row>
    <row r="8" spans="1:48" x14ac:dyDescent="0.25">
      <c r="A8" s="41"/>
      <c r="B8" s="5">
        <v>1701</v>
      </c>
      <c r="C8" s="5">
        <v>19.929839999999999</v>
      </c>
      <c r="D8" s="5">
        <v>77.2</v>
      </c>
      <c r="E8" s="3">
        <v>0.93459999999999999</v>
      </c>
      <c r="F8" s="3">
        <f t="shared" si="0"/>
        <v>17.397817248020541</v>
      </c>
      <c r="H8" s="5">
        <v>1701</v>
      </c>
      <c r="I8" s="3">
        <v>60.734479999999998</v>
      </c>
      <c r="J8" s="3">
        <v>87.4</v>
      </c>
      <c r="K8" s="3">
        <v>0.93440000000000001</v>
      </c>
      <c r="L8" s="3">
        <f t="shared" si="1"/>
        <v>6.4640410958904004</v>
      </c>
      <c r="N8" s="5">
        <v>1800</v>
      </c>
      <c r="O8" s="5">
        <v>26.08109</v>
      </c>
      <c r="P8" s="5">
        <v>86.5</v>
      </c>
      <c r="Q8" s="13">
        <v>0.9385</v>
      </c>
      <c r="R8" s="3">
        <f t="shared" si="2"/>
        <v>7.8316462440063948</v>
      </c>
      <c r="T8" s="5">
        <v>1800</v>
      </c>
      <c r="U8" s="5">
        <v>37.37135</v>
      </c>
      <c r="V8" s="5">
        <v>88.2</v>
      </c>
      <c r="W8" s="3">
        <v>0.93710000000000004</v>
      </c>
      <c r="X8" s="3">
        <f t="shared" si="3"/>
        <v>5.8798420659481412</v>
      </c>
      <c r="Z8" s="3">
        <v>1800</v>
      </c>
      <c r="AA8" s="3">
        <v>75.928120000000007</v>
      </c>
      <c r="AB8" s="3">
        <v>87.7</v>
      </c>
      <c r="AC8" s="3">
        <v>0.93220000000000003</v>
      </c>
      <c r="AD8" s="3">
        <f t="shared" si="4"/>
        <v>5.921476078094833</v>
      </c>
      <c r="AF8" s="3">
        <v>1800</v>
      </c>
      <c r="AG8" s="3">
        <v>105.5197</v>
      </c>
      <c r="AH8" s="3">
        <v>83.1</v>
      </c>
      <c r="AI8" s="3">
        <v>0.92230000000000001</v>
      </c>
      <c r="AJ8" s="3">
        <f t="shared" si="5"/>
        <v>9.8991651306516371</v>
      </c>
      <c r="AL8" s="3">
        <v>1890</v>
      </c>
      <c r="AM8" s="3">
        <v>95.887709999999998</v>
      </c>
      <c r="AN8" s="3">
        <v>85.4</v>
      </c>
      <c r="AO8" s="3">
        <v>0.92149999999999999</v>
      </c>
      <c r="AP8" s="3">
        <f t="shared" si="6"/>
        <v>7.3250135648399235</v>
      </c>
      <c r="AR8" s="3">
        <v>1890</v>
      </c>
      <c r="AS8" s="3">
        <v>63.572650000000003</v>
      </c>
      <c r="AT8" s="3">
        <v>86.1</v>
      </c>
      <c r="AU8" s="3">
        <v>0.92969999999999997</v>
      </c>
      <c r="AV8" s="3">
        <f t="shared" si="7"/>
        <v>7.3894804775734091</v>
      </c>
    </row>
    <row r="9" spans="1:48" x14ac:dyDescent="0.25">
      <c r="A9" s="41"/>
      <c r="B9" s="5">
        <v>1701</v>
      </c>
      <c r="C9" s="5">
        <v>21.08531</v>
      </c>
      <c r="D9" s="5">
        <v>82.6</v>
      </c>
      <c r="E9" s="3">
        <v>0.93569999999999998</v>
      </c>
      <c r="F9" s="3">
        <f t="shared" si="0"/>
        <v>11.723843112108584</v>
      </c>
      <c r="H9" s="5">
        <v>1701</v>
      </c>
      <c r="I9" s="3">
        <v>69.240729999999999</v>
      </c>
      <c r="J9" s="3">
        <v>86.2</v>
      </c>
      <c r="K9" s="3">
        <v>0.93730000000000002</v>
      </c>
      <c r="L9" s="3">
        <f t="shared" si="1"/>
        <v>8.0337138589565811</v>
      </c>
      <c r="N9" s="5">
        <v>1800</v>
      </c>
      <c r="O9" s="5">
        <v>25.356200000000001</v>
      </c>
      <c r="P9" s="5">
        <v>88.2</v>
      </c>
      <c r="Q9" s="3">
        <v>0.93820000000000003</v>
      </c>
      <c r="R9" s="3">
        <f t="shared" si="2"/>
        <v>5.9901939884885982</v>
      </c>
      <c r="T9" s="5">
        <v>1800</v>
      </c>
      <c r="U9" s="5">
        <v>33.449120000000001</v>
      </c>
      <c r="V9" s="5">
        <v>85.5</v>
      </c>
      <c r="W9" s="3">
        <v>0.9385</v>
      </c>
      <c r="X9" s="3">
        <f t="shared" si="3"/>
        <v>8.8971763452317543</v>
      </c>
      <c r="Z9" s="3">
        <v>1800</v>
      </c>
      <c r="AA9" s="3">
        <v>75.463700000000003</v>
      </c>
      <c r="AB9" s="3">
        <v>86.6</v>
      </c>
      <c r="AC9" s="3">
        <v>0.93230000000000002</v>
      </c>
      <c r="AD9" s="3">
        <f t="shared" si="4"/>
        <v>7.1114448139011071</v>
      </c>
      <c r="AF9" s="3">
        <v>1800</v>
      </c>
      <c r="AG9" s="3">
        <v>95.866140000000001</v>
      </c>
      <c r="AH9" s="3">
        <v>82.3</v>
      </c>
      <c r="AI9" s="3">
        <v>0.92520000000000002</v>
      </c>
      <c r="AJ9" s="3">
        <f t="shared" si="5"/>
        <v>11.046260268050158</v>
      </c>
      <c r="AL9" s="5">
        <v>1890</v>
      </c>
      <c r="AM9" s="5">
        <v>87.49042</v>
      </c>
      <c r="AN9" s="5">
        <v>85.5</v>
      </c>
      <c r="AO9" s="3">
        <v>0.92349999999999999</v>
      </c>
      <c r="AP9" s="3">
        <f t="shared" si="6"/>
        <v>7.4174336762317274</v>
      </c>
      <c r="AR9" s="3">
        <v>1890</v>
      </c>
      <c r="AS9" s="3">
        <v>69.819059999999993</v>
      </c>
      <c r="AT9" s="3">
        <v>85.3</v>
      </c>
      <c r="AU9" s="3">
        <v>0.92900000000000005</v>
      </c>
      <c r="AV9" s="3">
        <f t="shared" si="7"/>
        <v>8.180839612486551</v>
      </c>
    </row>
    <row r="10" spans="1:48" x14ac:dyDescent="0.25">
      <c r="A10" s="41"/>
      <c r="B10" s="5">
        <v>1701</v>
      </c>
      <c r="C10" s="5">
        <v>21.350989999999999</v>
      </c>
      <c r="D10" s="5">
        <v>80.7</v>
      </c>
      <c r="E10" s="3">
        <v>0.93600000000000005</v>
      </c>
      <c r="F10" s="3">
        <f t="shared" si="0"/>
        <v>13.782051282051281</v>
      </c>
      <c r="H10" s="5">
        <v>1701</v>
      </c>
      <c r="I10" s="3">
        <v>56.629840000000002</v>
      </c>
      <c r="J10" s="3">
        <v>86.5</v>
      </c>
      <c r="K10" s="3">
        <v>0.93369999999999997</v>
      </c>
      <c r="L10" s="3">
        <f t="shared" si="1"/>
        <v>7.3578237121130972</v>
      </c>
      <c r="N10" s="3">
        <v>1800</v>
      </c>
      <c r="O10" s="3">
        <v>19.858280000000001</v>
      </c>
      <c r="P10" s="3">
        <v>84.8</v>
      </c>
      <c r="Q10" s="3">
        <v>0.93479999999999996</v>
      </c>
      <c r="R10" s="3">
        <f t="shared" si="2"/>
        <v>9.2854086435601193</v>
      </c>
      <c r="T10" s="5">
        <v>1800</v>
      </c>
      <c r="U10" s="5">
        <v>41.259839999999997</v>
      </c>
      <c r="V10" s="5">
        <v>87.3</v>
      </c>
      <c r="W10" s="3">
        <v>0.93530000000000002</v>
      </c>
      <c r="X10" s="3">
        <f t="shared" si="3"/>
        <v>6.6609643964503391</v>
      </c>
      <c r="Z10" s="3">
        <v>1800</v>
      </c>
      <c r="AA10" s="3">
        <v>61.033329999999999</v>
      </c>
      <c r="AB10" s="3">
        <v>85.5</v>
      </c>
      <c r="AC10" s="3">
        <v>0.93120000000000003</v>
      </c>
      <c r="AD10" s="3">
        <f t="shared" si="4"/>
        <v>8.1829896907216533</v>
      </c>
      <c r="AF10" s="3">
        <v>1800</v>
      </c>
      <c r="AG10" s="3">
        <v>92.116299999999995</v>
      </c>
      <c r="AH10" s="3">
        <v>83.8</v>
      </c>
      <c r="AI10" s="3">
        <v>0.92659999999999998</v>
      </c>
      <c r="AJ10" s="3">
        <f t="shared" si="5"/>
        <v>9.5618389812216726</v>
      </c>
      <c r="AL10" s="3">
        <v>1890</v>
      </c>
      <c r="AM10" s="3">
        <v>90.074740000000006</v>
      </c>
      <c r="AN10" s="3">
        <v>83.6</v>
      </c>
      <c r="AO10" s="3">
        <v>0.92269999999999996</v>
      </c>
      <c r="AP10" s="3">
        <f t="shared" si="6"/>
        <v>9.3963368375419964</v>
      </c>
      <c r="AR10" s="3">
        <v>1890</v>
      </c>
      <c r="AS10" s="3">
        <v>61.494370000000004</v>
      </c>
      <c r="AT10" s="3">
        <v>86.3</v>
      </c>
      <c r="AU10" s="3">
        <v>0.92979999999999996</v>
      </c>
      <c r="AV10" s="3">
        <f t="shared" si="7"/>
        <v>7.1843407184340693</v>
      </c>
    </row>
    <row r="11" spans="1:48" x14ac:dyDescent="0.25">
      <c r="A11" s="41"/>
      <c r="B11" s="5">
        <v>1701</v>
      </c>
      <c r="C11" s="5">
        <v>21.540569999999999</v>
      </c>
      <c r="D11" s="5">
        <v>76</v>
      </c>
      <c r="E11" s="3">
        <v>0.93620000000000003</v>
      </c>
      <c r="F11" s="3">
        <f t="shared" si="0"/>
        <v>18.82076479384747</v>
      </c>
      <c r="H11" s="5">
        <v>1701</v>
      </c>
      <c r="I11" s="3">
        <v>67.335620000000006</v>
      </c>
      <c r="J11" s="3">
        <v>82.2</v>
      </c>
      <c r="K11" s="3">
        <v>0.93659999999999999</v>
      </c>
      <c r="L11" s="3">
        <f t="shared" si="1"/>
        <v>12.235746316463796</v>
      </c>
      <c r="N11" s="3">
        <v>1800</v>
      </c>
      <c r="O11" s="3">
        <v>36.011769999999999</v>
      </c>
      <c r="P11" s="3">
        <v>83.9</v>
      </c>
      <c r="Q11" s="3">
        <v>0.93769999999999998</v>
      </c>
      <c r="R11" s="3">
        <f t="shared" si="2"/>
        <v>10.525754505705439</v>
      </c>
      <c r="T11" s="5">
        <v>1800</v>
      </c>
      <c r="U11" s="5">
        <v>49.907760000000003</v>
      </c>
      <c r="V11" s="5">
        <v>85</v>
      </c>
      <c r="W11" s="3">
        <v>0.93179999999999996</v>
      </c>
      <c r="X11" s="3">
        <f t="shared" si="3"/>
        <v>8.7787078772268714</v>
      </c>
      <c r="Z11" s="3">
        <v>1800</v>
      </c>
      <c r="AA11" s="3">
        <v>76.172920000000005</v>
      </c>
      <c r="AB11" s="3">
        <v>83.6</v>
      </c>
      <c r="AC11" s="3">
        <v>0.93220000000000003</v>
      </c>
      <c r="AD11" s="3">
        <f t="shared" si="4"/>
        <v>10.319673889723243</v>
      </c>
      <c r="AF11" s="3">
        <v>1800</v>
      </c>
      <c r="AG11" s="3">
        <v>99.715580000000003</v>
      </c>
      <c r="AH11" s="3">
        <v>83.3</v>
      </c>
      <c r="AI11" s="3">
        <v>0.92390000000000005</v>
      </c>
      <c r="AJ11" s="3">
        <f t="shared" si="5"/>
        <v>9.838727134971327</v>
      </c>
      <c r="AL11" s="3">
        <v>1890</v>
      </c>
      <c r="AM11" s="3">
        <v>114.8138</v>
      </c>
      <c r="AN11" s="3">
        <v>81.2</v>
      </c>
      <c r="AO11" s="3">
        <v>0.91690000000000005</v>
      </c>
      <c r="AP11" s="3">
        <f t="shared" si="6"/>
        <v>11.440724179299812</v>
      </c>
      <c r="AR11" s="3">
        <v>1890</v>
      </c>
      <c r="AS11" s="3">
        <v>62.079740000000001</v>
      </c>
      <c r="AT11" s="3">
        <v>84.4</v>
      </c>
      <c r="AU11" s="3">
        <v>0.92979999999999996</v>
      </c>
      <c r="AV11" s="3">
        <f t="shared" si="7"/>
        <v>9.2277909227790786</v>
      </c>
    </row>
    <row r="12" spans="1:48" x14ac:dyDescent="0.25">
      <c r="A12" s="41"/>
      <c r="B12" s="5">
        <v>1701</v>
      </c>
      <c r="C12" s="5">
        <v>21.843070000000001</v>
      </c>
      <c r="D12" s="5">
        <v>81</v>
      </c>
      <c r="E12" s="3">
        <v>0.93640000000000001</v>
      </c>
      <c r="F12" s="3">
        <f t="shared" si="0"/>
        <v>13.49850491243058</v>
      </c>
      <c r="H12" s="5">
        <v>1701</v>
      </c>
      <c r="I12" s="3">
        <v>47.856929999999998</v>
      </c>
      <c r="J12" s="3">
        <v>83.6</v>
      </c>
      <c r="K12" s="3">
        <v>0.93540000000000001</v>
      </c>
      <c r="L12" s="3">
        <f t="shared" si="1"/>
        <v>10.626469959375672</v>
      </c>
      <c r="N12" s="3">
        <v>1800</v>
      </c>
      <c r="O12" s="3">
        <v>13.72193</v>
      </c>
      <c r="P12" s="3">
        <v>85.4</v>
      </c>
      <c r="Q12" s="3">
        <v>0.9284</v>
      </c>
      <c r="R12" s="3">
        <f t="shared" si="2"/>
        <v>8.0137871607065811</v>
      </c>
      <c r="T12" s="5">
        <v>1800</v>
      </c>
      <c r="U12" s="5">
        <v>43.967190000000002</v>
      </c>
      <c r="V12" s="5">
        <v>83.6</v>
      </c>
      <c r="W12" s="3">
        <v>0.93400000000000005</v>
      </c>
      <c r="X12" s="3">
        <f t="shared" si="3"/>
        <v>10.492505353319066</v>
      </c>
      <c r="Z12" s="3">
        <v>1800</v>
      </c>
      <c r="AA12" s="3">
        <v>80.868539999999996</v>
      </c>
      <c r="AB12" s="3">
        <v>84</v>
      </c>
      <c r="AC12" s="3">
        <v>0.93110000000000004</v>
      </c>
      <c r="AD12" s="3">
        <f t="shared" si="4"/>
        <v>9.7841263022231839</v>
      </c>
      <c r="AF12" s="3">
        <v>1800</v>
      </c>
      <c r="AG12" s="3">
        <v>103.9543</v>
      </c>
      <c r="AH12" s="3">
        <v>85.7</v>
      </c>
      <c r="AI12" s="3">
        <v>0.92269999999999996</v>
      </c>
      <c r="AJ12" s="3">
        <f t="shared" si="5"/>
        <v>7.1204074997290547</v>
      </c>
      <c r="AL12" s="3">
        <v>1890</v>
      </c>
      <c r="AM12" s="3">
        <v>93.036720000000003</v>
      </c>
      <c r="AN12" s="3">
        <v>82.5</v>
      </c>
      <c r="AO12" s="3">
        <v>0.92200000000000004</v>
      </c>
      <c r="AP12" s="3">
        <f t="shared" si="6"/>
        <v>10.520607375271158</v>
      </c>
      <c r="AR12" s="3">
        <v>1890</v>
      </c>
      <c r="AS12" s="3">
        <v>60.760829999999999</v>
      </c>
      <c r="AT12" s="3">
        <v>85.1</v>
      </c>
      <c r="AU12" s="3">
        <v>0.92989999999999995</v>
      </c>
      <c r="AV12" s="3">
        <f t="shared" si="7"/>
        <v>8.4847833100333343</v>
      </c>
    </row>
    <row r="13" spans="1:48" x14ac:dyDescent="0.25">
      <c r="A13" s="41"/>
      <c r="B13" s="5">
        <v>1701</v>
      </c>
      <c r="C13" s="5">
        <v>22.317080000000001</v>
      </c>
      <c r="D13" s="5">
        <v>83.5</v>
      </c>
      <c r="E13" s="3">
        <v>0.93689999999999996</v>
      </c>
      <c r="F13" s="3">
        <f t="shared" si="0"/>
        <v>10.876294161596755</v>
      </c>
      <c r="H13" s="5">
        <v>1701</v>
      </c>
      <c r="I13" s="3">
        <v>61.454009999999997</v>
      </c>
      <c r="J13" s="3">
        <v>83</v>
      </c>
      <c r="K13" s="3">
        <v>0.93459999999999999</v>
      </c>
      <c r="L13" s="3">
        <f t="shared" si="1"/>
        <v>11.191953777016909</v>
      </c>
      <c r="N13" s="3">
        <v>1800</v>
      </c>
      <c r="O13" s="3">
        <v>13.728910000000001</v>
      </c>
      <c r="P13" s="3">
        <v>81.900000000000006</v>
      </c>
      <c r="Q13" s="3">
        <v>0.9284</v>
      </c>
      <c r="R13" s="3">
        <f t="shared" si="2"/>
        <v>11.783713916415332</v>
      </c>
      <c r="T13" s="5">
        <v>1800</v>
      </c>
      <c r="U13" s="5">
        <v>35.72052</v>
      </c>
      <c r="V13" s="5">
        <v>85.3</v>
      </c>
      <c r="W13" s="3">
        <v>0.93779999999999997</v>
      </c>
      <c r="X13" s="3">
        <f t="shared" si="3"/>
        <v>9.0424397526124967</v>
      </c>
      <c r="Z13" s="3">
        <v>1800</v>
      </c>
      <c r="AA13" s="3">
        <v>68.320369999999997</v>
      </c>
      <c r="AB13" s="3">
        <v>87.1</v>
      </c>
      <c r="AC13" s="3">
        <v>0.93220000000000003</v>
      </c>
      <c r="AD13" s="3">
        <f t="shared" si="4"/>
        <v>6.5651147822355744</v>
      </c>
      <c r="AF13" s="3">
        <v>1800</v>
      </c>
      <c r="AG13" s="3">
        <v>111.035</v>
      </c>
      <c r="AH13" s="3">
        <v>83.3</v>
      </c>
      <c r="AI13" s="3">
        <v>0.92079999999999995</v>
      </c>
      <c r="AJ13" s="3">
        <f t="shared" si="5"/>
        <v>9.5351867940920929</v>
      </c>
      <c r="AL13" s="3">
        <v>1890</v>
      </c>
      <c r="AM13" s="3">
        <v>98.384219999999999</v>
      </c>
      <c r="AN13" s="3">
        <v>82.9</v>
      </c>
      <c r="AO13" s="3">
        <v>0.92110000000000003</v>
      </c>
      <c r="AP13" s="3">
        <f t="shared" si="6"/>
        <v>9.9989143415481436</v>
      </c>
      <c r="AR13" s="3">
        <v>1890</v>
      </c>
      <c r="AS13" s="3">
        <v>58.658749999999998</v>
      </c>
      <c r="AT13" s="3">
        <v>85.1</v>
      </c>
      <c r="AU13" s="3">
        <v>0.92989999999999995</v>
      </c>
      <c r="AV13" s="3">
        <f t="shared" si="7"/>
        <v>8.4847833100333343</v>
      </c>
    </row>
    <row r="14" spans="1:48" x14ac:dyDescent="0.25">
      <c r="A14" s="41"/>
      <c r="B14" s="5">
        <v>1701</v>
      </c>
      <c r="C14" s="5">
        <v>23.761199999999999</v>
      </c>
      <c r="D14" s="5">
        <v>84.2</v>
      </c>
      <c r="E14" s="3">
        <v>0.93799999999999994</v>
      </c>
      <c r="F14" s="3">
        <f t="shared" si="0"/>
        <v>10.234541577825146</v>
      </c>
      <c r="H14" s="5">
        <v>1701</v>
      </c>
      <c r="I14" s="3">
        <v>56.68385</v>
      </c>
      <c r="J14" s="3">
        <v>82.1</v>
      </c>
      <c r="K14" s="3">
        <v>0.93369999999999997</v>
      </c>
      <c r="L14" s="3">
        <f t="shared" si="1"/>
        <v>12.070258112884227</v>
      </c>
      <c r="N14" s="3">
        <v>1800</v>
      </c>
      <c r="O14" s="3">
        <v>23.844639999999998</v>
      </c>
      <c r="P14" s="3">
        <v>87.3</v>
      </c>
      <c r="Q14" s="3">
        <v>0.93759999999999999</v>
      </c>
      <c r="R14" s="3">
        <f t="shared" si="2"/>
        <v>6.8899317406143332</v>
      </c>
      <c r="T14" s="5">
        <v>1800</v>
      </c>
      <c r="U14" s="5">
        <v>36.938279999999999</v>
      </c>
      <c r="V14" s="5">
        <v>84.6</v>
      </c>
      <c r="W14" s="3">
        <v>0.93730000000000002</v>
      </c>
      <c r="X14" s="3">
        <f t="shared" si="3"/>
        <v>9.740744692201007</v>
      </c>
      <c r="Z14" s="3">
        <v>1800</v>
      </c>
      <c r="AA14" s="3">
        <v>68.010000000000005</v>
      </c>
      <c r="AB14" s="3">
        <v>85.3</v>
      </c>
      <c r="AC14" s="3">
        <v>0.93220000000000003</v>
      </c>
      <c r="AD14" s="3">
        <f t="shared" si="4"/>
        <v>8.4960308946578049</v>
      </c>
      <c r="AF14" s="3">
        <v>1800</v>
      </c>
      <c r="AG14" s="3">
        <v>96.018649999999994</v>
      </c>
      <c r="AH14" s="3">
        <v>85.6</v>
      </c>
      <c r="AI14" s="3">
        <v>0.92510000000000003</v>
      </c>
      <c r="AJ14" s="3">
        <f t="shared" si="5"/>
        <v>7.4694627607826236</v>
      </c>
      <c r="AL14" s="3">
        <v>1890</v>
      </c>
      <c r="AM14" s="3">
        <v>90.311149999999998</v>
      </c>
      <c r="AN14" s="3">
        <v>84.1</v>
      </c>
      <c r="AO14" s="3">
        <v>0.92269999999999996</v>
      </c>
      <c r="AP14" s="3">
        <f t="shared" si="6"/>
        <v>8.8544488999674869</v>
      </c>
      <c r="AR14" s="3">
        <v>1890</v>
      </c>
      <c r="AS14" s="3">
        <v>57.613489999999999</v>
      </c>
      <c r="AT14" s="3">
        <v>86.5</v>
      </c>
      <c r="AU14" s="3">
        <v>0.93</v>
      </c>
      <c r="AV14" s="3">
        <f t="shared" si="7"/>
        <v>6.9892473118279623</v>
      </c>
    </row>
    <row r="15" spans="1:48" x14ac:dyDescent="0.25">
      <c r="B15" s="5">
        <v>1701</v>
      </c>
      <c r="C15" s="5">
        <v>24.429690000000001</v>
      </c>
      <c r="D15" s="5">
        <v>80.099999999999994</v>
      </c>
      <c r="E15" s="3">
        <v>0.9385</v>
      </c>
      <c r="F15" s="3">
        <f t="shared" si="0"/>
        <v>14.651038891848703</v>
      </c>
      <c r="H15" s="5">
        <v>1701</v>
      </c>
      <c r="I15" s="3">
        <v>75.068070000000006</v>
      </c>
      <c r="J15" s="3">
        <v>85.4</v>
      </c>
      <c r="K15" s="3">
        <v>0.93859999999999999</v>
      </c>
      <c r="L15" s="3">
        <f t="shared" si="1"/>
        <v>9.0134242488813019</v>
      </c>
      <c r="N15" s="3">
        <v>1800</v>
      </c>
      <c r="O15" s="3">
        <v>30.11469</v>
      </c>
      <c r="P15" s="3">
        <v>86.9</v>
      </c>
      <c r="Q15" s="3">
        <v>0.93899999999999995</v>
      </c>
      <c r="R15" s="3">
        <f t="shared" si="2"/>
        <v>7.4547390841320391</v>
      </c>
      <c r="T15" s="5">
        <v>1800</v>
      </c>
      <c r="U15" s="5">
        <v>51.76099</v>
      </c>
      <c r="V15" s="5">
        <v>85.4</v>
      </c>
      <c r="W15" s="3">
        <v>0.93140000000000001</v>
      </c>
      <c r="X15" s="3">
        <f t="shared" si="3"/>
        <v>8.3100708610693488</v>
      </c>
      <c r="Z15" s="3">
        <v>1800</v>
      </c>
      <c r="AA15" s="3">
        <v>65.165940000000006</v>
      </c>
      <c r="AB15" s="3">
        <v>87.4</v>
      </c>
      <c r="AC15" s="3">
        <v>0.93179999999999996</v>
      </c>
      <c r="AD15" s="3">
        <f t="shared" si="4"/>
        <v>6.2030478643485569</v>
      </c>
      <c r="AF15" s="3">
        <v>1800</v>
      </c>
      <c r="AG15" s="3">
        <v>100.4636</v>
      </c>
      <c r="AH15" s="3">
        <v>84.8</v>
      </c>
      <c r="AI15" s="3">
        <v>0.92369999999999997</v>
      </c>
      <c r="AJ15" s="3">
        <f t="shared" si="5"/>
        <v>8.1953015048175804</v>
      </c>
      <c r="AL15" s="3">
        <v>1890</v>
      </c>
      <c r="AM15" s="3">
        <v>115.2968</v>
      </c>
      <c r="AN15" s="3">
        <v>84.1</v>
      </c>
      <c r="AO15" s="3">
        <v>0.91669999999999996</v>
      </c>
      <c r="AP15" s="3">
        <f t="shared" si="6"/>
        <v>8.2578815315806686</v>
      </c>
      <c r="AR15" s="3">
        <v>1890</v>
      </c>
      <c r="AS15" s="3">
        <v>54.64958</v>
      </c>
      <c r="AT15" s="3">
        <v>86</v>
      </c>
      <c r="AU15" s="3">
        <v>0.93020000000000003</v>
      </c>
      <c r="AV15" s="3">
        <f t="shared" si="7"/>
        <v>7.5467641367447902</v>
      </c>
    </row>
    <row r="16" spans="1:48" x14ac:dyDescent="0.25">
      <c r="B16" s="5">
        <v>1701</v>
      </c>
      <c r="C16" s="5">
        <v>25.58474</v>
      </c>
      <c r="D16" s="5">
        <v>84.5</v>
      </c>
      <c r="E16" s="3">
        <v>0.93920000000000003</v>
      </c>
      <c r="F16" s="3">
        <f t="shared" si="0"/>
        <v>10.0298126064736</v>
      </c>
      <c r="H16" s="5">
        <v>1701</v>
      </c>
      <c r="I16" s="3">
        <v>52.962240000000001</v>
      </c>
      <c r="J16" s="3">
        <v>85.8</v>
      </c>
      <c r="K16" s="3">
        <v>0.93389999999999995</v>
      </c>
      <c r="L16" s="3">
        <f t="shared" si="1"/>
        <v>8.1272084805653666</v>
      </c>
      <c r="N16" s="3">
        <v>1800</v>
      </c>
      <c r="O16" s="3">
        <v>30.740100000000002</v>
      </c>
      <c r="P16" s="3">
        <v>87</v>
      </c>
      <c r="Q16" s="3">
        <v>0.93899999999999995</v>
      </c>
      <c r="R16" s="3">
        <f t="shared" si="2"/>
        <v>7.348242811501593</v>
      </c>
      <c r="T16" s="5">
        <v>1800</v>
      </c>
      <c r="U16" s="5">
        <v>48.318750000000001</v>
      </c>
      <c r="V16" s="5">
        <v>84.3</v>
      </c>
      <c r="W16" s="3">
        <v>0.93230000000000002</v>
      </c>
      <c r="X16" s="3">
        <f t="shared" si="3"/>
        <v>9.5784618684972695</v>
      </c>
      <c r="Z16" s="3">
        <v>1800</v>
      </c>
      <c r="AA16" s="3">
        <v>69.163600000000002</v>
      </c>
      <c r="AB16" s="3">
        <v>83.3</v>
      </c>
      <c r="AC16" s="3">
        <v>0.93230000000000002</v>
      </c>
      <c r="AD16" s="3">
        <f t="shared" si="4"/>
        <v>10.651077979191253</v>
      </c>
      <c r="AF16" s="3">
        <v>1800</v>
      </c>
      <c r="AG16" s="3">
        <v>103.91549999999999</v>
      </c>
      <c r="AH16" s="3">
        <v>82.7</v>
      </c>
      <c r="AI16" s="3">
        <v>0.92279999999999995</v>
      </c>
      <c r="AJ16" s="3">
        <f t="shared" si="5"/>
        <v>10.381447767663619</v>
      </c>
      <c r="AL16" s="3">
        <v>1890</v>
      </c>
      <c r="AM16" s="3">
        <v>89.191299999999998</v>
      </c>
      <c r="AN16" s="3">
        <v>85.5</v>
      </c>
      <c r="AO16" s="3">
        <v>0.92300000000000004</v>
      </c>
      <c r="AP16" s="3">
        <f t="shared" si="6"/>
        <v>7.3672806067172329</v>
      </c>
      <c r="AR16" s="3">
        <v>1890</v>
      </c>
      <c r="AS16" s="3">
        <v>57.998649999999998</v>
      </c>
      <c r="AT16" s="3">
        <v>86.6</v>
      </c>
      <c r="AU16" s="3">
        <v>0.93</v>
      </c>
      <c r="AV16" s="3">
        <f t="shared" si="7"/>
        <v>6.8817204301075323</v>
      </c>
    </row>
    <row r="17" spans="2:48" x14ac:dyDescent="0.25">
      <c r="B17" s="5">
        <v>1701</v>
      </c>
      <c r="C17" s="5">
        <v>25.626619999999999</v>
      </c>
      <c r="D17" s="5">
        <v>82.4</v>
      </c>
      <c r="E17" s="3">
        <v>0.93930000000000002</v>
      </c>
      <c r="F17" s="3">
        <f t="shared" si="0"/>
        <v>12.27509847758969</v>
      </c>
      <c r="H17" s="5">
        <v>1701</v>
      </c>
      <c r="I17" s="3">
        <v>59.201459999999997</v>
      </c>
      <c r="J17" s="3">
        <v>86.7</v>
      </c>
      <c r="K17" s="3">
        <v>0.93400000000000005</v>
      </c>
      <c r="L17" s="3">
        <f t="shared" si="1"/>
        <v>7.1734475374732396</v>
      </c>
      <c r="N17" s="3">
        <v>1800</v>
      </c>
      <c r="O17" s="3">
        <v>18.891300000000001</v>
      </c>
      <c r="P17" s="3">
        <v>84.3</v>
      </c>
      <c r="Q17" s="3">
        <v>0.93400000000000005</v>
      </c>
      <c r="R17" s="3">
        <f t="shared" si="2"/>
        <v>9.7430406852248481</v>
      </c>
      <c r="T17" s="5">
        <v>1800</v>
      </c>
      <c r="U17" s="5">
        <v>39.761620000000001</v>
      </c>
      <c r="V17" s="5">
        <v>85.3</v>
      </c>
      <c r="W17" s="3">
        <v>0.93600000000000005</v>
      </c>
      <c r="X17" s="3">
        <f t="shared" si="3"/>
        <v>8.8675213675213751</v>
      </c>
      <c r="Z17" s="3">
        <v>1800</v>
      </c>
      <c r="AA17" s="3">
        <v>82.601560000000006</v>
      </c>
      <c r="AB17" s="3">
        <v>86.3</v>
      </c>
      <c r="AC17" s="3">
        <v>0.93049999999999999</v>
      </c>
      <c r="AD17" s="3">
        <f t="shared" si="4"/>
        <v>7.2541644277270283</v>
      </c>
      <c r="AF17" s="3">
        <v>1800</v>
      </c>
      <c r="AG17" s="3">
        <v>105.9958</v>
      </c>
      <c r="AH17" s="3">
        <v>85.9</v>
      </c>
      <c r="AI17" s="3">
        <v>0.92220000000000002</v>
      </c>
      <c r="AJ17" s="3">
        <f t="shared" si="5"/>
        <v>6.8531771849924006</v>
      </c>
      <c r="AL17" s="3">
        <v>1890</v>
      </c>
      <c r="AM17" s="3">
        <v>104.56100000000001</v>
      </c>
      <c r="AN17" s="3">
        <v>85.5</v>
      </c>
      <c r="AO17" s="3">
        <v>0.92</v>
      </c>
      <c r="AP17" s="3">
        <f t="shared" si="6"/>
        <v>7.065217391304353</v>
      </c>
      <c r="AR17" s="3">
        <v>1890</v>
      </c>
      <c r="AS17" s="3">
        <v>54.87088</v>
      </c>
      <c r="AT17" s="3">
        <v>86.2</v>
      </c>
      <c r="AU17" s="3">
        <v>0.93010000000000004</v>
      </c>
      <c r="AV17" s="3">
        <f t="shared" si="7"/>
        <v>7.3217933555531713</v>
      </c>
    </row>
    <row r="18" spans="2:48" x14ac:dyDescent="0.25">
      <c r="B18" s="5">
        <v>1701</v>
      </c>
      <c r="C18" s="5">
        <v>27.497859999999999</v>
      </c>
      <c r="D18" s="5">
        <v>79.599999999999994</v>
      </c>
      <c r="E18" s="3">
        <v>0.94020000000000004</v>
      </c>
      <c r="F18" s="3">
        <f t="shared" si="0"/>
        <v>15.337162305892374</v>
      </c>
      <c r="H18" s="5">
        <v>1701</v>
      </c>
      <c r="I18" s="3">
        <v>69.159639999999996</v>
      </c>
      <c r="J18" s="3">
        <v>84.2</v>
      </c>
      <c r="K18" s="3">
        <v>0.93730000000000002</v>
      </c>
      <c r="L18" s="3">
        <f t="shared" si="1"/>
        <v>10.167502400512102</v>
      </c>
      <c r="N18" s="3">
        <v>1800</v>
      </c>
      <c r="O18" s="3">
        <v>22.314900000000002</v>
      </c>
      <c r="P18" s="3">
        <v>85.6</v>
      </c>
      <c r="Q18" s="3">
        <v>0.93669999999999998</v>
      </c>
      <c r="R18" s="3">
        <f t="shared" si="2"/>
        <v>8.6153517668410373</v>
      </c>
      <c r="T18" s="5">
        <v>1800</v>
      </c>
      <c r="U18" s="5">
        <v>42.064790000000002</v>
      </c>
      <c r="V18" s="5">
        <v>86.8</v>
      </c>
      <c r="W18" s="3">
        <v>0.93489999999999995</v>
      </c>
      <c r="X18" s="3">
        <f t="shared" si="3"/>
        <v>7.1558455449780682</v>
      </c>
      <c r="Z18" s="3">
        <v>1800</v>
      </c>
      <c r="AA18" s="3">
        <v>80.31438</v>
      </c>
      <c r="AB18" s="3">
        <v>86.3</v>
      </c>
      <c r="AC18" s="3">
        <v>0.93130000000000002</v>
      </c>
      <c r="AD18" s="3">
        <f t="shared" si="4"/>
        <v>7.3338344249973186</v>
      </c>
      <c r="AF18" s="3">
        <v>1800</v>
      </c>
      <c r="AG18" s="3">
        <v>100.5643</v>
      </c>
      <c r="AH18" s="3">
        <v>85.2</v>
      </c>
      <c r="AI18" s="3">
        <v>0.92369999999999997</v>
      </c>
      <c r="AJ18" s="3">
        <f t="shared" si="5"/>
        <v>7.7622604741799268</v>
      </c>
      <c r="AL18" s="3">
        <v>1890</v>
      </c>
      <c r="AM18" s="3">
        <v>106.18980000000001</v>
      </c>
      <c r="AN18" s="3">
        <v>84.2</v>
      </c>
      <c r="AO18" s="3">
        <v>0.91969999999999996</v>
      </c>
      <c r="AP18" s="3">
        <f t="shared" si="6"/>
        <v>8.4484070892682261</v>
      </c>
      <c r="AR18" s="3">
        <v>1890</v>
      </c>
      <c r="AS18" s="3">
        <v>57.514789999999998</v>
      </c>
      <c r="AT18" s="3">
        <v>84</v>
      </c>
      <c r="AU18" s="3">
        <v>0.93</v>
      </c>
      <c r="AV18" s="3">
        <f t="shared" si="7"/>
        <v>9.6774193548387171</v>
      </c>
    </row>
    <row r="19" spans="2:48" x14ac:dyDescent="0.25">
      <c r="B19" s="5">
        <v>1701</v>
      </c>
      <c r="C19" s="5">
        <v>27.99531</v>
      </c>
      <c r="D19" s="5">
        <v>85.3</v>
      </c>
      <c r="E19" s="3">
        <v>0.94040000000000001</v>
      </c>
      <c r="F19" s="3">
        <f t="shared" si="0"/>
        <v>9.2939174819225894</v>
      </c>
      <c r="H19" s="5">
        <v>1701</v>
      </c>
      <c r="I19" s="3">
        <v>56.236719999999998</v>
      </c>
      <c r="J19" s="3">
        <v>87</v>
      </c>
      <c r="K19" s="3">
        <v>0.93369999999999997</v>
      </c>
      <c r="L19" s="3">
        <f t="shared" si="1"/>
        <v>6.8223198029345591</v>
      </c>
      <c r="N19" s="3">
        <v>1800</v>
      </c>
      <c r="O19" s="3">
        <v>17.64828</v>
      </c>
      <c r="P19" s="3">
        <v>84.2</v>
      </c>
      <c r="Q19" s="3">
        <v>0.93279999999999996</v>
      </c>
      <c r="R19" s="3">
        <f t="shared" si="2"/>
        <v>9.7341337907375518</v>
      </c>
      <c r="T19" s="5">
        <v>1800</v>
      </c>
      <c r="U19" s="5">
        <v>47.95187</v>
      </c>
      <c r="V19" s="5">
        <v>86.3</v>
      </c>
      <c r="W19" s="3">
        <v>0.93240000000000001</v>
      </c>
      <c r="X19" s="3">
        <f t="shared" si="3"/>
        <v>7.4431574431574443</v>
      </c>
      <c r="Z19" s="3">
        <v>1800</v>
      </c>
      <c r="AA19" s="3">
        <v>67.350160000000002</v>
      </c>
      <c r="AB19" s="3">
        <v>85.1</v>
      </c>
      <c r="AC19" s="3">
        <v>0.93210000000000004</v>
      </c>
      <c r="AD19" s="3">
        <f t="shared" si="4"/>
        <v>8.7007831777706315</v>
      </c>
      <c r="AF19" s="3">
        <v>1800</v>
      </c>
      <c r="AG19" s="3">
        <v>94.257919999999999</v>
      </c>
      <c r="AH19" s="3">
        <v>84.9</v>
      </c>
      <c r="AI19" s="3">
        <v>0.92579999999999996</v>
      </c>
      <c r="AJ19" s="3">
        <f t="shared" si="5"/>
        <v>8.2955281918340766</v>
      </c>
      <c r="AL19" s="3">
        <v>1890</v>
      </c>
      <c r="AM19" s="3">
        <v>99.937129999999996</v>
      </c>
      <c r="AN19" s="3">
        <v>83.8</v>
      </c>
      <c r="AO19" s="3">
        <v>0.92079999999999995</v>
      </c>
      <c r="AP19" s="3">
        <f t="shared" si="6"/>
        <v>8.992180712423977</v>
      </c>
      <c r="AR19" s="3">
        <v>1890</v>
      </c>
      <c r="AS19" s="3">
        <v>52.188229999999997</v>
      </c>
      <c r="AT19" s="3">
        <v>87.5</v>
      </c>
      <c r="AU19" s="3">
        <v>0.9304</v>
      </c>
      <c r="AV19" s="3">
        <f t="shared" si="7"/>
        <v>5.9544282029234745</v>
      </c>
    </row>
    <row r="20" spans="2:48" x14ac:dyDescent="0.25">
      <c r="B20" s="5">
        <v>1701</v>
      </c>
      <c r="C20" s="5">
        <v>28.902550000000002</v>
      </c>
      <c r="D20" s="5">
        <v>80.3</v>
      </c>
      <c r="E20" s="3">
        <v>0.94069999999999998</v>
      </c>
      <c r="F20" s="3">
        <f t="shared" si="0"/>
        <v>14.638035505474653</v>
      </c>
      <c r="H20" s="5">
        <v>1701</v>
      </c>
      <c r="I20" s="3">
        <v>65.155779999999993</v>
      </c>
      <c r="J20" s="3">
        <v>85.7</v>
      </c>
      <c r="K20" s="3">
        <v>0.93579999999999997</v>
      </c>
      <c r="L20" s="3">
        <f t="shared" si="1"/>
        <v>8.4206026928830937</v>
      </c>
      <c r="N20" s="3">
        <v>1800</v>
      </c>
      <c r="O20" s="3">
        <v>16.549109999999999</v>
      </c>
      <c r="P20" s="3">
        <v>82</v>
      </c>
      <c r="Q20" s="3">
        <v>0.93159999999999998</v>
      </c>
      <c r="R20" s="3">
        <f t="shared" si="2"/>
        <v>11.979390296264496</v>
      </c>
      <c r="T20" s="5">
        <v>1800</v>
      </c>
      <c r="U20" s="5">
        <v>54.12229</v>
      </c>
      <c r="V20" s="5">
        <v>84.4</v>
      </c>
      <c r="W20" s="3">
        <v>0.93110000000000004</v>
      </c>
      <c r="X20" s="3">
        <f t="shared" si="3"/>
        <v>9.3545269036623289</v>
      </c>
      <c r="Z20" s="3">
        <v>1800</v>
      </c>
      <c r="AA20" s="3">
        <v>85.746979999999994</v>
      </c>
      <c r="AB20" s="3">
        <v>86.7</v>
      </c>
      <c r="AC20" s="3">
        <v>0.92930000000000001</v>
      </c>
      <c r="AD20" s="3">
        <f t="shared" si="4"/>
        <v>6.7039707306574865</v>
      </c>
      <c r="AF20" s="3">
        <v>1800</v>
      </c>
      <c r="AG20" s="3">
        <v>105.6823</v>
      </c>
      <c r="AH20" s="3">
        <v>83.1</v>
      </c>
      <c r="AI20" s="3">
        <v>0.92230000000000001</v>
      </c>
      <c r="AJ20" s="3">
        <f t="shared" si="5"/>
        <v>9.8991651306516371</v>
      </c>
      <c r="AL20" s="3">
        <v>1890</v>
      </c>
      <c r="AM20" s="3">
        <v>114.4089</v>
      </c>
      <c r="AN20" s="3">
        <v>82.1</v>
      </c>
      <c r="AO20" s="3">
        <v>0.91700000000000004</v>
      </c>
      <c r="AP20" s="3">
        <f t="shared" si="6"/>
        <v>10.468920392584524</v>
      </c>
      <c r="AR20" s="3">
        <v>1890</v>
      </c>
      <c r="AS20" s="3">
        <v>48.912709999999997</v>
      </c>
      <c r="AT20" s="3">
        <v>84.9</v>
      </c>
      <c r="AU20" s="3">
        <v>0.93100000000000005</v>
      </c>
      <c r="AV20" s="3">
        <f t="shared" si="7"/>
        <v>8.80773361976369</v>
      </c>
    </row>
    <row r="21" spans="2:48" x14ac:dyDescent="0.25">
      <c r="B21" s="5">
        <v>1701</v>
      </c>
      <c r="C21" s="5">
        <v>29.588280000000001</v>
      </c>
      <c r="D21" s="5">
        <v>82.2</v>
      </c>
      <c r="E21" s="3">
        <v>0.94089999999999996</v>
      </c>
      <c r="F21" s="3">
        <f t="shared" si="0"/>
        <v>12.636837070889564</v>
      </c>
      <c r="H21" s="5">
        <v>1701</v>
      </c>
      <c r="I21" s="3">
        <v>48.487810000000003</v>
      </c>
      <c r="J21" s="3">
        <v>85.4</v>
      </c>
      <c r="K21" s="3">
        <v>0.93520000000000003</v>
      </c>
      <c r="L21" s="3">
        <f t="shared" si="1"/>
        <v>8.6826347305389149</v>
      </c>
      <c r="N21" s="3">
        <v>1800</v>
      </c>
      <c r="O21" s="3">
        <v>21.1538</v>
      </c>
      <c r="P21" s="3">
        <v>84.1</v>
      </c>
      <c r="Q21" s="3">
        <v>0.93589999999999995</v>
      </c>
      <c r="R21" s="3">
        <f t="shared" si="2"/>
        <v>10.139972219254192</v>
      </c>
      <c r="T21" s="5">
        <v>1800</v>
      </c>
      <c r="U21" s="5">
        <v>42.289270000000002</v>
      </c>
      <c r="V21" s="5">
        <v>86.5</v>
      </c>
      <c r="W21" s="3">
        <v>0.93479999999999996</v>
      </c>
      <c r="X21" s="3">
        <f t="shared" si="3"/>
        <v>7.4668378262729966</v>
      </c>
      <c r="Z21" s="3">
        <v>1800</v>
      </c>
      <c r="AA21" s="3">
        <v>70.449740000000006</v>
      </c>
      <c r="AB21" s="3">
        <v>83.7</v>
      </c>
      <c r="AC21" s="3">
        <v>0.93240000000000001</v>
      </c>
      <c r="AD21" s="3">
        <f t="shared" si="4"/>
        <v>10.231660231660223</v>
      </c>
      <c r="AF21" s="3">
        <v>1800</v>
      </c>
      <c r="AG21" s="3">
        <v>102.1728</v>
      </c>
      <c r="AH21" s="3">
        <v>84.7</v>
      </c>
      <c r="AI21" s="3">
        <v>0.92320000000000002</v>
      </c>
      <c r="AJ21" s="3">
        <f t="shared" si="5"/>
        <v>8.2538994800693288</v>
      </c>
      <c r="AL21" s="3">
        <v>1890</v>
      </c>
      <c r="AM21" s="3">
        <v>80.239429999999999</v>
      </c>
      <c r="AN21" s="3">
        <v>85.9</v>
      </c>
      <c r="AO21" s="3">
        <v>0.92600000000000005</v>
      </c>
      <c r="AP21" s="3">
        <f t="shared" si="6"/>
        <v>7.2354211663066899</v>
      </c>
      <c r="AR21" s="3">
        <v>1890</v>
      </c>
      <c r="AS21" s="3">
        <v>49.379689999999997</v>
      </c>
      <c r="AT21" s="3">
        <v>86.1</v>
      </c>
      <c r="AU21" s="3">
        <v>0.93089999999999995</v>
      </c>
      <c r="AV21" s="3">
        <f t="shared" si="7"/>
        <v>7.5088623912342864</v>
      </c>
    </row>
    <row r="22" spans="2:48" x14ac:dyDescent="0.25">
      <c r="B22" s="5">
        <v>1701</v>
      </c>
      <c r="C22" s="5">
        <v>29.851040000000001</v>
      </c>
      <c r="D22" s="5">
        <v>83.7</v>
      </c>
      <c r="E22" s="3">
        <v>0.94089999999999996</v>
      </c>
      <c r="F22" s="3">
        <f t="shared" si="0"/>
        <v>11.042618769263459</v>
      </c>
      <c r="H22" s="5">
        <v>1701</v>
      </c>
      <c r="I22" s="3">
        <v>56.076099999999997</v>
      </c>
      <c r="J22" s="3">
        <v>84.9</v>
      </c>
      <c r="K22" s="3">
        <v>0.93369999999999997</v>
      </c>
      <c r="L22" s="3">
        <f t="shared" si="1"/>
        <v>9.0714362214844044</v>
      </c>
      <c r="N22" s="3">
        <v>1800</v>
      </c>
      <c r="O22" s="3">
        <v>27.51802</v>
      </c>
      <c r="P22" s="3">
        <v>86.2</v>
      </c>
      <c r="Q22" s="3">
        <v>0.93879999999999997</v>
      </c>
      <c r="R22" s="3">
        <f t="shared" si="2"/>
        <v>8.1806561567959086</v>
      </c>
      <c r="T22" s="5">
        <v>1800</v>
      </c>
      <c r="U22" s="5">
        <v>48.10427</v>
      </c>
      <c r="V22" s="5">
        <v>83.4</v>
      </c>
      <c r="W22" s="3">
        <v>0.93240000000000001</v>
      </c>
      <c r="X22" s="3">
        <f t="shared" si="3"/>
        <v>10.553410553410545</v>
      </c>
      <c r="Z22" s="3">
        <v>1800</v>
      </c>
      <c r="AA22" s="3">
        <v>85.108379999999997</v>
      </c>
      <c r="AB22" s="3">
        <v>85.6</v>
      </c>
      <c r="AC22" s="3">
        <v>0.92959999999999998</v>
      </c>
      <c r="AD22" s="3">
        <f t="shared" si="4"/>
        <v>7.9173838209982783</v>
      </c>
      <c r="AF22" s="3">
        <v>1800</v>
      </c>
      <c r="AG22" s="3">
        <v>101.0056</v>
      </c>
      <c r="AH22" s="3">
        <v>82.3</v>
      </c>
      <c r="AI22" s="3">
        <v>0.92349999999999999</v>
      </c>
      <c r="AJ22" s="3">
        <f t="shared" si="5"/>
        <v>10.882512181916626</v>
      </c>
      <c r="AL22" s="3">
        <v>1890</v>
      </c>
      <c r="AM22" s="3">
        <v>118.44159999999999</v>
      </c>
      <c r="AN22" s="3">
        <v>84</v>
      </c>
      <c r="AO22" s="3">
        <v>0.9153</v>
      </c>
      <c r="AP22" s="3">
        <f t="shared" si="6"/>
        <v>8.2268108816781407</v>
      </c>
      <c r="AR22" s="3">
        <v>1890</v>
      </c>
      <c r="AS22" s="3">
        <v>50.307139999999997</v>
      </c>
      <c r="AT22" s="3">
        <v>85.8</v>
      </c>
      <c r="AU22" s="3">
        <v>0.93069999999999997</v>
      </c>
      <c r="AV22" s="3">
        <f t="shared" si="7"/>
        <v>7.8113248092833336</v>
      </c>
    </row>
    <row r="23" spans="2:48" x14ac:dyDescent="0.25">
      <c r="B23" s="5">
        <v>1701</v>
      </c>
      <c r="C23" s="5">
        <v>30.542079999999999</v>
      </c>
      <c r="D23" s="5">
        <v>85</v>
      </c>
      <c r="E23" s="3">
        <v>0.94099999999999995</v>
      </c>
      <c r="F23" s="3">
        <f t="shared" si="0"/>
        <v>9.6705632306057367</v>
      </c>
      <c r="H23" s="5">
        <v>1701</v>
      </c>
      <c r="I23" s="3">
        <v>66.133229999999998</v>
      </c>
      <c r="J23" s="3">
        <v>87.6</v>
      </c>
      <c r="K23" s="3">
        <v>0.93610000000000004</v>
      </c>
      <c r="L23" s="3">
        <f t="shared" si="1"/>
        <v>6.4202542463412193</v>
      </c>
      <c r="N23" s="3">
        <v>1800</v>
      </c>
      <c r="O23" s="3">
        <v>22.981770000000001</v>
      </c>
      <c r="P23" s="3">
        <v>82.9</v>
      </c>
      <c r="Q23" s="3">
        <v>0.93710000000000004</v>
      </c>
      <c r="R23" s="3">
        <f t="shared" si="2"/>
        <v>11.535588517767577</v>
      </c>
      <c r="T23" s="5">
        <v>1800</v>
      </c>
      <c r="U23" s="5">
        <v>61.937710000000003</v>
      </c>
      <c r="V23" s="5">
        <v>82.8</v>
      </c>
      <c r="W23" s="3">
        <v>0.93130000000000002</v>
      </c>
      <c r="X23" s="3">
        <f t="shared" si="3"/>
        <v>11.092021904864174</v>
      </c>
      <c r="Z23" s="3">
        <v>1800</v>
      </c>
      <c r="AA23" s="3">
        <v>75.116560000000007</v>
      </c>
      <c r="AB23" s="3">
        <v>86.4</v>
      </c>
      <c r="AC23" s="3">
        <v>0.93230000000000002</v>
      </c>
      <c r="AD23" s="3">
        <f t="shared" si="4"/>
        <v>7.3259680360398916</v>
      </c>
      <c r="AF23" s="3">
        <v>1800</v>
      </c>
      <c r="AG23" s="3">
        <v>102.0275</v>
      </c>
      <c r="AH23" s="3">
        <v>83.5</v>
      </c>
      <c r="AI23" s="3">
        <v>0.92330000000000001</v>
      </c>
      <c r="AJ23" s="3">
        <f t="shared" si="5"/>
        <v>9.5635221488140427</v>
      </c>
      <c r="AL23" s="3">
        <v>1890</v>
      </c>
      <c r="AM23" s="3">
        <v>83.566509999999994</v>
      </c>
      <c r="AN23" s="3">
        <v>84.8</v>
      </c>
      <c r="AO23" s="3">
        <v>0.92479999999999996</v>
      </c>
      <c r="AP23" s="3">
        <f t="shared" si="6"/>
        <v>8.3044982698961913</v>
      </c>
      <c r="AR23" s="3">
        <v>1890</v>
      </c>
      <c r="AS23" s="3">
        <v>45.908749999999998</v>
      </c>
      <c r="AT23" s="3">
        <v>86.7</v>
      </c>
      <c r="AU23" s="3">
        <v>0.93179999999999996</v>
      </c>
      <c r="AV23" s="3">
        <f t="shared" si="7"/>
        <v>6.9542820347714072</v>
      </c>
    </row>
    <row r="24" spans="2:48" x14ac:dyDescent="0.25">
      <c r="B24" s="5">
        <v>1701</v>
      </c>
      <c r="C24" s="5">
        <v>31.243020000000001</v>
      </c>
      <c r="D24" s="5">
        <v>87</v>
      </c>
      <c r="E24" s="3">
        <v>0.94110000000000005</v>
      </c>
      <c r="F24" s="3">
        <f t="shared" si="0"/>
        <v>7.5549888428434855</v>
      </c>
      <c r="H24" s="5">
        <v>1701</v>
      </c>
      <c r="I24" s="3">
        <v>53.953069999999997</v>
      </c>
      <c r="J24" s="3">
        <v>84</v>
      </c>
      <c r="K24" s="3">
        <v>0.93379999999999996</v>
      </c>
      <c r="L24" s="3">
        <f t="shared" si="1"/>
        <v>10.044977511244378</v>
      </c>
      <c r="N24" s="3">
        <v>1800</v>
      </c>
      <c r="O24" s="3">
        <v>21.68573</v>
      </c>
      <c r="P24" s="3">
        <v>85.4</v>
      </c>
      <c r="Q24" s="3">
        <v>0.93620000000000003</v>
      </c>
      <c r="R24" s="3">
        <f t="shared" si="2"/>
        <v>8.7801751762443843</v>
      </c>
      <c r="T24" s="5">
        <v>1800</v>
      </c>
      <c r="U24" s="5">
        <v>40.04589</v>
      </c>
      <c r="V24" s="5">
        <v>86</v>
      </c>
      <c r="W24" s="3">
        <v>0.93589999999999995</v>
      </c>
      <c r="X24" s="3">
        <f t="shared" si="3"/>
        <v>8.1098407949567228</v>
      </c>
      <c r="Z24" s="3">
        <v>1800</v>
      </c>
      <c r="AA24" s="3">
        <v>63.562080000000002</v>
      </c>
      <c r="AB24" s="3">
        <v>85.6</v>
      </c>
      <c r="AC24" s="3">
        <v>0.93159999999999998</v>
      </c>
      <c r="AD24" s="3">
        <f t="shared" si="4"/>
        <v>8.1150708458565912</v>
      </c>
      <c r="AF24" s="3">
        <v>1800</v>
      </c>
      <c r="AG24" s="3">
        <v>108.7884</v>
      </c>
      <c r="AH24" s="3">
        <v>84.5</v>
      </c>
      <c r="AI24" s="3">
        <v>0.92149999999999999</v>
      </c>
      <c r="AJ24" s="3">
        <f t="shared" si="5"/>
        <v>8.3016820401519276</v>
      </c>
      <c r="AL24" s="3">
        <v>1890</v>
      </c>
      <c r="AM24" s="3">
        <v>106.1957</v>
      </c>
      <c r="AN24" s="3">
        <v>82.2</v>
      </c>
      <c r="AO24" s="3">
        <v>0.91969999999999996</v>
      </c>
      <c r="AP24" s="3">
        <f t="shared" si="6"/>
        <v>10.623029248668033</v>
      </c>
      <c r="AR24" s="3">
        <v>1890</v>
      </c>
      <c r="AS24" s="3">
        <v>45.021929999999998</v>
      </c>
      <c r="AT24" s="3">
        <v>86.7</v>
      </c>
      <c r="AU24" s="3">
        <v>0.93210000000000004</v>
      </c>
      <c r="AV24" s="3">
        <f t="shared" si="7"/>
        <v>6.9842291599613828</v>
      </c>
    </row>
    <row r="25" spans="2:48" x14ac:dyDescent="0.25">
      <c r="B25" s="5">
        <v>1701</v>
      </c>
      <c r="C25" s="5">
        <v>32.109380000000002</v>
      </c>
      <c r="D25" s="5">
        <v>85.7</v>
      </c>
      <c r="E25" s="3">
        <v>0.94120000000000004</v>
      </c>
      <c r="F25" s="3">
        <f t="shared" si="0"/>
        <v>8.9460263493412722</v>
      </c>
      <c r="H25" s="5">
        <v>1701</v>
      </c>
      <c r="I25" s="3">
        <v>46.400680000000001</v>
      </c>
      <c r="J25" s="3">
        <v>84.8</v>
      </c>
      <c r="K25" s="3">
        <v>0.93610000000000004</v>
      </c>
      <c r="L25" s="3">
        <f t="shared" si="1"/>
        <v>9.4113876722572432</v>
      </c>
      <c r="N25" s="3">
        <v>1800</v>
      </c>
      <c r="O25" s="3">
        <v>26.94312</v>
      </c>
      <c r="P25" s="3">
        <v>85.3</v>
      </c>
      <c r="Q25" s="3">
        <v>0.93869999999999998</v>
      </c>
      <c r="R25" s="3">
        <f t="shared" si="2"/>
        <v>9.1296473846809416</v>
      </c>
      <c r="T25" s="5">
        <v>1800</v>
      </c>
      <c r="U25" s="5">
        <v>53.057189999999999</v>
      </c>
      <c r="V25" s="5">
        <v>83.3</v>
      </c>
      <c r="W25" s="3">
        <v>0.93120000000000003</v>
      </c>
      <c r="X25" s="3">
        <f t="shared" si="3"/>
        <v>10.545532646048118</v>
      </c>
      <c r="Z25" s="3">
        <v>1800</v>
      </c>
      <c r="AA25" s="3">
        <v>83.51979</v>
      </c>
      <c r="AB25" s="3">
        <v>87.1</v>
      </c>
      <c r="AC25" s="3">
        <v>0.93020000000000003</v>
      </c>
      <c r="AD25" s="3">
        <f t="shared" si="4"/>
        <v>6.3642227477961768</v>
      </c>
      <c r="AF25" s="3">
        <v>1800</v>
      </c>
      <c r="AG25" s="3">
        <v>106.3565</v>
      </c>
      <c r="AH25" s="3">
        <v>84.2</v>
      </c>
      <c r="AI25" s="3">
        <v>0.92210000000000003</v>
      </c>
      <c r="AJ25" s="3">
        <f t="shared" si="5"/>
        <v>8.686693417199864</v>
      </c>
      <c r="AL25" s="3">
        <v>1890</v>
      </c>
      <c r="AM25" s="3">
        <v>95.298180000000002</v>
      </c>
      <c r="AN25" s="3">
        <v>83.4</v>
      </c>
      <c r="AO25" s="3">
        <v>0.92159999999999997</v>
      </c>
      <c r="AP25" s="3">
        <f t="shared" si="6"/>
        <v>9.5052083333333233</v>
      </c>
      <c r="AR25" s="3">
        <v>1890</v>
      </c>
      <c r="AS25" s="3">
        <v>66.858860000000007</v>
      </c>
      <c r="AT25" s="3">
        <v>85.4</v>
      </c>
      <c r="AU25" s="3">
        <v>0.9294</v>
      </c>
      <c r="AV25" s="3">
        <f t="shared" si="7"/>
        <v>8.1127609210243072</v>
      </c>
    </row>
    <row r="26" spans="2:48" x14ac:dyDescent="0.25">
      <c r="B26" s="5">
        <v>1701</v>
      </c>
      <c r="C26" s="5">
        <v>35.448120000000003</v>
      </c>
      <c r="D26" s="5">
        <v>84.4</v>
      </c>
      <c r="E26" s="3">
        <v>0.94079999999999997</v>
      </c>
      <c r="F26" s="3">
        <f t="shared" si="0"/>
        <v>10.289115646258493</v>
      </c>
      <c r="H26" s="5">
        <v>1701</v>
      </c>
      <c r="I26" s="3">
        <v>70.328490000000002</v>
      </c>
      <c r="J26" s="3">
        <v>85.7</v>
      </c>
      <c r="K26" s="3">
        <v>0.93759999999999999</v>
      </c>
      <c r="L26" s="3">
        <f t="shared" si="1"/>
        <v>8.5964163822525599</v>
      </c>
      <c r="N26" s="3">
        <v>1800</v>
      </c>
      <c r="O26" s="3">
        <v>22.616040000000002</v>
      </c>
      <c r="P26" s="3">
        <v>80.7</v>
      </c>
      <c r="Q26" s="3">
        <v>0.93689999999999996</v>
      </c>
      <c r="R26" s="3">
        <f t="shared" si="2"/>
        <v>13.864873519052185</v>
      </c>
      <c r="T26" s="5">
        <v>1800</v>
      </c>
      <c r="U26" s="5">
        <v>43.714579999999998</v>
      </c>
      <c r="V26" s="5">
        <v>83.5</v>
      </c>
      <c r="W26" s="3">
        <v>0.93420000000000003</v>
      </c>
      <c r="X26" s="3">
        <f t="shared" si="3"/>
        <v>10.618711196745886</v>
      </c>
      <c r="Z26" s="3">
        <v>1800</v>
      </c>
      <c r="AA26" s="3">
        <v>63.603859999999997</v>
      </c>
      <c r="AB26" s="3">
        <v>87.3</v>
      </c>
      <c r="AC26" s="3">
        <v>0.93159999999999998</v>
      </c>
      <c r="AD26" s="3">
        <f t="shared" si="4"/>
        <v>6.290253327608414</v>
      </c>
      <c r="AF26" s="3">
        <v>1800</v>
      </c>
      <c r="AG26" s="3">
        <v>106.636</v>
      </c>
      <c r="AH26" s="3">
        <v>83.2</v>
      </c>
      <c r="AI26" s="3">
        <v>0.92200000000000004</v>
      </c>
      <c r="AJ26" s="3">
        <f t="shared" si="5"/>
        <v>9.7613882863340518</v>
      </c>
      <c r="AL26" s="3">
        <v>1890</v>
      </c>
      <c r="AM26" s="3">
        <v>110.70959999999999</v>
      </c>
      <c r="AN26" s="3">
        <v>83.5</v>
      </c>
      <c r="AO26" s="3">
        <v>0.91839999999999999</v>
      </c>
      <c r="AP26" s="3">
        <f t="shared" si="6"/>
        <v>9.0810104529616762</v>
      </c>
      <c r="AR26" s="3">
        <v>1890</v>
      </c>
      <c r="AS26" s="3">
        <v>48.399430000000002</v>
      </c>
      <c r="AT26" s="3">
        <v>86.3</v>
      </c>
      <c r="AU26" s="3">
        <v>0.93110000000000004</v>
      </c>
      <c r="AV26" s="3">
        <f t="shared" si="7"/>
        <v>7.3139297604983406</v>
      </c>
    </row>
    <row r="27" spans="2:48" x14ac:dyDescent="0.25">
      <c r="B27" s="5">
        <v>1701</v>
      </c>
      <c r="C27" s="5">
        <v>35.484999999999999</v>
      </c>
      <c r="D27" s="5">
        <v>82.3</v>
      </c>
      <c r="E27" s="3">
        <v>0.94069999999999998</v>
      </c>
      <c r="F27" s="3">
        <f t="shared" si="0"/>
        <v>12.511959179334541</v>
      </c>
      <c r="H27" s="5">
        <v>1701</v>
      </c>
      <c r="I27" s="3">
        <v>50.486719999999998</v>
      </c>
      <c r="J27" s="3">
        <v>86.9</v>
      </c>
      <c r="K27" s="3">
        <v>0.9345</v>
      </c>
      <c r="L27" s="3">
        <f t="shared" si="1"/>
        <v>7.0090957731407055</v>
      </c>
      <c r="N27" s="3">
        <v>1800</v>
      </c>
      <c r="O27" s="3">
        <v>27.98208</v>
      </c>
      <c r="P27" s="3">
        <v>88.3</v>
      </c>
      <c r="Q27" s="3">
        <v>0.93889999999999996</v>
      </c>
      <c r="R27" s="3">
        <f t="shared" si="2"/>
        <v>5.9537756949621841</v>
      </c>
      <c r="T27" s="5">
        <v>1800</v>
      </c>
      <c r="U27" s="5">
        <v>42.375779999999999</v>
      </c>
      <c r="V27" s="5">
        <v>84.6</v>
      </c>
      <c r="W27" s="3">
        <v>0.93479999999999996</v>
      </c>
      <c r="X27" s="3">
        <f t="shared" si="3"/>
        <v>9.4993581514762511</v>
      </c>
      <c r="Z27" s="3">
        <v>1800</v>
      </c>
      <c r="AA27" s="3">
        <v>69.642650000000003</v>
      </c>
      <c r="AB27" s="3">
        <v>86.1</v>
      </c>
      <c r="AC27" s="3">
        <v>0.93230000000000002</v>
      </c>
      <c r="AD27" s="3">
        <f t="shared" si="4"/>
        <v>7.6477528692480989</v>
      </c>
      <c r="AF27" s="3">
        <v>1800</v>
      </c>
      <c r="AG27" s="3">
        <v>105.6357</v>
      </c>
      <c r="AH27" s="3">
        <v>84.9</v>
      </c>
      <c r="AI27" s="3">
        <v>0.92230000000000001</v>
      </c>
      <c r="AJ27" s="3">
        <f t="shared" si="5"/>
        <v>7.9475224981025612</v>
      </c>
      <c r="AL27" s="3">
        <v>1890</v>
      </c>
      <c r="AM27" s="3">
        <v>110.21510000000001</v>
      </c>
      <c r="AN27" s="3">
        <v>81.400000000000006</v>
      </c>
      <c r="AO27" s="3">
        <v>0.91859999999999997</v>
      </c>
      <c r="AP27" s="3">
        <f t="shared" si="6"/>
        <v>11.386893098192894</v>
      </c>
      <c r="AR27" s="3">
        <v>1890</v>
      </c>
      <c r="AS27" s="3">
        <v>37.318440000000002</v>
      </c>
      <c r="AT27" s="3">
        <v>87.1</v>
      </c>
      <c r="AU27" s="3">
        <v>0.93520000000000003</v>
      </c>
      <c r="AV27" s="3">
        <f t="shared" si="7"/>
        <v>6.8648417450812698</v>
      </c>
    </row>
    <row r="28" spans="2:48" x14ac:dyDescent="0.25">
      <c r="B28" s="5">
        <v>1701</v>
      </c>
      <c r="C28" s="5">
        <v>37.138330000000003</v>
      </c>
      <c r="D28" s="5">
        <v>88.2</v>
      </c>
      <c r="E28" s="3">
        <v>0.94030000000000002</v>
      </c>
      <c r="F28" s="3">
        <f t="shared" si="0"/>
        <v>6.2001488886525591</v>
      </c>
      <c r="H28" s="5">
        <v>1701</v>
      </c>
      <c r="I28" s="3">
        <v>72.270359999999997</v>
      </c>
      <c r="J28" s="3">
        <v>86.9</v>
      </c>
      <c r="K28" s="3">
        <v>0.93820000000000003</v>
      </c>
      <c r="L28" s="3">
        <f t="shared" si="1"/>
        <v>7.3758260498827459</v>
      </c>
      <c r="N28" s="3">
        <v>1800</v>
      </c>
      <c r="O28" s="3">
        <v>31.012550000000001</v>
      </c>
      <c r="P28" s="3">
        <v>86.1</v>
      </c>
      <c r="Q28" s="3">
        <v>0.93889999999999996</v>
      </c>
      <c r="R28" s="3">
        <f t="shared" si="2"/>
        <v>8.2969432314410447</v>
      </c>
      <c r="T28" s="5">
        <v>1800</v>
      </c>
      <c r="U28" s="5">
        <v>53.242660000000001</v>
      </c>
      <c r="V28" s="5">
        <v>83</v>
      </c>
      <c r="W28" s="3">
        <v>0.93120000000000003</v>
      </c>
      <c r="X28" s="3">
        <f t="shared" si="3"/>
        <v>10.867697594501724</v>
      </c>
      <c r="Z28" s="3">
        <v>1800</v>
      </c>
      <c r="AA28" s="3">
        <v>72.625519999999995</v>
      </c>
      <c r="AB28" s="3">
        <v>83.9</v>
      </c>
      <c r="AC28" s="3">
        <v>0.93240000000000001</v>
      </c>
      <c r="AD28" s="3">
        <f t="shared" si="4"/>
        <v>10.017160017160009</v>
      </c>
      <c r="AF28" s="3">
        <v>1800</v>
      </c>
      <c r="AG28" s="3">
        <v>103.65</v>
      </c>
      <c r="AH28" s="3">
        <v>84.3</v>
      </c>
      <c r="AI28" s="3">
        <v>0.92279999999999995</v>
      </c>
      <c r="AJ28" s="3">
        <f t="shared" si="5"/>
        <v>8.6475942782834831</v>
      </c>
      <c r="AL28" s="3">
        <v>1890</v>
      </c>
      <c r="AM28" s="3">
        <v>82.634270000000001</v>
      </c>
      <c r="AN28" s="3">
        <v>85.1</v>
      </c>
      <c r="AO28" s="3">
        <v>0.92510000000000003</v>
      </c>
      <c r="AP28" s="3">
        <f t="shared" si="6"/>
        <v>8.009944870824782</v>
      </c>
      <c r="AR28" s="3">
        <v>1890</v>
      </c>
      <c r="AS28" s="3">
        <v>56.943330000000003</v>
      </c>
      <c r="AT28" s="3">
        <v>84.6</v>
      </c>
      <c r="AU28" s="3">
        <v>0.93</v>
      </c>
      <c r="AV28" s="3">
        <f t="shared" si="7"/>
        <v>9.032258064516137</v>
      </c>
    </row>
    <row r="29" spans="2:48" x14ac:dyDescent="0.25">
      <c r="B29" s="5">
        <v>1701</v>
      </c>
      <c r="C29" s="5">
        <v>37.179009999999998</v>
      </c>
      <c r="D29" s="5">
        <v>84.9</v>
      </c>
      <c r="E29" s="3">
        <v>0.94030000000000002</v>
      </c>
      <c r="F29" s="3">
        <f t="shared" si="0"/>
        <v>9.7096671275124891</v>
      </c>
      <c r="H29" s="5">
        <v>1701</v>
      </c>
      <c r="I29" s="3">
        <v>59.282809999999998</v>
      </c>
      <c r="J29" s="3">
        <v>86.1</v>
      </c>
      <c r="K29" s="3">
        <v>0.93400000000000005</v>
      </c>
      <c r="L29" s="3">
        <f t="shared" si="1"/>
        <v>7.8158458244111406</v>
      </c>
      <c r="N29" s="3">
        <v>1800</v>
      </c>
      <c r="O29" s="3">
        <v>20.869109999999999</v>
      </c>
      <c r="P29" s="3">
        <v>83.1</v>
      </c>
      <c r="Q29" s="3">
        <v>0.93559999999999999</v>
      </c>
      <c r="R29" s="3">
        <f t="shared" si="2"/>
        <v>11.179991449337326</v>
      </c>
      <c r="T29" s="5">
        <v>1800</v>
      </c>
      <c r="U29" s="5">
        <v>35.402920000000002</v>
      </c>
      <c r="V29" s="5">
        <v>87.1</v>
      </c>
      <c r="W29" s="3">
        <v>0.93789999999999996</v>
      </c>
      <c r="X29" s="3">
        <f t="shared" si="3"/>
        <v>7.1329566051817848</v>
      </c>
      <c r="Z29" s="3">
        <v>1800</v>
      </c>
      <c r="AA29" s="3">
        <v>80.890940000000001</v>
      </c>
      <c r="AB29" s="3">
        <v>86</v>
      </c>
      <c r="AC29" s="3">
        <v>0.93110000000000004</v>
      </c>
      <c r="AD29" s="3">
        <f t="shared" si="4"/>
        <v>7.6361293094189717</v>
      </c>
      <c r="AF29" s="3">
        <v>1800</v>
      </c>
      <c r="AG29" s="3">
        <v>96.966149999999999</v>
      </c>
      <c r="AH29" s="3">
        <v>83</v>
      </c>
      <c r="AI29" s="3">
        <v>0.92479999999999996</v>
      </c>
      <c r="AJ29" s="3">
        <f t="shared" si="5"/>
        <v>10.250865051903116</v>
      </c>
      <c r="AL29" s="3">
        <v>1890</v>
      </c>
      <c r="AM29" s="3">
        <v>105.3903</v>
      </c>
      <c r="AN29" s="3">
        <v>82.4</v>
      </c>
      <c r="AO29" s="3">
        <v>0.91990000000000005</v>
      </c>
      <c r="AP29" s="3">
        <f t="shared" si="6"/>
        <v>10.425046200673984</v>
      </c>
      <c r="AR29" s="3">
        <v>1890</v>
      </c>
      <c r="AS29" s="3">
        <v>55.865989999999996</v>
      </c>
      <c r="AT29" s="3">
        <v>85.6</v>
      </c>
      <c r="AU29" s="3">
        <v>0.93010000000000004</v>
      </c>
      <c r="AV29" s="3">
        <f t="shared" si="7"/>
        <v>7.9668852811525701</v>
      </c>
    </row>
    <row r="30" spans="2:48" x14ac:dyDescent="0.25">
      <c r="B30" s="5">
        <v>1701</v>
      </c>
      <c r="C30" s="5">
        <v>37.202500000000001</v>
      </c>
      <c r="D30" s="5">
        <v>85.1</v>
      </c>
      <c r="E30" s="3">
        <v>0.94020000000000004</v>
      </c>
      <c r="F30" s="3">
        <f t="shared" si="0"/>
        <v>9.487343118485434</v>
      </c>
      <c r="H30" s="5">
        <v>1701</v>
      </c>
      <c r="I30" s="3">
        <v>53.38964</v>
      </c>
      <c r="J30" s="3">
        <v>86.9</v>
      </c>
      <c r="K30" s="3">
        <v>0.93389999999999995</v>
      </c>
      <c r="L30" s="3">
        <f t="shared" si="1"/>
        <v>6.9493521790341415</v>
      </c>
      <c r="N30" s="3">
        <v>1800</v>
      </c>
      <c r="O30" s="3">
        <v>22.319269999999999</v>
      </c>
      <c r="P30" s="3">
        <v>79.599999999999994</v>
      </c>
      <c r="Q30" s="3">
        <v>0.93669999999999998</v>
      </c>
      <c r="R30" s="3">
        <f t="shared" si="2"/>
        <v>15.020817764492371</v>
      </c>
      <c r="T30" s="5">
        <v>1800</v>
      </c>
      <c r="U30" s="5">
        <v>39.998280000000001</v>
      </c>
      <c r="V30" s="5">
        <v>87.4</v>
      </c>
      <c r="W30" s="3">
        <v>0.93589999999999995</v>
      </c>
      <c r="X30" s="3">
        <f t="shared" si="3"/>
        <v>6.6139544823164709</v>
      </c>
      <c r="Z30" s="3">
        <v>1800</v>
      </c>
      <c r="AA30" s="3">
        <v>74.661299999999997</v>
      </c>
      <c r="AB30" s="3">
        <v>84.4</v>
      </c>
      <c r="AC30" s="3">
        <v>0.93230000000000002</v>
      </c>
      <c r="AD30" s="3">
        <f t="shared" si="4"/>
        <v>9.4712002574278582</v>
      </c>
      <c r="AF30" s="3">
        <v>1800</v>
      </c>
      <c r="AG30" s="3">
        <v>109.08540000000001</v>
      </c>
      <c r="AH30" s="3">
        <v>83.8</v>
      </c>
      <c r="AI30" s="3">
        <v>0.9214</v>
      </c>
      <c r="AJ30" s="3">
        <f t="shared" si="5"/>
        <v>9.0514434556110306</v>
      </c>
      <c r="AL30" s="3">
        <v>1890</v>
      </c>
      <c r="AM30" s="3">
        <v>102.2084</v>
      </c>
      <c r="AN30" s="3">
        <v>84</v>
      </c>
      <c r="AO30" s="3">
        <v>0.92049999999999998</v>
      </c>
      <c r="AP30" s="3">
        <f t="shared" si="6"/>
        <v>8.7452471482889749</v>
      </c>
      <c r="AR30" s="3">
        <v>1890</v>
      </c>
      <c r="AS30" s="3">
        <v>62.95917</v>
      </c>
      <c r="AT30" s="3">
        <v>84.4</v>
      </c>
      <c r="AU30" s="3">
        <v>0.92979999999999996</v>
      </c>
      <c r="AV30" s="3">
        <f t="shared" si="7"/>
        <v>9.2277909227790786</v>
      </c>
    </row>
    <row r="31" spans="2:48" x14ac:dyDescent="0.25">
      <c r="B31" s="5">
        <v>1701</v>
      </c>
      <c r="C31" s="5">
        <v>37.867190000000001</v>
      </c>
      <c r="D31" s="5">
        <v>85.8</v>
      </c>
      <c r="E31" s="3">
        <v>0.94</v>
      </c>
      <c r="F31" s="3">
        <f t="shared" si="0"/>
        <v>8.7234042553191458</v>
      </c>
      <c r="H31" s="5">
        <v>1701</v>
      </c>
      <c r="I31" s="3">
        <v>62.902290000000001</v>
      </c>
      <c r="J31" s="3">
        <v>86.4</v>
      </c>
      <c r="K31" s="3">
        <v>0.93500000000000005</v>
      </c>
      <c r="L31" s="3">
        <f t="shared" si="1"/>
        <v>7.5935828877005296</v>
      </c>
      <c r="N31" s="3">
        <v>1800</v>
      </c>
      <c r="O31" s="3">
        <v>26.117709999999999</v>
      </c>
      <c r="P31" s="3">
        <v>83.9</v>
      </c>
      <c r="Q31" s="3">
        <v>0.9385</v>
      </c>
      <c r="R31" s="3">
        <f t="shared" si="2"/>
        <v>10.60202450719232</v>
      </c>
      <c r="T31" s="5">
        <v>1800</v>
      </c>
      <c r="U31" s="5">
        <v>46.074579999999997</v>
      </c>
      <c r="V31" s="5">
        <v>84.7</v>
      </c>
      <c r="W31" s="3">
        <v>0.93310000000000004</v>
      </c>
      <c r="X31" s="3">
        <f t="shared" si="3"/>
        <v>9.227306826706684</v>
      </c>
      <c r="Z31" s="3">
        <v>1800</v>
      </c>
      <c r="AA31" s="3">
        <v>82.771510000000006</v>
      </c>
      <c r="AB31" s="3">
        <v>83.2</v>
      </c>
      <c r="AC31" s="3">
        <v>0.93049999999999999</v>
      </c>
      <c r="AD31" s="3">
        <f t="shared" si="4"/>
        <v>10.585706609349804</v>
      </c>
      <c r="AF31" s="3">
        <v>1800</v>
      </c>
      <c r="AG31" s="3">
        <v>93.653490000000005</v>
      </c>
      <c r="AH31" s="3">
        <v>81.900000000000006</v>
      </c>
      <c r="AI31" s="3">
        <v>0.92600000000000005</v>
      </c>
      <c r="AJ31" s="3">
        <f t="shared" si="5"/>
        <v>11.555075593952482</v>
      </c>
      <c r="AL31" s="3">
        <v>1890</v>
      </c>
      <c r="AM31" s="3">
        <v>93.230779999999996</v>
      </c>
      <c r="AN31" s="3">
        <v>84.8</v>
      </c>
      <c r="AO31" s="3">
        <v>0.92200000000000004</v>
      </c>
      <c r="AP31" s="3">
        <f t="shared" si="6"/>
        <v>8.0260303687635641</v>
      </c>
      <c r="AR31" s="3">
        <v>1890</v>
      </c>
      <c r="AS31" s="3">
        <v>64.844480000000004</v>
      </c>
      <c r="AT31" s="3">
        <v>86.1</v>
      </c>
      <c r="AU31" s="3">
        <v>0.92959999999999998</v>
      </c>
      <c r="AV31" s="3">
        <f t="shared" si="7"/>
        <v>7.379518072289156</v>
      </c>
    </row>
    <row r="32" spans="2:48" x14ac:dyDescent="0.25">
      <c r="B32" s="5">
        <v>1701</v>
      </c>
      <c r="C32" s="5">
        <v>38.2301</v>
      </c>
      <c r="D32" s="5">
        <v>86.3</v>
      </c>
      <c r="E32" s="3">
        <v>0.93989999999999996</v>
      </c>
      <c r="F32" s="3">
        <f t="shared" si="0"/>
        <v>8.1817214597297561</v>
      </c>
      <c r="H32" s="5">
        <v>1701</v>
      </c>
      <c r="I32" s="3">
        <v>71.453379999999996</v>
      </c>
      <c r="J32" s="3">
        <v>87.3</v>
      </c>
      <c r="K32" s="3">
        <v>0.93799999999999994</v>
      </c>
      <c r="L32" s="3">
        <f t="shared" si="1"/>
        <v>6.9296375266524466</v>
      </c>
      <c r="N32" s="3">
        <v>1800</v>
      </c>
      <c r="O32" s="3">
        <v>24.338329999999999</v>
      </c>
      <c r="P32" s="3">
        <v>79.7</v>
      </c>
      <c r="Q32" s="3">
        <v>0.93779999999999997</v>
      </c>
      <c r="R32" s="3">
        <f t="shared" si="2"/>
        <v>15.013862230752819</v>
      </c>
      <c r="T32" s="5">
        <v>1800</v>
      </c>
      <c r="U32" s="5">
        <v>44.682870000000001</v>
      </c>
      <c r="V32" s="5">
        <v>85.5</v>
      </c>
      <c r="W32" s="3">
        <v>0.93369999999999997</v>
      </c>
      <c r="X32" s="3">
        <f t="shared" si="3"/>
        <v>8.4288315304701715</v>
      </c>
      <c r="Z32" s="3">
        <v>1800</v>
      </c>
      <c r="AA32" s="3">
        <v>62.174790000000002</v>
      </c>
      <c r="AB32" s="3">
        <v>85.3</v>
      </c>
      <c r="AC32" s="3">
        <v>0.93140000000000001</v>
      </c>
      <c r="AD32" s="3">
        <f t="shared" si="4"/>
        <v>8.4174361176723238</v>
      </c>
      <c r="AF32" s="3">
        <v>1800</v>
      </c>
      <c r="AG32" s="3">
        <v>96.650099999999995</v>
      </c>
      <c r="AH32" s="3">
        <v>83.3</v>
      </c>
      <c r="AI32" s="3">
        <v>0.92490000000000006</v>
      </c>
      <c r="AJ32" s="3">
        <f t="shared" si="5"/>
        <v>9.9362093199264869</v>
      </c>
      <c r="AL32" s="3">
        <v>1890</v>
      </c>
      <c r="AM32" s="3">
        <v>86.015680000000003</v>
      </c>
      <c r="AN32" s="3">
        <v>84.5</v>
      </c>
      <c r="AO32" s="3">
        <v>0.92390000000000005</v>
      </c>
      <c r="AP32" s="3">
        <f t="shared" si="6"/>
        <v>8.5398852689685114</v>
      </c>
      <c r="AR32" s="3">
        <v>1890</v>
      </c>
      <c r="AS32" s="3">
        <v>61.042450000000002</v>
      </c>
      <c r="AT32" s="3">
        <v>84.8</v>
      </c>
      <c r="AU32" s="3">
        <v>0.92989999999999995</v>
      </c>
      <c r="AV32" s="3">
        <f t="shared" si="7"/>
        <v>8.8073986450155903</v>
      </c>
    </row>
    <row r="33" spans="2:48" x14ac:dyDescent="0.25">
      <c r="B33" s="5">
        <v>1701</v>
      </c>
      <c r="C33" s="5">
        <v>38.670990000000003</v>
      </c>
      <c r="D33" s="5">
        <v>85.7</v>
      </c>
      <c r="E33" s="3">
        <v>0.93969999999999998</v>
      </c>
      <c r="F33" s="3">
        <f t="shared" si="0"/>
        <v>8.8006810684260923</v>
      </c>
      <c r="H33" s="5">
        <v>1701</v>
      </c>
      <c r="I33" s="3">
        <v>64.668080000000003</v>
      </c>
      <c r="J33" s="3">
        <v>86.1</v>
      </c>
      <c r="K33" s="3">
        <v>0.93559999999999999</v>
      </c>
      <c r="L33" s="3">
        <f t="shared" si="1"/>
        <v>7.9734929457032919</v>
      </c>
      <c r="N33" s="3">
        <v>1800</v>
      </c>
      <c r="O33" s="3">
        <v>29.038119999999999</v>
      </c>
      <c r="P33" s="3">
        <v>85.1</v>
      </c>
      <c r="Q33" s="3">
        <v>0.93899999999999995</v>
      </c>
      <c r="R33" s="3">
        <f t="shared" si="2"/>
        <v>9.3716719914802962</v>
      </c>
      <c r="T33" s="5">
        <v>1800</v>
      </c>
      <c r="U33" s="5">
        <v>42.863750000000003</v>
      </c>
      <c r="V33" s="5">
        <v>80.599999999999994</v>
      </c>
      <c r="W33" s="3">
        <v>0.93459999999999999</v>
      </c>
      <c r="X33" s="3">
        <f t="shared" si="3"/>
        <v>13.759897282259795</v>
      </c>
      <c r="Z33" s="3">
        <v>1800</v>
      </c>
      <c r="AA33" s="3">
        <v>67.946399999999997</v>
      </c>
      <c r="AB33" s="3">
        <v>85.8</v>
      </c>
      <c r="AC33" s="3">
        <v>0.93220000000000003</v>
      </c>
      <c r="AD33" s="3">
        <f t="shared" si="4"/>
        <v>7.9596653078738511</v>
      </c>
      <c r="AF33" s="3">
        <v>1800</v>
      </c>
      <c r="AG33" s="3">
        <v>104.211</v>
      </c>
      <c r="AH33" s="3">
        <v>86.2</v>
      </c>
      <c r="AI33" s="3">
        <v>0.92269999999999996</v>
      </c>
      <c r="AJ33" s="3">
        <f t="shared" si="5"/>
        <v>6.5785195621545443</v>
      </c>
      <c r="AL33" s="3">
        <v>1890</v>
      </c>
      <c r="AM33" s="3">
        <v>88.286460000000005</v>
      </c>
      <c r="AN33" s="3">
        <v>84.4</v>
      </c>
      <c r="AO33" s="3">
        <v>0.92320000000000002</v>
      </c>
      <c r="AP33" s="3">
        <f t="shared" si="6"/>
        <v>8.5788561525129907</v>
      </c>
      <c r="AR33" s="3">
        <v>1890</v>
      </c>
      <c r="AS33" s="3">
        <v>60.438589999999998</v>
      </c>
      <c r="AT33" s="3">
        <v>85.1</v>
      </c>
      <c r="AU33" s="3">
        <v>0.92989999999999995</v>
      </c>
      <c r="AV33" s="3">
        <f t="shared" si="7"/>
        <v>8.4847833100333343</v>
      </c>
    </row>
    <row r="34" spans="2:48" x14ac:dyDescent="0.25">
      <c r="B34" s="5">
        <v>1701</v>
      </c>
      <c r="C34" s="5">
        <v>39.533749999999998</v>
      </c>
      <c r="D34" s="5">
        <v>85.6</v>
      </c>
      <c r="E34" s="3">
        <v>0.93930000000000002</v>
      </c>
      <c r="F34" s="3">
        <f t="shared" si="0"/>
        <v>8.8683061854572589</v>
      </c>
      <c r="H34" s="5">
        <v>1701</v>
      </c>
      <c r="I34" s="3">
        <v>62.808230000000002</v>
      </c>
      <c r="J34" s="3">
        <v>86.3</v>
      </c>
      <c r="K34" s="3">
        <v>0.93500000000000005</v>
      </c>
      <c r="L34" s="3">
        <f t="shared" si="1"/>
        <v>7.7005347593582956</v>
      </c>
      <c r="N34" s="3">
        <v>1800</v>
      </c>
      <c r="O34" s="3">
        <v>37.700569999999999</v>
      </c>
      <c r="P34" s="3">
        <v>83.8</v>
      </c>
      <c r="Q34" s="3">
        <v>0.93700000000000006</v>
      </c>
      <c r="R34" s="3">
        <f t="shared" si="2"/>
        <v>10.565635005336189</v>
      </c>
      <c r="T34" s="5">
        <v>1800</v>
      </c>
      <c r="U34" s="5">
        <v>61.569220000000001</v>
      </c>
      <c r="V34" s="5">
        <v>83</v>
      </c>
      <c r="W34" s="3">
        <v>0.93130000000000002</v>
      </c>
      <c r="X34" s="3">
        <f t="shared" si="3"/>
        <v>10.877268334586068</v>
      </c>
      <c r="Z34" s="3">
        <v>1800</v>
      </c>
      <c r="AA34" s="3">
        <v>85.981039999999993</v>
      </c>
      <c r="AB34" s="3">
        <v>84.5</v>
      </c>
      <c r="AC34" s="3">
        <v>0.92920000000000003</v>
      </c>
      <c r="AD34" s="3">
        <f t="shared" si="4"/>
        <v>9.061558329746024</v>
      </c>
      <c r="AF34" s="3">
        <v>1800</v>
      </c>
      <c r="AG34" s="3">
        <v>106.42740000000001</v>
      </c>
      <c r="AH34" s="3">
        <v>84.7</v>
      </c>
      <c r="AI34" s="3">
        <v>0.92210000000000003</v>
      </c>
      <c r="AJ34" s="3">
        <f t="shared" si="5"/>
        <v>8.1444528792972619</v>
      </c>
      <c r="AL34" s="3">
        <v>1890</v>
      </c>
      <c r="AM34" s="3">
        <v>109.199</v>
      </c>
      <c r="AN34" s="3">
        <v>83.5</v>
      </c>
      <c r="AO34" s="3">
        <v>0.91890000000000005</v>
      </c>
      <c r="AP34" s="3">
        <f t="shared" si="6"/>
        <v>9.1304820981608525</v>
      </c>
      <c r="AR34" s="3">
        <v>1890</v>
      </c>
      <c r="AS34" s="3">
        <v>45.579790000000003</v>
      </c>
      <c r="AT34" s="3">
        <v>86.5</v>
      </c>
      <c r="AU34" s="3">
        <v>0.93189999999999995</v>
      </c>
      <c r="AV34" s="3">
        <f t="shared" si="7"/>
        <v>7.1788818542762058</v>
      </c>
    </row>
    <row r="35" spans="2:48" x14ac:dyDescent="0.25">
      <c r="B35" s="5">
        <v>1701</v>
      </c>
      <c r="C35" s="5">
        <v>39.659370000000003</v>
      </c>
      <c r="D35" s="5">
        <v>83.3</v>
      </c>
      <c r="E35" s="3">
        <v>0.93930000000000002</v>
      </c>
      <c r="F35" s="3">
        <f t="shared" si="0"/>
        <v>11.316938145427452</v>
      </c>
      <c r="H35" s="5"/>
      <c r="K35" s="3"/>
      <c r="Q35" s="3"/>
      <c r="W35" s="3"/>
      <c r="AC35" s="3"/>
      <c r="AI35" s="3"/>
      <c r="AO35" s="3"/>
      <c r="AU35" s="3"/>
    </row>
    <row r="36" spans="2:48" x14ac:dyDescent="0.25">
      <c r="B36" s="5">
        <v>1701</v>
      </c>
      <c r="C36" s="5">
        <v>43.990209999999998</v>
      </c>
      <c r="D36" s="5">
        <v>84.1</v>
      </c>
      <c r="E36" s="3">
        <v>0.93720000000000003</v>
      </c>
      <c r="F36" s="3">
        <f t="shared" si="0"/>
        <v>10.264618011096891</v>
      </c>
      <c r="H36" s="5"/>
      <c r="K36" s="3"/>
      <c r="Q36" s="3"/>
      <c r="W36" s="3"/>
      <c r="AC36" s="3"/>
      <c r="AI36" s="3"/>
      <c r="AO36" s="3"/>
      <c r="AU36" s="3"/>
    </row>
    <row r="40" spans="2:48" ht="30" x14ac:dyDescent="0.25">
      <c r="B40" s="6" t="s">
        <v>9</v>
      </c>
      <c r="C40" s="6" t="s">
        <v>80</v>
      </c>
      <c r="D40" s="6" t="s">
        <v>61</v>
      </c>
      <c r="E40" s="6" t="s">
        <v>133</v>
      </c>
      <c r="F40" s="6"/>
    </row>
    <row r="41" spans="2:48" x14ac:dyDescent="0.25">
      <c r="B41" s="5">
        <v>1701</v>
      </c>
      <c r="C41" s="5">
        <v>37.138330000000003</v>
      </c>
      <c r="D41" s="5">
        <v>88.2</v>
      </c>
      <c r="E41" s="3">
        <v>0.94030000000000002</v>
      </c>
      <c r="F41" s="3">
        <f t="shared" ref="F41:F72" si="8">E41*100</f>
        <v>94.03</v>
      </c>
      <c r="G41" s="3">
        <f t="shared" ref="G41:G72" si="9">F41-D41</f>
        <v>5.8299999999999983</v>
      </c>
    </row>
    <row r="42" spans="2:48" x14ac:dyDescent="0.25">
      <c r="B42" s="5">
        <v>1701</v>
      </c>
      <c r="C42" s="3">
        <v>66.133229999999998</v>
      </c>
      <c r="D42" s="3">
        <v>87.6</v>
      </c>
      <c r="E42" s="3">
        <v>0.93610000000000004</v>
      </c>
      <c r="F42" s="3">
        <f t="shared" si="8"/>
        <v>93.61</v>
      </c>
      <c r="G42" s="3">
        <f t="shared" si="9"/>
        <v>6.0100000000000051</v>
      </c>
    </row>
    <row r="43" spans="2:48" x14ac:dyDescent="0.25">
      <c r="B43" s="5">
        <v>1701</v>
      </c>
      <c r="C43" s="3">
        <v>60.734479999999998</v>
      </c>
      <c r="D43" s="3">
        <v>87.4</v>
      </c>
      <c r="E43" s="3">
        <v>0.93440000000000001</v>
      </c>
      <c r="F43" s="3">
        <f t="shared" si="8"/>
        <v>93.44</v>
      </c>
      <c r="G43" s="3">
        <f t="shared" si="9"/>
        <v>6.039999999999992</v>
      </c>
    </row>
    <row r="44" spans="2:48" x14ac:dyDescent="0.25">
      <c r="B44" s="5">
        <v>1701</v>
      </c>
      <c r="C44" s="3">
        <v>56.236719999999998</v>
      </c>
      <c r="D44" s="3">
        <v>87</v>
      </c>
      <c r="E44" s="3">
        <v>0.93369999999999997</v>
      </c>
      <c r="F44" s="3">
        <f t="shared" si="8"/>
        <v>93.37</v>
      </c>
      <c r="G44" s="3">
        <f t="shared" si="9"/>
        <v>6.3700000000000045</v>
      </c>
    </row>
    <row r="45" spans="2:48" x14ac:dyDescent="0.25">
      <c r="B45" s="5">
        <v>1701</v>
      </c>
      <c r="C45" s="3">
        <v>53.38964</v>
      </c>
      <c r="D45" s="3">
        <v>86.9</v>
      </c>
      <c r="E45" s="3">
        <v>0.93389999999999995</v>
      </c>
      <c r="F45" s="3">
        <f t="shared" si="8"/>
        <v>93.39</v>
      </c>
      <c r="G45" s="3">
        <f t="shared" si="9"/>
        <v>6.4899999999999949</v>
      </c>
    </row>
    <row r="46" spans="2:48" x14ac:dyDescent="0.25">
      <c r="B46" s="5">
        <v>1701</v>
      </c>
      <c r="C46" s="3">
        <v>71.453379999999996</v>
      </c>
      <c r="D46" s="3">
        <v>87.3</v>
      </c>
      <c r="E46" s="3">
        <v>0.93799999999999994</v>
      </c>
      <c r="F46" s="3">
        <f t="shared" si="8"/>
        <v>93.8</v>
      </c>
      <c r="G46" s="3">
        <f t="shared" si="9"/>
        <v>6.5</v>
      </c>
    </row>
    <row r="47" spans="2:48" x14ac:dyDescent="0.25">
      <c r="B47" s="5">
        <v>1701</v>
      </c>
      <c r="C47" s="3">
        <v>50.486719999999998</v>
      </c>
      <c r="D47" s="3">
        <v>86.9</v>
      </c>
      <c r="E47" s="3">
        <v>0.9345</v>
      </c>
      <c r="F47" s="3">
        <f t="shared" si="8"/>
        <v>93.45</v>
      </c>
      <c r="G47" s="3">
        <f t="shared" si="9"/>
        <v>6.5499999999999972</v>
      </c>
    </row>
    <row r="48" spans="2:48" x14ac:dyDescent="0.25">
      <c r="B48" s="5">
        <v>1701</v>
      </c>
      <c r="C48" s="3">
        <v>59.201459999999997</v>
      </c>
      <c r="D48" s="3">
        <v>86.7</v>
      </c>
      <c r="E48" s="3">
        <v>0.93400000000000005</v>
      </c>
      <c r="F48" s="3">
        <f t="shared" si="8"/>
        <v>93.4</v>
      </c>
      <c r="G48" s="3">
        <f t="shared" si="9"/>
        <v>6.7000000000000028</v>
      </c>
    </row>
    <row r="49" spans="2:7" x14ac:dyDescent="0.25">
      <c r="B49" s="5">
        <v>1701</v>
      </c>
      <c r="C49" s="3">
        <v>55.495109999999997</v>
      </c>
      <c r="D49" s="3">
        <v>86.5</v>
      </c>
      <c r="E49" s="3">
        <v>0.93369999999999997</v>
      </c>
      <c r="F49" s="3">
        <f t="shared" si="8"/>
        <v>93.37</v>
      </c>
      <c r="G49" s="3">
        <f t="shared" si="9"/>
        <v>6.8700000000000045</v>
      </c>
    </row>
    <row r="50" spans="2:7" x14ac:dyDescent="0.25">
      <c r="B50" s="5">
        <v>1701</v>
      </c>
      <c r="C50" s="3">
        <v>56.629840000000002</v>
      </c>
      <c r="D50" s="3">
        <v>86.5</v>
      </c>
      <c r="E50" s="3">
        <v>0.93369999999999997</v>
      </c>
      <c r="F50" s="3">
        <f t="shared" si="8"/>
        <v>93.37</v>
      </c>
      <c r="G50" s="3">
        <f t="shared" si="9"/>
        <v>6.8700000000000045</v>
      </c>
    </row>
    <row r="51" spans="2:7" x14ac:dyDescent="0.25">
      <c r="B51" s="5">
        <v>1701</v>
      </c>
      <c r="C51" s="3">
        <v>72.270359999999997</v>
      </c>
      <c r="D51" s="3">
        <v>86.9</v>
      </c>
      <c r="E51" s="3">
        <v>0.93820000000000003</v>
      </c>
      <c r="F51" s="3">
        <f t="shared" si="8"/>
        <v>93.820000000000007</v>
      </c>
      <c r="G51" s="3">
        <f t="shared" si="9"/>
        <v>6.9200000000000017</v>
      </c>
    </row>
    <row r="52" spans="2:7" x14ac:dyDescent="0.25">
      <c r="B52" s="5">
        <v>1701</v>
      </c>
      <c r="C52" s="3">
        <v>62.902290000000001</v>
      </c>
      <c r="D52" s="3">
        <v>86.4</v>
      </c>
      <c r="E52" s="3">
        <v>0.93500000000000005</v>
      </c>
      <c r="F52" s="3">
        <f t="shared" si="8"/>
        <v>93.5</v>
      </c>
      <c r="G52" s="3">
        <f t="shared" si="9"/>
        <v>7.0999999999999943</v>
      </c>
    </row>
    <row r="53" spans="2:7" x14ac:dyDescent="0.25">
      <c r="B53" s="5">
        <v>1701</v>
      </c>
      <c r="C53" s="5">
        <v>31.243020000000001</v>
      </c>
      <c r="D53" s="5">
        <v>87</v>
      </c>
      <c r="E53" s="3">
        <v>0.94110000000000005</v>
      </c>
      <c r="F53" s="3">
        <f t="shared" si="8"/>
        <v>94.11</v>
      </c>
      <c r="G53" s="3">
        <f t="shared" si="9"/>
        <v>7.1099999999999994</v>
      </c>
    </row>
    <row r="54" spans="2:7" x14ac:dyDescent="0.25">
      <c r="B54" s="5">
        <v>1701</v>
      </c>
      <c r="C54" s="3">
        <v>62.808230000000002</v>
      </c>
      <c r="D54" s="3">
        <v>86.3</v>
      </c>
      <c r="E54" s="3">
        <v>0.93500000000000005</v>
      </c>
      <c r="F54" s="3">
        <f t="shared" si="8"/>
        <v>93.5</v>
      </c>
      <c r="G54" s="3">
        <f t="shared" si="9"/>
        <v>7.2000000000000028</v>
      </c>
    </row>
    <row r="55" spans="2:7" x14ac:dyDescent="0.25">
      <c r="B55" s="5">
        <v>1701</v>
      </c>
      <c r="C55" s="3">
        <v>59.282809999999998</v>
      </c>
      <c r="D55" s="3">
        <v>86.1</v>
      </c>
      <c r="E55" s="3">
        <v>0.93400000000000005</v>
      </c>
      <c r="F55" s="3">
        <f t="shared" si="8"/>
        <v>93.4</v>
      </c>
      <c r="G55" s="3">
        <f t="shared" si="9"/>
        <v>7.3000000000000114</v>
      </c>
    </row>
    <row r="56" spans="2:7" x14ac:dyDescent="0.25">
      <c r="B56" s="5">
        <v>1701</v>
      </c>
      <c r="C56" s="3">
        <v>64.668080000000003</v>
      </c>
      <c r="D56" s="3">
        <v>86.1</v>
      </c>
      <c r="E56" s="3">
        <v>0.93559999999999999</v>
      </c>
      <c r="F56" s="3">
        <f t="shared" si="8"/>
        <v>93.56</v>
      </c>
      <c r="G56" s="3">
        <f t="shared" si="9"/>
        <v>7.460000000000008</v>
      </c>
    </row>
    <row r="57" spans="2:7" x14ac:dyDescent="0.25">
      <c r="B57" s="5">
        <v>1701</v>
      </c>
      <c r="C57" s="3">
        <v>69.240729999999999</v>
      </c>
      <c r="D57" s="3">
        <v>86.2</v>
      </c>
      <c r="E57" s="3">
        <v>0.93730000000000002</v>
      </c>
      <c r="F57" s="3">
        <f t="shared" si="8"/>
        <v>93.73</v>
      </c>
      <c r="G57" s="3">
        <f t="shared" si="9"/>
        <v>7.5300000000000011</v>
      </c>
    </row>
    <row r="58" spans="2:7" x14ac:dyDescent="0.25">
      <c r="B58" s="5">
        <v>1701</v>
      </c>
      <c r="C58" s="3">
        <v>52.962240000000001</v>
      </c>
      <c r="D58" s="3">
        <v>85.8</v>
      </c>
      <c r="E58" s="3">
        <v>0.93389999999999995</v>
      </c>
      <c r="F58" s="3">
        <f t="shared" si="8"/>
        <v>93.39</v>
      </c>
      <c r="G58" s="3">
        <f t="shared" si="9"/>
        <v>7.5900000000000034</v>
      </c>
    </row>
    <row r="59" spans="2:7" x14ac:dyDescent="0.25">
      <c r="B59" s="5">
        <v>1701</v>
      </c>
      <c r="C59" s="3">
        <v>59.883800000000001</v>
      </c>
      <c r="D59" s="3">
        <v>85.8</v>
      </c>
      <c r="E59" s="3">
        <v>0.93420000000000003</v>
      </c>
      <c r="F59" s="3">
        <f t="shared" si="8"/>
        <v>93.42</v>
      </c>
      <c r="G59" s="3">
        <f t="shared" si="9"/>
        <v>7.6200000000000045</v>
      </c>
    </row>
    <row r="60" spans="2:7" x14ac:dyDescent="0.25">
      <c r="B60" s="5">
        <v>1701</v>
      </c>
      <c r="C60" s="5">
        <v>38.2301</v>
      </c>
      <c r="D60" s="5">
        <v>86.3</v>
      </c>
      <c r="E60" s="3">
        <v>0.93989999999999996</v>
      </c>
      <c r="F60" s="3">
        <f t="shared" si="8"/>
        <v>93.99</v>
      </c>
      <c r="G60" s="3">
        <f t="shared" si="9"/>
        <v>7.6899999999999977</v>
      </c>
    </row>
    <row r="61" spans="2:7" x14ac:dyDescent="0.25">
      <c r="B61" s="5">
        <v>1701</v>
      </c>
      <c r="C61" s="3">
        <v>65.155779999999993</v>
      </c>
      <c r="D61" s="3">
        <v>85.7</v>
      </c>
      <c r="E61" s="3">
        <v>0.93579999999999997</v>
      </c>
      <c r="F61" s="3">
        <f t="shared" si="8"/>
        <v>93.58</v>
      </c>
      <c r="G61" s="3">
        <f t="shared" si="9"/>
        <v>7.8799999999999955</v>
      </c>
    </row>
    <row r="62" spans="2:7" x14ac:dyDescent="0.25">
      <c r="B62" s="5">
        <v>1701</v>
      </c>
      <c r="C62" s="3">
        <v>70.328490000000002</v>
      </c>
      <c r="D62" s="3">
        <v>85.7</v>
      </c>
      <c r="E62" s="3">
        <v>0.93759999999999999</v>
      </c>
      <c r="F62" s="3">
        <f t="shared" si="8"/>
        <v>93.76</v>
      </c>
      <c r="G62" s="3">
        <f t="shared" si="9"/>
        <v>8.0600000000000023</v>
      </c>
    </row>
    <row r="63" spans="2:7" x14ac:dyDescent="0.25">
      <c r="B63" s="5">
        <v>1701</v>
      </c>
      <c r="C63" s="3">
        <v>48.487810000000003</v>
      </c>
      <c r="D63" s="3">
        <v>85.4</v>
      </c>
      <c r="E63" s="3">
        <v>0.93520000000000003</v>
      </c>
      <c r="F63" s="3">
        <f t="shared" si="8"/>
        <v>93.52000000000001</v>
      </c>
      <c r="G63" s="3">
        <f t="shared" si="9"/>
        <v>8.1200000000000045</v>
      </c>
    </row>
    <row r="64" spans="2:7" x14ac:dyDescent="0.25">
      <c r="B64" s="5">
        <v>1701</v>
      </c>
      <c r="C64" s="5">
        <v>37.867190000000001</v>
      </c>
      <c r="D64" s="5">
        <v>85.8</v>
      </c>
      <c r="E64" s="3">
        <v>0.94</v>
      </c>
      <c r="F64" s="3">
        <f t="shared" si="8"/>
        <v>94</v>
      </c>
      <c r="G64" s="3">
        <f t="shared" si="9"/>
        <v>8.2000000000000028</v>
      </c>
    </row>
    <row r="65" spans="2:7" x14ac:dyDescent="0.25">
      <c r="B65" s="5">
        <v>1701</v>
      </c>
      <c r="C65" s="5">
        <v>38.670990000000003</v>
      </c>
      <c r="D65" s="5">
        <v>85.7</v>
      </c>
      <c r="E65" s="3">
        <v>0.93969999999999998</v>
      </c>
      <c r="F65" s="3">
        <f t="shared" si="8"/>
        <v>93.97</v>
      </c>
      <c r="G65" s="3">
        <f t="shared" si="9"/>
        <v>8.269999999999996</v>
      </c>
    </row>
    <row r="66" spans="2:7" x14ac:dyDescent="0.25">
      <c r="B66" s="5">
        <v>1701</v>
      </c>
      <c r="C66" s="5">
        <v>39.533749999999998</v>
      </c>
      <c r="D66" s="5">
        <v>85.6</v>
      </c>
      <c r="E66" s="3">
        <v>0.93930000000000002</v>
      </c>
      <c r="F66" s="3">
        <f t="shared" si="8"/>
        <v>93.93</v>
      </c>
      <c r="G66" s="3">
        <f t="shared" si="9"/>
        <v>8.3300000000000125</v>
      </c>
    </row>
    <row r="67" spans="2:7" x14ac:dyDescent="0.25">
      <c r="B67" s="5">
        <v>1701</v>
      </c>
      <c r="C67" s="5">
        <v>32.109380000000002</v>
      </c>
      <c r="D67" s="5">
        <v>85.7</v>
      </c>
      <c r="E67" s="3">
        <v>0.94120000000000004</v>
      </c>
      <c r="F67" s="3">
        <f t="shared" si="8"/>
        <v>94.12</v>
      </c>
      <c r="G67" s="3">
        <f t="shared" si="9"/>
        <v>8.4200000000000017</v>
      </c>
    </row>
    <row r="68" spans="2:7" x14ac:dyDescent="0.25">
      <c r="B68" s="5">
        <v>1701</v>
      </c>
      <c r="C68" s="3">
        <v>75.068070000000006</v>
      </c>
      <c r="D68" s="3">
        <v>85.4</v>
      </c>
      <c r="E68" s="3">
        <v>0.93859999999999999</v>
      </c>
      <c r="F68" s="3">
        <f t="shared" si="8"/>
        <v>93.86</v>
      </c>
      <c r="G68" s="3">
        <f t="shared" si="9"/>
        <v>8.4599999999999937</v>
      </c>
    </row>
    <row r="69" spans="2:7" x14ac:dyDescent="0.25">
      <c r="B69" s="5">
        <v>1701</v>
      </c>
      <c r="C69" s="3">
        <v>56.076099999999997</v>
      </c>
      <c r="D69" s="3">
        <v>84.9</v>
      </c>
      <c r="E69" s="3">
        <v>0.93369999999999997</v>
      </c>
      <c r="F69" s="3">
        <f t="shared" si="8"/>
        <v>93.37</v>
      </c>
      <c r="G69" s="3">
        <f t="shared" si="9"/>
        <v>8.4699999999999989</v>
      </c>
    </row>
    <row r="70" spans="2:7" x14ac:dyDescent="0.25">
      <c r="B70" s="5">
        <v>1701</v>
      </c>
      <c r="C70" s="5">
        <v>27.99531</v>
      </c>
      <c r="D70" s="5">
        <v>85.3</v>
      </c>
      <c r="E70" s="3">
        <v>0.94040000000000001</v>
      </c>
      <c r="F70" s="3">
        <f t="shared" si="8"/>
        <v>94.04</v>
      </c>
      <c r="G70" s="3">
        <f t="shared" si="9"/>
        <v>8.7400000000000091</v>
      </c>
    </row>
    <row r="71" spans="2:7" x14ac:dyDescent="0.25">
      <c r="B71" s="5">
        <v>1701</v>
      </c>
      <c r="C71" s="3">
        <v>46.400680000000001</v>
      </c>
      <c r="D71" s="3">
        <v>84.8</v>
      </c>
      <c r="E71" s="3">
        <v>0.93610000000000004</v>
      </c>
      <c r="F71" s="3">
        <f t="shared" si="8"/>
        <v>93.61</v>
      </c>
      <c r="G71" s="3">
        <f t="shared" si="9"/>
        <v>8.8100000000000023</v>
      </c>
    </row>
    <row r="72" spans="2:7" x14ac:dyDescent="0.25">
      <c r="B72" s="5">
        <v>1701</v>
      </c>
      <c r="C72" s="5">
        <v>37.202500000000001</v>
      </c>
      <c r="D72" s="5">
        <v>85.1</v>
      </c>
      <c r="E72" s="3">
        <v>0.94020000000000004</v>
      </c>
      <c r="F72" s="3">
        <f t="shared" si="8"/>
        <v>94.02000000000001</v>
      </c>
      <c r="G72" s="3">
        <f t="shared" si="9"/>
        <v>8.9200000000000159</v>
      </c>
    </row>
    <row r="73" spans="2:7" x14ac:dyDescent="0.25">
      <c r="B73" s="5">
        <v>1701</v>
      </c>
      <c r="C73" s="5">
        <v>30.542079999999999</v>
      </c>
      <c r="D73" s="5">
        <v>85</v>
      </c>
      <c r="E73" s="3">
        <v>0.94099999999999995</v>
      </c>
      <c r="F73" s="3">
        <f t="shared" ref="F73:F102" si="10">E73*100</f>
        <v>94.1</v>
      </c>
      <c r="G73" s="3">
        <f t="shared" ref="G73:G102" si="11">F73-D73</f>
        <v>9.0999999999999943</v>
      </c>
    </row>
    <row r="74" spans="2:7" x14ac:dyDescent="0.25">
      <c r="B74" s="5">
        <v>1701</v>
      </c>
      <c r="C74" s="5">
        <v>37.179009999999998</v>
      </c>
      <c r="D74" s="5">
        <v>84.9</v>
      </c>
      <c r="E74" s="3">
        <v>0.94030000000000002</v>
      </c>
      <c r="F74" s="3">
        <f t="shared" si="10"/>
        <v>94.03</v>
      </c>
      <c r="G74" s="3">
        <f t="shared" si="11"/>
        <v>9.1299999999999955</v>
      </c>
    </row>
    <row r="75" spans="2:7" x14ac:dyDescent="0.25">
      <c r="B75" s="5">
        <v>1701</v>
      </c>
      <c r="C75" s="3">
        <v>53.953069999999997</v>
      </c>
      <c r="D75" s="3">
        <v>84</v>
      </c>
      <c r="E75" s="3">
        <v>0.93379999999999996</v>
      </c>
      <c r="F75" s="3">
        <f t="shared" si="10"/>
        <v>93.38</v>
      </c>
      <c r="G75" s="3">
        <f t="shared" si="11"/>
        <v>9.3799999999999955</v>
      </c>
    </row>
    <row r="76" spans="2:7" x14ac:dyDescent="0.25">
      <c r="B76" s="5">
        <v>1701</v>
      </c>
      <c r="C76" s="5">
        <v>25.58474</v>
      </c>
      <c r="D76" s="5">
        <v>84.5</v>
      </c>
      <c r="E76" s="3">
        <v>0.93920000000000003</v>
      </c>
      <c r="F76" s="3">
        <f t="shared" si="10"/>
        <v>93.92</v>
      </c>
      <c r="G76" s="3">
        <f t="shared" si="11"/>
        <v>9.4200000000000017</v>
      </c>
    </row>
    <row r="77" spans="2:7" x14ac:dyDescent="0.25">
      <c r="B77" s="5">
        <v>1701</v>
      </c>
      <c r="C77" s="3">
        <v>69.159639999999996</v>
      </c>
      <c r="D77" s="3">
        <v>84.2</v>
      </c>
      <c r="E77" s="3">
        <v>0.93730000000000002</v>
      </c>
      <c r="F77" s="3">
        <f t="shared" si="10"/>
        <v>93.73</v>
      </c>
      <c r="G77" s="3">
        <f t="shared" si="11"/>
        <v>9.5300000000000011</v>
      </c>
    </row>
    <row r="78" spans="2:7" x14ac:dyDescent="0.25">
      <c r="B78" s="5">
        <v>1701</v>
      </c>
      <c r="C78" s="5">
        <v>23.761199999999999</v>
      </c>
      <c r="D78" s="5">
        <v>84.2</v>
      </c>
      <c r="E78" s="3">
        <v>0.93799999999999994</v>
      </c>
      <c r="F78" s="3">
        <f t="shared" si="10"/>
        <v>93.8</v>
      </c>
      <c r="G78" s="3">
        <f t="shared" si="11"/>
        <v>9.5999999999999943</v>
      </c>
    </row>
    <row r="79" spans="2:7" x14ac:dyDescent="0.25">
      <c r="B79" s="5">
        <v>1701</v>
      </c>
      <c r="C79" s="5">
        <v>43.990209999999998</v>
      </c>
      <c r="D79" s="5">
        <v>84.1</v>
      </c>
      <c r="E79" s="3">
        <v>0.93720000000000003</v>
      </c>
      <c r="F79" s="3">
        <f t="shared" si="10"/>
        <v>93.72</v>
      </c>
      <c r="G79" s="3">
        <f t="shared" si="11"/>
        <v>9.6200000000000045</v>
      </c>
    </row>
    <row r="80" spans="2:7" x14ac:dyDescent="0.25">
      <c r="B80" s="5">
        <v>1701</v>
      </c>
      <c r="C80" s="5">
        <v>35.448120000000003</v>
      </c>
      <c r="D80" s="5">
        <v>84.4</v>
      </c>
      <c r="E80" s="3">
        <v>0.94079999999999997</v>
      </c>
      <c r="F80" s="3">
        <f t="shared" si="10"/>
        <v>94.08</v>
      </c>
      <c r="G80" s="3">
        <f t="shared" si="11"/>
        <v>9.6799999999999926</v>
      </c>
    </row>
    <row r="81" spans="2:7" x14ac:dyDescent="0.25">
      <c r="B81" s="5">
        <v>1701</v>
      </c>
      <c r="C81" s="3">
        <v>47.856929999999998</v>
      </c>
      <c r="D81" s="3">
        <v>83.6</v>
      </c>
      <c r="E81" s="3">
        <v>0.93540000000000001</v>
      </c>
      <c r="F81" s="3">
        <f t="shared" si="10"/>
        <v>93.54</v>
      </c>
      <c r="G81" s="3">
        <f t="shared" si="11"/>
        <v>9.9400000000000119</v>
      </c>
    </row>
    <row r="82" spans="2:7" x14ac:dyDescent="0.25">
      <c r="B82" s="5">
        <v>1701</v>
      </c>
      <c r="C82" s="3">
        <v>74.369119999999995</v>
      </c>
      <c r="D82" s="3">
        <v>83.8</v>
      </c>
      <c r="E82" s="3">
        <v>0.93859999999999999</v>
      </c>
      <c r="F82" s="3">
        <f t="shared" si="10"/>
        <v>93.86</v>
      </c>
      <c r="G82" s="3">
        <f t="shared" si="11"/>
        <v>10.060000000000002</v>
      </c>
    </row>
    <row r="83" spans="2:7" x14ac:dyDescent="0.25">
      <c r="B83" s="5">
        <v>1701</v>
      </c>
      <c r="C83" s="5">
        <v>22.317080000000001</v>
      </c>
      <c r="D83" s="5">
        <v>83.5</v>
      </c>
      <c r="E83" s="3">
        <v>0.93689999999999996</v>
      </c>
      <c r="F83" s="3">
        <f t="shared" si="10"/>
        <v>93.69</v>
      </c>
      <c r="G83" s="3">
        <f t="shared" si="11"/>
        <v>10.189999999999998</v>
      </c>
    </row>
    <row r="84" spans="2:7" x14ac:dyDescent="0.25">
      <c r="B84" s="5">
        <v>1701</v>
      </c>
      <c r="C84" s="5">
        <v>29.851040000000001</v>
      </c>
      <c r="D84" s="5">
        <v>83.7</v>
      </c>
      <c r="E84" s="3">
        <v>0.94089999999999996</v>
      </c>
      <c r="F84" s="3">
        <f t="shared" si="10"/>
        <v>94.089999999999989</v>
      </c>
      <c r="G84" s="3">
        <f t="shared" si="11"/>
        <v>10.389999999999986</v>
      </c>
    </row>
    <row r="85" spans="2:7" x14ac:dyDescent="0.25">
      <c r="B85" s="5">
        <v>1701</v>
      </c>
      <c r="C85" s="5">
        <v>18.6938</v>
      </c>
      <c r="D85" s="5">
        <v>82.9</v>
      </c>
      <c r="E85" s="3">
        <v>0.93330000000000002</v>
      </c>
      <c r="F85" s="3">
        <f t="shared" si="10"/>
        <v>93.33</v>
      </c>
      <c r="G85" s="3">
        <f t="shared" si="11"/>
        <v>10.429999999999993</v>
      </c>
    </row>
    <row r="86" spans="2:7" x14ac:dyDescent="0.25">
      <c r="B86" s="5">
        <v>1701</v>
      </c>
      <c r="C86" s="3">
        <v>61.454009999999997</v>
      </c>
      <c r="D86" s="3">
        <v>83</v>
      </c>
      <c r="E86" s="3">
        <v>0.93459999999999999</v>
      </c>
      <c r="F86" s="3">
        <f t="shared" si="10"/>
        <v>93.46</v>
      </c>
      <c r="G86" s="3">
        <f t="shared" si="11"/>
        <v>10.459999999999994</v>
      </c>
    </row>
    <row r="87" spans="2:7" x14ac:dyDescent="0.25">
      <c r="B87" s="5">
        <v>1701</v>
      </c>
      <c r="C87" s="5">
        <v>17.748069999999998</v>
      </c>
      <c r="D87" s="5">
        <v>82.6</v>
      </c>
      <c r="E87" s="3">
        <v>0.93220000000000003</v>
      </c>
      <c r="F87" s="3">
        <f t="shared" si="10"/>
        <v>93.22</v>
      </c>
      <c r="G87" s="3">
        <f t="shared" si="11"/>
        <v>10.620000000000005</v>
      </c>
    </row>
    <row r="88" spans="2:7" x14ac:dyDescent="0.25">
      <c r="B88" s="5">
        <v>1701</v>
      </c>
      <c r="C88" s="5">
        <v>39.659370000000003</v>
      </c>
      <c r="D88" s="5">
        <v>83.3</v>
      </c>
      <c r="E88" s="3">
        <v>0.93930000000000002</v>
      </c>
      <c r="F88" s="3">
        <f t="shared" si="10"/>
        <v>93.93</v>
      </c>
      <c r="G88" s="3">
        <f t="shared" si="11"/>
        <v>10.63000000000001</v>
      </c>
    </row>
    <row r="89" spans="2:7" x14ac:dyDescent="0.25">
      <c r="B89" s="5">
        <v>1701</v>
      </c>
      <c r="C89" s="5">
        <v>21.08531</v>
      </c>
      <c r="D89" s="5">
        <v>82.6</v>
      </c>
      <c r="E89" s="3">
        <v>0.93569999999999998</v>
      </c>
      <c r="F89" s="3">
        <f t="shared" si="10"/>
        <v>93.57</v>
      </c>
      <c r="G89" s="3">
        <f t="shared" si="11"/>
        <v>10.969999999999999</v>
      </c>
    </row>
    <row r="90" spans="2:7" x14ac:dyDescent="0.25">
      <c r="B90" s="5">
        <v>1701</v>
      </c>
      <c r="C90" s="3">
        <v>56.68385</v>
      </c>
      <c r="D90" s="3">
        <v>82.1</v>
      </c>
      <c r="E90" s="3">
        <v>0.93369999999999997</v>
      </c>
      <c r="F90" s="3">
        <f t="shared" si="10"/>
        <v>93.37</v>
      </c>
      <c r="G90" s="3">
        <f t="shared" si="11"/>
        <v>11.27000000000001</v>
      </c>
    </row>
    <row r="91" spans="2:7" x14ac:dyDescent="0.25">
      <c r="B91" s="5">
        <v>1701</v>
      </c>
      <c r="C91" s="3">
        <v>67.335620000000006</v>
      </c>
      <c r="D91" s="3">
        <v>82.2</v>
      </c>
      <c r="E91" s="3">
        <v>0.93659999999999999</v>
      </c>
      <c r="F91" s="3">
        <f t="shared" si="10"/>
        <v>93.66</v>
      </c>
      <c r="G91" s="3">
        <f t="shared" si="11"/>
        <v>11.459999999999994</v>
      </c>
    </row>
    <row r="92" spans="2:7" x14ac:dyDescent="0.25">
      <c r="B92" s="5">
        <v>1701</v>
      </c>
      <c r="C92" s="5">
        <v>25.626619999999999</v>
      </c>
      <c r="D92" s="5">
        <v>82.4</v>
      </c>
      <c r="E92" s="3">
        <v>0.93930000000000002</v>
      </c>
      <c r="F92" s="3">
        <f t="shared" si="10"/>
        <v>93.93</v>
      </c>
      <c r="G92" s="3">
        <f t="shared" si="11"/>
        <v>11.530000000000001</v>
      </c>
    </row>
    <row r="93" spans="2:7" x14ac:dyDescent="0.25">
      <c r="B93" s="5">
        <v>1701</v>
      </c>
      <c r="C93" s="5">
        <v>19.22823</v>
      </c>
      <c r="D93" s="5">
        <v>81.7</v>
      </c>
      <c r="E93" s="3">
        <v>0.93379999999999996</v>
      </c>
      <c r="F93" s="3">
        <f t="shared" si="10"/>
        <v>93.38</v>
      </c>
      <c r="G93" s="3">
        <f t="shared" si="11"/>
        <v>11.679999999999993</v>
      </c>
    </row>
    <row r="94" spans="2:7" x14ac:dyDescent="0.25">
      <c r="B94" s="5">
        <v>1701</v>
      </c>
      <c r="C94" s="5">
        <v>35.484999999999999</v>
      </c>
      <c r="D94" s="5">
        <v>82.3</v>
      </c>
      <c r="E94" s="3">
        <v>0.94069999999999998</v>
      </c>
      <c r="F94" s="3">
        <f t="shared" si="10"/>
        <v>94.07</v>
      </c>
      <c r="G94" s="3">
        <f t="shared" si="11"/>
        <v>11.769999999999996</v>
      </c>
    </row>
    <row r="95" spans="2:7" x14ac:dyDescent="0.25">
      <c r="B95" s="5">
        <v>1701</v>
      </c>
      <c r="C95" s="5">
        <v>29.588280000000001</v>
      </c>
      <c r="D95" s="5">
        <v>82.2</v>
      </c>
      <c r="E95" s="3">
        <v>0.94089999999999996</v>
      </c>
      <c r="F95" s="3">
        <f t="shared" si="10"/>
        <v>94.089999999999989</v>
      </c>
      <c r="G95" s="3">
        <f t="shared" si="11"/>
        <v>11.889999999999986</v>
      </c>
    </row>
    <row r="96" spans="2:7" x14ac:dyDescent="0.25">
      <c r="B96" s="5">
        <v>1701</v>
      </c>
      <c r="C96" s="5">
        <v>21.843070000000001</v>
      </c>
      <c r="D96" s="5">
        <v>81</v>
      </c>
      <c r="E96" s="3">
        <v>0.93640000000000001</v>
      </c>
      <c r="F96" s="3">
        <f t="shared" si="10"/>
        <v>93.64</v>
      </c>
      <c r="G96" s="3">
        <f t="shared" si="11"/>
        <v>12.64</v>
      </c>
    </row>
    <row r="97" spans="2:7" x14ac:dyDescent="0.25">
      <c r="B97" s="5">
        <v>1701</v>
      </c>
      <c r="C97" s="5">
        <v>21.350989999999999</v>
      </c>
      <c r="D97" s="5">
        <v>80.7</v>
      </c>
      <c r="E97" s="3">
        <v>0.93600000000000005</v>
      </c>
      <c r="F97" s="3">
        <f t="shared" si="10"/>
        <v>93.600000000000009</v>
      </c>
      <c r="G97" s="3">
        <f t="shared" si="11"/>
        <v>12.900000000000006</v>
      </c>
    </row>
    <row r="98" spans="2:7" x14ac:dyDescent="0.25">
      <c r="B98" s="5">
        <v>1701</v>
      </c>
      <c r="C98" s="5">
        <v>24.429690000000001</v>
      </c>
      <c r="D98" s="5">
        <v>80.099999999999994</v>
      </c>
      <c r="E98" s="3">
        <v>0.9385</v>
      </c>
      <c r="F98" s="3">
        <f t="shared" si="10"/>
        <v>93.85</v>
      </c>
      <c r="G98" s="3">
        <f t="shared" si="11"/>
        <v>13.75</v>
      </c>
    </row>
    <row r="99" spans="2:7" x14ac:dyDescent="0.25">
      <c r="B99" s="5">
        <v>1701</v>
      </c>
      <c r="C99" s="5">
        <v>28.902550000000002</v>
      </c>
      <c r="D99" s="5">
        <v>80.3</v>
      </c>
      <c r="E99" s="3">
        <v>0.94069999999999998</v>
      </c>
      <c r="F99" s="3">
        <f t="shared" si="10"/>
        <v>94.07</v>
      </c>
      <c r="G99" s="3">
        <f t="shared" si="11"/>
        <v>13.769999999999996</v>
      </c>
    </row>
    <row r="100" spans="2:7" x14ac:dyDescent="0.25">
      <c r="B100" s="5">
        <v>1701</v>
      </c>
      <c r="C100" s="5">
        <v>27.497859999999999</v>
      </c>
      <c r="D100" s="5">
        <v>79.599999999999994</v>
      </c>
      <c r="E100" s="3">
        <v>0.94020000000000004</v>
      </c>
      <c r="F100" s="3">
        <f t="shared" si="10"/>
        <v>94.02000000000001</v>
      </c>
      <c r="G100" s="3">
        <f t="shared" si="11"/>
        <v>14.420000000000016</v>
      </c>
    </row>
    <row r="101" spans="2:7" x14ac:dyDescent="0.25">
      <c r="B101" s="5">
        <v>1701</v>
      </c>
      <c r="C101" s="5">
        <v>19.929839999999999</v>
      </c>
      <c r="D101" s="5">
        <v>77.2</v>
      </c>
      <c r="E101" s="3">
        <v>0.93459999999999999</v>
      </c>
      <c r="F101" s="3">
        <f t="shared" si="10"/>
        <v>93.46</v>
      </c>
      <c r="G101" s="3">
        <f t="shared" si="11"/>
        <v>16.259999999999991</v>
      </c>
    </row>
    <row r="102" spans="2:7" x14ac:dyDescent="0.25">
      <c r="B102" s="5">
        <v>1701</v>
      </c>
      <c r="C102" s="5">
        <v>21.540569999999999</v>
      </c>
      <c r="D102" s="5">
        <v>76</v>
      </c>
      <c r="E102" s="3">
        <v>0.93620000000000003</v>
      </c>
      <c r="F102" s="3">
        <f t="shared" si="10"/>
        <v>93.62</v>
      </c>
      <c r="G102" s="3">
        <f t="shared" si="11"/>
        <v>17.620000000000005</v>
      </c>
    </row>
    <row r="103" spans="2:7" x14ac:dyDescent="0.25">
      <c r="D103" s="5"/>
      <c r="E103" s="5"/>
      <c r="F103" s="5"/>
    </row>
    <row r="104" spans="2:7" x14ac:dyDescent="0.25">
      <c r="D104" s="5"/>
      <c r="E104" s="5"/>
      <c r="F104" s="5"/>
    </row>
    <row r="105" spans="2:7" x14ac:dyDescent="0.25">
      <c r="D105" s="5"/>
      <c r="E105" s="5"/>
      <c r="F105" s="5"/>
    </row>
    <row r="106" spans="2:7" x14ac:dyDescent="0.25">
      <c r="D106" s="5"/>
      <c r="E106" s="5"/>
      <c r="F106" s="5"/>
    </row>
    <row r="107" spans="2:7" x14ac:dyDescent="0.25">
      <c r="D107" s="5"/>
      <c r="E107" s="5"/>
      <c r="F107" s="5"/>
    </row>
    <row r="108" spans="2:7" x14ac:dyDescent="0.25">
      <c r="D108" s="5"/>
      <c r="E108" s="5"/>
      <c r="F108" s="5"/>
    </row>
    <row r="109" spans="2:7" x14ac:dyDescent="0.25">
      <c r="D109" s="5"/>
      <c r="E109" s="5"/>
      <c r="F109" s="5"/>
    </row>
    <row r="110" spans="2:7" x14ac:dyDescent="0.25">
      <c r="D110" s="5"/>
      <c r="E110" s="5"/>
      <c r="F110" s="5"/>
    </row>
    <row r="111" spans="2:7" x14ac:dyDescent="0.25">
      <c r="D111" s="5"/>
      <c r="E111" s="5"/>
      <c r="F111" s="5"/>
    </row>
    <row r="112" spans="2:7" x14ac:dyDescent="0.25">
      <c r="D112" s="5"/>
      <c r="E112" s="5"/>
      <c r="F112" s="5"/>
    </row>
    <row r="113" spans="4:6" x14ac:dyDescent="0.25">
      <c r="D113" s="5"/>
      <c r="E113" s="5"/>
      <c r="F113" s="5"/>
    </row>
    <row r="114" spans="4:6" x14ac:dyDescent="0.25">
      <c r="D114" s="5"/>
      <c r="E114" s="5"/>
      <c r="F114" s="5"/>
    </row>
    <row r="115" spans="4:6" x14ac:dyDescent="0.25">
      <c r="D115" s="5"/>
      <c r="E115" s="5"/>
      <c r="F115" s="5"/>
    </row>
    <row r="116" spans="4:6" x14ac:dyDescent="0.25">
      <c r="D116" s="5"/>
      <c r="E116" s="5"/>
      <c r="F116" s="5"/>
    </row>
    <row r="117" spans="4:6" x14ac:dyDescent="0.25">
      <c r="D117" s="5"/>
      <c r="E117" s="5"/>
      <c r="F117" s="5"/>
    </row>
    <row r="118" spans="4:6" x14ac:dyDescent="0.25">
      <c r="D118" s="5"/>
      <c r="E118" s="5"/>
      <c r="F118" s="5"/>
    </row>
    <row r="119" spans="4:6" x14ac:dyDescent="0.25">
      <c r="D119" s="5"/>
      <c r="E119" s="5"/>
      <c r="F119" s="5"/>
    </row>
    <row r="120" spans="4:6" x14ac:dyDescent="0.25">
      <c r="D120" s="5"/>
      <c r="E120" s="5"/>
      <c r="F120" s="5"/>
    </row>
    <row r="121" spans="4:6" x14ac:dyDescent="0.25">
      <c r="D121" s="5"/>
      <c r="E121" s="5"/>
      <c r="F121" s="5"/>
    </row>
    <row r="122" spans="4:6" x14ac:dyDescent="0.25">
      <c r="D122" s="5"/>
      <c r="E122" s="5"/>
      <c r="F122" s="5"/>
    </row>
    <row r="123" spans="4:6" x14ac:dyDescent="0.25">
      <c r="D123" s="5"/>
      <c r="E123" s="5"/>
      <c r="F123" s="5"/>
    </row>
    <row r="124" spans="4:6" x14ac:dyDescent="0.25">
      <c r="D124" s="5"/>
      <c r="E124" s="5"/>
      <c r="F124" s="5"/>
    </row>
    <row r="125" spans="4:6" x14ac:dyDescent="0.25">
      <c r="D125" s="5"/>
      <c r="E125" s="5"/>
      <c r="F125" s="5"/>
    </row>
    <row r="126" spans="4:6" x14ac:dyDescent="0.25">
      <c r="D126" s="5"/>
      <c r="E126" s="5"/>
      <c r="F126" s="5"/>
    </row>
    <row r="127" spans="4:6" x14ac:dyDescent="0.25">
      <c r="D127" s="5"/>
      <c r="E127" s="5"/>
      <c r="F127" s="5"/>
    </row>
    <row r="128" spans="4:6" x14ac:dyDescent="0.25">
      <c r="D128" s="5"/>
      <c r="E128" s="5"/>
      <c r="F128" s="5"/>
    </row>
    <row r="129" spans="4:6" x14ac:dyDescent="0.25">
      <c r="D129" s="5"/>
      <c r="E129" s="5"/>
      <c r="F129" s="5"/>
    </row>
    <row r="130" spans="4:6" x14ac:dyDescent="0.25">
      <c r="D130" s="5"/>
      <c r="E130" s="5"/>
      <c r="F130" s="5"/>
    </row>
    <row r="131" spans="4:6" x14ac:dyDescent="0.25">
      <c r="D131" s="5"/>
      <c r="E131" s="5"/>
      <c r="F131" s="5"/>
    </row>
    <row r="132" spans="4:6" x14ac:dyDescent="0.25">
      <c r="D132" s="5"/>
      <c r="E132" s="5"/>
      <c r="F132" s="5"/>
    </row>
  </sheetData>
  <sortState ref="B41:G102">
    <sortCondition ref="G41:G102"/>
  </sortState>
  <mergeCells count="8">
    <mergeCell ref="AF3:AJ3"/>
    <mergeCell ref="AL3:AP3"/>
    <mergeCell ref="AR3:AV3"/>
    <mergeCell ref="H3:L3"/>
    <mergeCell ref="B3:F3"/>
    <mergeCell ref="N3:R3"/>
    <mergeCell ref="T3:X3"/>
    <mergeCell ref="Z3:AD3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5"/>
  <sheetViews>
    <sheetView workbookViewId="0">
      <selection activeCell="M5" sqref="M5:M6"/>
    </sheetView>
  </sheetViews>
  <sheetFormatPr defaultRowHeight="15" x14ac:dyDescent="0.25"/>
  <cols>
    <col min="1" max="16384" width="9.140625" style="5"/>
  </cols>
  <sheetData>
    <row r="2" spans="1:21" x14ac:dyDescent="0.25">
      <c r="A2" s="5" t="s">
        <v>136</v>
      </c>
    </row>
    <row r="3" spans="1:21" s="6" customFormat="1" ht="60" x14ac:dyDescent="0.25">
      <c r="A3" s="6" t="s">
        <v>5</v>
      </c>
      <c r="B3" s="6" t="s">
        <v>11</v>
      </c>
      <c r="C3" s="6" t="s">
        <v>12</v>
      </c>
      <c r="D3" s="6" t="s">
        <v>34</v>
      </c>
      <c r="E3" s="6" t="s">
        <v>35</v>
      </c>
      <c r="F3" s="6" t="s">
        <v>38</v>
      </c>
      <c r="G3" s="6" t="s">
        <v>44</v>
      </c>
      <c r="H3" s="6" t="s">
        <v>48</v>
      </c>
      <c r="I3" s="6" t="s">
        <v>112</v>
      </c>
      <c r="J3" s="6" t="s">
        <v>60</v>
      </c>
      <c r="K3" s="6" t="s">
        <v>59</v>
      </c>
    </row>
    <row r="4" spans="1:21" x14ac:dyDescent="0.25">
      <c r="A4" s="5">
        <v>648</v>
      </c>
      <c r="B4" s="5">
        <v>24</v>
      </c>
      <c r="C4" s="5">
        <v>0.1</v>
      </c>
      <c r="D4" s="5">
        <v>82</v>
      </c>
      <c r="E4" s="5">
        <v>115.82</v>
      </c>
      <c r="F4" s="5">
        <v>577.33000000000004</v>
      </c>
      <c r="G4" s="5">
        <v>37.53</v>
      </c>
      <c r="H4" s="5">
        <v>0.123</v>
      </c>
      <c r="I4" s="5">
        <v>3.826365300521815</v>
      </c>
      <c r="J4" s="5">
        <v>24.7</v>
      </c>
      <c r="K4" s="5">
        <v>223.1</v>
      </c>
    </row>
    <row r="5" spans="1:21" x14ac:dyDescent="0.25">
      <c r="A5" s="5">
        <v>545</v>
      </c>
      <c r="B5" s="5">
        <v>48</v>
      </c>
      <c r="C5" s="5">
        <v>0.22</v>
      </c>
      <c r="D5" s="5">
        <v>87.07</v>
      </c>
      <c r="E5" s="5">
        <v>120.35</v>
      </c>
      <c r="F5" s="5">
        <v>521.79999999999995</v>
      </c>
      <c r="G5" s="5">
        <v>56.91</v>
      </c>
      <c r="H5" s="5">
        <v>0.374</v>
      </c>
      <c r="I5" s="5">
        <v>1.4172669896275332</v>
      </c>
      <c r="J5" s="5">
        <v>26.3</v>
      </c>
      <c r="K5" s="5">
        <v>236.8</v>
      </c>
    </row>
    <row r="6" spans="1:21" x14ac:dyDescent="0.25">
      <c r="A6" s="5">
        <v>760</v>
      </c>
      <c r="B6" s="5">
        <v>19</v>
      </c>
      <c r="C6" s="5">
        <v>0.17</v>
      </c>
      <c r="D6" s="5">
        <v>88.92</v>
      </c>
      <c r="E6" s="5">
        <v>115.56</v>
      </c>
      <c r="F6" s="5">
        <v>621.75</v>
      </c>
      <c r="G6" s="5">
        <v>26.95</v>
      </c>
      <c r="H6" s="5">
        <v>0.317</v>
      </c>
      <c r="I6" s="5">
        <v>3.3648964484016592</v>
      </c>
      <c r="J6" s="5">
        <v>21.1</v>
      </c>
      <c r="K6" s="5">
        <v>216.2</v>
      </c>
    </row>
    <row r="7" spans="1:21" x14ac:dyDescent="0.25">
      <c r="A7" s="5">
        <v>737</v>
      </c>
      <c r="B7" s="5">
        <v>16</v>
      </c>
      <c r="C7" s="5">
        <v>0.12</v>
      </c>
      <c r="D7" s="5">
        <v>84.64</v>
      </c>
      <c r="E7" s="5">
        <v>113.43</v>
      </c>
      <c r="F7" s="5">
        <v>624.58000000000004</v>
      </c>
      <c r="G7" s="5">
        <v>28.56</v>
      </c>
      <c r="H7" s="5">
        <v>0.26300000000000001</v>
      </c>
      <c r="I7" s="5">
        <v>3.8911673245378471</v>
      </c>
      <c r="J7" s="5">
        <v>21.4</v>
      </c>
      <c r="K7" s="5">
        <v>218.1</v>
      </c>
    </row>
    <row r="8" spans="1:21" ht="15.75" customHeight="1" x14ac:dyDescent="0.25">
      <c r="A8" s="5">
        <v>770</v>
      </c>
      <c r="B8" s="5">
        <v>26</v>
      </c>
      <c r="C8" s="5">
        <v>0.14000000000000001</v>
      </c>
      <c r="D8" s="5">
        <v>93.92</v>
      </c>
      <c r="E8" s="5">
        <v>121.4</v>
      </c>
      <c r="F8" s="5">
        <v>598.5</v>
      </c>
      <c r="G8" s="5">
        <v>36.06</v>
      </c>
      <c r="H8" s="5">
        <v>0.218</v>
      </c>
      <c r="I8" s="5">
        <v>3.7386851546876012</v>
      </c>
      <c r="J8" s="5">
        <v>22.3</v>
      </c>
      <c r="K8" s="5">
        <v>215</v>
      </c>
    </row>
    <row r="9" spans="1:21" x14ac:dyDescent="0.25">
      <c r="A9" s="5">
        <v>662</v>
      </c>
      <c r="B9" s="5">
        <v>37</v>
      </c>
      <c r="C9" s="5">
        <v>0.18</v>
      </c>
      <c r="D9" s="5">
        <v>89.75</v>
      </c>
      <c r="E9" s="5">
        <v>121.51</v>
      </c>
      <c r="F9" s="5">
        <v>551.79</v>
      </c>
      <c r="G9" s="5">
        <v>43.98</v>
      </c>
      <c r="H9" s="5">
        <v>0.19500000000000001</v>
      </c>
      <c r="I9" s="5">
        <v>2.4982741095817018</v>
      </c>
      <c r="J9" s="5">
        <v>24.4</v>
      </c>
      <c r="K9" s="5">
        <v>222.1</v>
      </c>
    </row>
    <row r="10" spans="1:21" x14ac:dyDescent="0.25">
      <c r="M10" s="5" t="s">
        <v>132</v>
      </c>
    </row>
    <row r="11" spans="1:21" ht="60" x14ac:dyDescent="0.25">
      <c r="A11" s="5" t="s">
        <v>130</v>
      </c>
      <c r="M11" s="6" t="s">
        <v>34</v>
      </c>
      <c r="N11" s="6" t="s">
        <v>35</v>
      </c>
      <c r="O11" s="6" t="s">
        <v>38</v>
      </c>
      <c r="P11" s="6" t="s">
        <v>44</v>
      </c>
      <c r="Q11" s="6" t="s">
        <v>48</v>
      </c>
      <c r="R11" s="6" t="s">
        <v>112</v>
      </c>
      <c r="S11" s="6" t="s">
        <v>60</v>
      </c>
      <c r="T11" s="6" t="s">
        <v>59</v>
      </c>
      <c r="U11" s="6"/>
    </row>
    <row r="12" spans="1:21" x14ac:dyDescent="0.25">
      <c r="A12" s="5">
        <v>648</v>
      </c>
      <c r="B12" s="5">
        <v>24</v>
      </c>
      <c r="C12" s="5">
        <v>0.1</v>
      </c>
      <c r="D12" s="5">
        <v>81.120500000000007</v>
      </c>
      <c r="E12" s="5">
        <v>115.39</v>
      </c>
      <c r="F12" s="5">
        <v>578.34</v>
      </c>
      <c r="G12" s="5">
        <v>36.327399999999997</v>
      </c>
      <c r="H12" s="5">
        <v>0.14360000000000001</v>
      </c>
      <c r="I12" s="5">
        <v>3.9079999999999999</v>
      </c>
      <c r="J12" s="5">
        <v>24.555700000000002</v>
      </c>
      <c r="K12" s="5">
        <v>223.39</v>
      </c>
      <c r="M12" s="5">
        <f t="shared" ref="M12:T17" si="0">((D4-D12)/D4)*100</f>
        <v>1.0725609756097476</v>
      </c>
      <c r="N12" s="5">
        <f t="shared" si="0"/>
        <v>0.37126575720945659</v>
      </c>
      <c r="O12" s="5">
        <f t="shared" si="0"/>
        <v>-0.17494327334453272</v>
      </c>
      <c r="P12" s="5">
        <f t="shared" si="0"/>
        <v>3.2043698374633731</v>
      </c>
      <c r="Q12" s="5">
        <f t="shared" si="0"/>
        <v>-16.747967479674802</v>
      </c>
      <c r="R12" s="5">
        <f t="shared" si="0"/>
        <v>-2.1334789824445695</v>
      </c>
      <c r="S12" s="5">
        <f t="shared" si="0"/>
        <v>0.58421052631577997</v>
      </c>
      <c r="T12" s="5">
        <f t="shared" si="0"/>
        <v>-0.12998655311519142</v>
      </c>
    </row>
    <row r="13" spans="1:21" x14ac:dyDescent="0.25">
      <c r="A13" s="5">
        <v>545</v>
      </c>
      <c r="B13" s="5">
        <v>48</v>
      </c>
      <c r="C13" s="5">
        <v>0.22</v>
      </c>
      <c r="D13" s="5">
        <v>90.937299999999993</v>
      </c>
      <c r="E13" s="5">
        <v>122.2911</v>
      </c>
      <c r="F13" s="5">
        <v>507.14550000000003</v>
      </c>
      <c r="G13" s="5">
        <v>59.598399999999998</v>
      </c>
      <c r="H13" s="5">
        <v>0.23119999999999999</v>
      </c>
      <c r="I13" s="5">
        <v>1.5342</v>
      </c>
      <c r="J13" s="5">
        <v>26.600100000000001</v>
      </c>
      <c r="K13" s="5">
        <v>237.4528</v>
      </c>
      <c r="M13" s="5">
        <f t="shared" si="0"/>
        <v>-4.4415987136786494</v>
      </c>
      <c r="N13" s="5">
        <f t="shared" si="0"/>
        <v>-1.612879102617371</v>
      </c>
      <c r="O13" s="5">
        <f t="shared" si="0"/>
        <v>2.808451513990021</v>
      </c>
      <c r="P13" s="5">
        <f t="shared" si="0"/>
        <v>-4.7239500966438266</v>
      </c>
      <c r="Q13" s="5">
        <f t="shared" si="0"/>
        <v>38.181818181818187</v>
      </c>
      <c r="R13" s="5">
        <f t="shared" si="0"/>
        <v>-8.2505985977418117</v>
      </c>
      <c r="S13" s="5">
        <f t="shared" si="0"/>
        <v>-1.1410646387832717</v>
      </c>
      <c r="T13" s="5">
        <f t="shared" si="0"/>
        <v>-0.27567567567566931</v>
      </c>
    </row>
    <row r="14" spans="1:21" x14ac:dyDescent="0.25">
      <c r="A14" s="5">
        <v>760</v>
      </c>
      <c r="B14" s="5">
        <v>19</v>
      </c>
      <c r="C14" s="5">
        <v>0.17</v>
      </c>
      <c r="D14" s="5">
        <v>89.0565</v>
      </c>
      <c r="E14" s="5">
        <v>116.2517</v>
      </c>
      <c r="F14" s="5">
        <v>619.52819999999997</v>
      </c>
      <c r="G14" s="5">
        <v>27.037600000000001</v>
      </c>
      <c r="H14" s="5">
        <v>0.34839999999999999</v>
      </c>
      <c r="I14" s="5">
        <v>3.3755999999999999</v>
      </c>
      <c r="J14" s="5">
        <v>21.4238</v>
      </c>
      <c r="K14" s="5">
        <v>215.5692</v>
      </c>
      <c r="M14" s="5">
        <f t="shared" si="0"/>
        <v>-0.1535087719298224</v>
      </c>
      <c r="N14" s="5">
        <f t="shared" si="0"/>
        <v>-0.5985635167878135</v>
      </c>
      <c r="O14" s="5">
        <f t="shared" si="0"/>
        <v>0.3573462002412594</v>
      </c>
      <c r="P14" s="5">
        <f t="shared" si="0"/>
        <v>-0.32504638218924636</v>
      </c>
      <c r="Q14" s="5">
        <f t="shared" si="0"/>
        <v>-9.9053627760252319</v>
      </c>
      <c r="R14" s="5">
        <f t="shared" si="0"/>
        <v>-0.31809453165861679</v>
      </c>
      <c r="S14" s="5">
        <f t="shared" si="0"/>
        <v>-1.5345971563980974</v>
      </c>
      <c r="T14" s="5">
        <f t="shared" si="0"/>
        <v>0.29176688251618577</v>
      </c>
    </row>
    <row r="15" spans="1:21" x14ac:dyDescent="0.25">
      <c r="A15" s="5">
        <v>737</v>
      </c>
      <c r="B15" s="5">
        <v>16</v>
      </c>
      <c r="C15" s="5">
        <v>0.12</v>
      </c>
      <c r="D15" s="5">
        <v>84.781999999999996</v>
      </c>
      <c r="E15" s="5">
        <v>114.3861</v>
      </c>
      <c r="F15" s="5">
        <v>621.96929999999998</v>
      </c>
      <c r="G15" s="5">
        <v>28.983599999999999</v>
      </c>
      <c r="H15" s="5">
        <v>0.26600000000000001</v>
      </c>
      <c r="I15" s="5">
        <v>3.9510999999999998</v>
      </c>
      <c r="J15" s="5">
        <v>21.819199999999999</v>
      </c>
      <c r="K15" s="5">
        <v>217.1756</v>
      </c>
      <c r="M15" s="5">
        <f t="shared" si="0"/>
        <v>-0.16776937618146964</v>
      </c>
      <c r="N15" s="5">
        <f t="shared" si="0"/>
        <v>-0.84289870404654166</v>
      </c>
      <c r="O15" s="5">
        <f t="shared" si="0"/>
        <v>0.41799289122291222</v>
      </c>
      <c r="P15" s="5">
        <f t="shared" si="0"/>
        <v>-1.483193277310926</v>
      </c>
      <c r="Q15" s="5">
        <f t="shared" si="0"/>
        <v>-1.1406844106463887</v>
      </c>
      <c r="R15" s="5">
        <f t="shared" si="0"/>
        <v>-1.5402235489647298</v>
      </c>
      <c r="S15" s="5">
        <f t="shared" si="0"/>
        <v>-1.9588785046728976</v>
      </c>
      <c r="T15" s="5">
        <f t="shared" si="0"/>
        <v>0.42384227418614928</v>
      </c>
    </row>
    <row r="16" spans="1:21" x14ac:dyDescent="0.25">
      <c r="A16" s="5">
        <v>770</v>
      </c>
      <c r="B16" s="5">
        <v>26</v>
      </c>
      <c r="C16" s="5">
        <v>0.14000000000000001</v>
      </c>
      <c r="D16" s="5">
        <v>94.641199999999998</v>
      </c>
      <c r="E16" s="5">
        <v>121.94119999999999</v>
      </c>
      <c r="F16" s="5">
        <v>596.71</v>
      </c>
      <c r="G16" s="5">
        <v>35.750799999999998</v>
      </c>
      <c r="H16" s="5">
        <v>0.2051</v>
      </c>
      <c r="I16" s="5">
        <v>3.8214999999999999</v>
      </c>
      <c r="J16" s="5">
        <v>22.790700000000001</v>
      </c>
      <c r="K16" s="5">
        <v>214.57679999999999</v>
      </c>
      <c r="M16" s="5">
        <f t="shared" si="0"/>
        <v>-0.76788756388415258</v>
      </c>
      <c r="N16" s="5">
        <f t="shared" si="0"/>
        <v>-0.44579901153211632</v>
      </c>
      <c r="O16" s="5">
        <f t="shared" si="0"/>
        <v>0.29908103592313512</v>
      </c>
      <c r="P16" s="5">
        <f t="shared" si="0"/>
        <v>0.85745978924016675</v>
      </c>
      <c r="Q16" s="5">
        <f t="shared" si="0"/>
        <v>5.9174311926605476</v>
      </c>
      <c r="R16" s="5">
        <f t="shared" si="0"/>
        <v>-2.2150794165848549</v>
      </c>
      <c r="S16" s="5">
        <f t="shared" si="0"/>
        <v>-2.200448430493275</v>
      </c>
      <c r="T16" s="5">
        <f t="shared" si="0"/>
        <v>0.19683720930232951</v>
      </c>
    </row>
    <row r="17" spans="1:20" x14ac:dyDescent="0.25">
      <c r="A17" s="5">
        <v>662</v>
      </c>
      <c r="B17" s="5">
        <v>37</v>
      </c>
      <c r="C17" s="5">
        <v>0.18</v>
      </c>
      <c r="D17" s="5">
        <v>89.116500000000002</v>
      </c>
      <c r="E17" s="5">
        <v>121.6507</v>
      </c>
      <c r="F17" s="5">
        <v>550.77629999999999</v>
      </c>
      <c r="G17" s="5">
        <v>44.473700000000001</v>
      </c>
      <c r="H17" s="5">
        <v>0.18190000000000001</v>
      </c>
      <c r="I17" s="5">
        <v>2.5318000000000001</v>
      </c>
      <c r="J17" s="5">
        <v>24.736899999999999</v>
      </c>
      <c r="K17" s="5">
        <v>222.1491</v>
      </c>
      <c r="M17" s="5">
        <f t="shared" si="0"/>
        <v>0.70584958217269966</v>
      </c>
      <c r="N17" s="5">
        <f t="shared" si="0"/>
        <v>-0.11579293885276552</v>
      </c>
      <c r="O17" s="5">
        <f t="shared" si="0"/>
        <v>0.18371119447615428</v>
      </c>
      <c r="P17" s="5">
        <f t="shared" si="0"/>
        <v>-1.1225557071396182</v>
      </c>
      <c r="Q17" s="5">
        <f t="shared" si="0"/>
        <v>6.717948717948719</v>
      </c>
      <c r="R17" s="5">
        <f t="shared" si="0"/>
        <v>-1.3419620485084254</v>
      </c>
      <c r="S17" s="5">
        <f t="shared" si="0"/>
        <v>-1.3807377049180327</v>
      </c>
      <c r="T17" s="5">
        <f t="shared" si="0"/>
        <v>-2.2107158937420043E-2</v>
      </c>
    </row>
    <row r="19" spans="1:20" x14ac:dyDescent="0.25">
      <c r="A19" s="5" t="s">
        <v>131</v>
      </c>
    </row>
    <row r="20" spans="1:20" x14ac:dyDescent="0.25">
      <c r="A20" s="5">
        <v>648</v>
      </c>
      <c r="B20" s="5">
        <v>24</v>
      </c>
      <c r="C20" s="5">
        <v>0.1</v>
      </c>
      <c r="D20" s="5">
        <v>81.118099999999998</v>
      </c>
      <c r="E20" s="5">
        <v>115.4003</v>
      </c>
      <c r="F20" s="5">
        <v>578.49490000000003</v>
      </c>
      <c r="G20" s="5">
        <v>36.346200000000003</v>
      </c>
      <c r="H20" s="5">
        <v>0.14649999999999999</v>
      </c>
      <c r="I20" s="5">
        <v>3.9058999999999999</v>
      </c>
      <c r="J20" s="5">
        <v>24.638200000000001</v>
      </c>
      <c r="K20" s="5">
        <v>223.22</v>
      </c>
      <c r="M20" s="5">
        <f>((D4-D20)/D4)*100</f>
        <v>1.0754878048780507</v>
      </c>
      <c r="N20" s="5">
        <f t="shared" ref="N20:T25" si="1">((E4-E20)/E4)*100</f>
        <v>0.36237264721118267</v>
      </c>
      <c r="O20" s="5">
        <f t="shared" si="1"/>
        <v>-0.20177368229608519</v>
      </c>
      <c r="P20" s="5">
        <f t="shared" si="1"/>
        <v>3.1542765787370053</v>
      </c>
      <c r="Q20" s="5">
        <f t="shared" si="1"/>
        <v>-19.105691056910565</v>
      </c>
      <c r="R20" s="5">
        <f t="shared" si="1"/>
        <v>-2.078596611445815</v>
      </c>
      <c r="S20" s="5">
        <f t="shared" si="1"/>
        <v>0.2502024291497898</v>
      </c>
      <c r="T20" s="5">
        <f t="shared" si="1"/>
        <v>-5.3787539220082718E-2</v>
      </c>
    </row>
    <row r="21" spans="1:20" x14ac:dyDescent="0.25">
      <c r="A21" s="5">
        <v>545</v>
      </c>
      <c r="B21" s="5">
        <v>48</v>
      </c>
      <c r="C21" s="5">
        <v>0.22</v>
      </c>
      <c r="D21" s="5">
        <v>90.93</v>
      </c>
      <c r="E21" s="5">
        <v>122.28</v>
      </c>
      <c r="F21" s="5">
        <v>507.18869999999998</v>
      </c>
      <c r="G21" s="5">
        <v>59.57</v>
      </c>
      <c r="H21" s="5">
        <v>0.22889999999999999</v>
      </c>
      <c r="I21" s="5">
        <v>1.5418000000000001</v>
      </c>
      <c r="J21" s="5">
        <v>26.713699999999999</v>
      </c>
      <c r="K21" s="5">
        <v>237.3621</v>
      </c>
      <c r="M21" s="5">
        <f t="shared" ref="M21:M25" si="2">((D5-D21)/D5)*100</f>
        <v>-4.4332146548754041</v>
      </c>
      <c r="N21" s="5">
        <f t="shared" si="1"/>
        <v>-1.6036560033236451</v>
      </c>
      <c r="O21" s="5">
        <f t="shared" si="1"/>
        <v>2.8001724798773426</v>
      </c>
      <c r="P21" s="5">
        <f t="shared" si="1"/>
        <v>-4.6740467404674115</v>
      </c>
      <c r="Q21" s="5">
        <f t="shared" si="1"/>
        <v>38.796791443850267</v>
      </c>
      <c r="R21" s="5">
        <f t="shared" si="1"/>
        <v>-8.7868419488973597</v>
      </c>
      <c r="S21" s="5">
        <f t="shared" si="1"/>
        <v>-1.5730038022813635</v>
      </c>
      <c r="T21" s="5">
        <f t="shared" si="1"/>
        <v>-0.23737331081080518</v>
      </c>
    </row>
    <row r="22" spans="1:20" x14ac:dyDescent="0.25">
      <c r="A22" s="5">
        <v>760</v>
      </c>
      <c r="B22" s="5">
        <v>19</v>
      </c>
      <c r="C22" s="5">
        <v>0.17</v>
      </c>
      <c r="D22" s="5">
        <v>89.053299999999993</v>
      </c>
      <c r="E22" s="5">
        <v>116.24</v>
      </c>
      <c r="F22" s="5">
        <v>619.24400000000003</v>
      </c>
      <c r="G22" s="5">
        <v>27.0319</v>
      </c>
      <c r="H22" s="5">
        <v>0.34660000000000002</v>
      </c>
      <c r="I22" s="5">
        <v>3.3744000000000001</v>
      </c>
      <c r="J22" s="5">
        <v>21.397400000000001</v>
      </c>
      <c r="K22" s="5">
        <v>215.68</v>
      </c>
      <c r="M22" s="5">
        <f t="shared" si="2"/>
        <v>-0.14991003148896909</v>
      </c>
      <c r="N22" s="5">
        <f t="shared" si="1"/>
        <v>-0.58843890619590911</v>
      </c>
      <c r="O22" s="5">
        <f t="shared" si="1"/>
        <v>0.40305589063127811</v>
      </c>
      <c r="P22" s="5">
        <f t="shared" si="1"/>
        <v>-0.30389610389610749</v>
      </c>
      <c r="Q22" s="5">
        <f t="shared" si="1"/>
        <v>-9.337539432176662</v>
      </c>
      <c r="R22" s="5">
        <f t="shared" si="1"/>
        <v>-0.28243221579240718</v>
      </c>
      <c r="S22" s="5">
        <f t="shared" si="1"/>
        <v>-1.4094786729857802</v>
      </c>
      <c r="T22" s="5">
        <f t="shared" si="1"/>
        <v>0.24051803885290554</v>
      </c>
    </row>
    <row r="23" spans="1:20" x14ac:dyDescent="0.25">
      <c r="A23" s="5">
        <v>737</v>
      </c>
      <c r="B23" s="5">
        <v>16</v>
      </c>
      <c r="C23" s="5">
        <v>0.12</v>
      </c>
      <c r="D23" s="5">
        <v>84.781300000000002</v>
      </c>
      <c r="E23" s="5">
        <v>114.38</v>
      </c>
      <c r="F23" s="5">
        <v>621.83000000000004</v>
      </c>
      <c r="G23" s="5">
        <v>28.976299999999998</v>
      </c>
      <c r="H23" s="5">
        <v>0.2661</v>
      </c>
      <c r="I23" s="5">
        <v>3.9556</v>
      </c>
      <c r="J23" s="5">
        <v>21.806999999999999</v>
      </c>
      <c r="K23" s="5">
        <v>217.30940000000001</v>
      </c>
      <c r="M23" s="5">
        <f t="shared" si="2"/>
        <v>-0.16694234404536989</v>
      </c>
      <c r="N23" s="5">
        <f t="shared" si="1"/>
        <v>-0.83752093802344041</v>
      </c>
      <c r="O23" s="5">
        <f t="shared" si="1"/>
        <v>0.44029587883057414</v>
      </c>
      <c r="P23" s="5">
        <f t="shared" si="1"/>
        <v>-1.4576330532212876</v>
      </c>
      <c r="Q23" s="5">
        <f t="shared" si="1"/>
        <v>-1.1787072243345975</v>
      </c>
      <c r="R23" s="5">
        <f t="shared" si="1"/>
        <v>-1.6558700792905525</v>
      </c>
      <c r="S23" s="5">
        <f t="shared" si="1"/>
        <v>-1.9018691588785048</v>
      </c>
      <c r="T23" s="5">
        <f t="shared" si="1"/>
        <v>0.36249426868408235</v>
      </c>
    </row>
    <row r="24" spans="1:20" x14ac:dyDescent="0.25">
      <c r="A24" s="5">
        <v>770</v>
      </c>
      <c r="B24" s="5">
        <v>26</v>
      </c>
      <c r="C24" s="5">
        <v>0.14000000000000001</v>
      </c>
      <c r="D24" s="5">
        <v>94.638800000000003</v>
      </c>
      <c r="E24" s="5">
        <v>121.94029999999999</v>
      </c>
      <c r="F24" s="5">
        <v>596.76980000000003</v>
      </c>
      <c r="G24" s="5">
        <v>35.754399999999997</v>
      </c>
      <c r="H24" s="5">
        <v>0.20549999999999999</v>
      </c>
      <c r="I24" s="5">
        <v>3.8119999999999998</v>
      </c>
      <c r="J24" s="5">
        <v>22.798300000000001</v>
      </c>
      <c r="K24" s="5">
        <v>214.55179999999999</v>
      </c>
      <c r="M24" s="5">
        <f t="shared" si="2"/>
        <v>-0.76533219761499316</v>
      </c>
      <c r="N24" s="5">
        <f t="shared" si="1"/>
        <v>-0.44505766062601959</v>
      </c>
      <c r="O24" s="5">
        <f t="shared" si="1"/>
        <v>0.28908939014201634</v>
      </c>
      <c r="P24" s="5">
        <f t="shared" si="1"/>
        <v>0.84747642817527835</v>
      </c>
      <c r="Q24" s="5">
        <f t="shared" si="1"/>
        <v>5.7339449541284457</v>
      </c>
      <c r="R24" s="5">
        <f t="shared" si="1"/>
        <v>-1.9609793892506764</v>
      </c>
      <c r="S24" s="5">
        <f t="shared" si="1"/>
        <v>-2.2345291479820646</v>
      </c>
      <c r="T24" s="5">
        <f t="shared" si="1"/>
        <v>0.20846511627907632</v>
      </c>
    </row>
    <row r="25" spans="1:20" x14ac:dyDescent="0.25">
      <c r="A25" s="5">
        <v>662</v>
      </c>
      <c r="B25" s="5">
        <v>37</v>
      </c>
      <c r="C25" s="5">
        <v>0.18</v>
      </c>
      <c r="D25" s="5">
        <v>89.122799999999998</v>
      </c>
      <c r="E25" s="5">
        <v>121.6533</v>
      </c>
      <c r="F25" s="5">
        <v>550.64160000000004</v>
      </c>
      <c r="G25" s="5">
        <v>44.462400000000002</v>
      </c>
      <c r="H25" s="5">
        <v>0.18090000000000001</v>
      </c>
      <c r="I25" s="5">
        <v>2.5341</v>
      </c>
      <c r="J25" s="5">
        <v>24.724699999999999</v>
      </c>
      <c r="K25" s="5">
        <v>222.16390000000001</v>
      </c>
      <c r="M25" s="5">
        <f t="shared" si="2"/>
        <v>0.69883008356546172</v>
      </c>
      <c r="N25" s="5">
        <f t="shared" si="1"/>
        <v>-0.1179326804378211</v>
      </c>
      <c r="O25" s="5">
        <f t="shared" si="1"/>
        <v>0.20812265535800289</v>
      </c>
      <c r="P25" s="5">
        <f t="shared" si="1"/>
        <v>-1.0968622100955105</v>
      </c>
      <c r="Q25" s="5">
        <f t="shared" si="1"/>
        <v>7.2307692307692308</v>
      </c>
      <c r="R25" s="5">
        <f t="shared" si="1"/>
        <v>-1.4340256051525389</v>
      </c>
      <c r="S25" s="5">
        <f t="shared" si="1"/>
        <v>-1.3307377049180329</v>
      </c>
      <c r="T25" s="5">
        <f t="shared" si="1"/>
        <v>-2.8770823953182374E-2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workbookViewId="0">
      <selection activeCell="Q20" sqref="Q20"/>
    </sheetView>
  </sheetViews>
  <sheetFormatPr defaultRowHeight="15" x14ac:dyDescent="0.25"/>
  <sheetData>
    <row r="1" spans="1:13" s="3" customFormat="1" x14ac:dyDescent="0.25">
      <c r="A1" s="3" t="s">
        <v>128</v>
      </c>
      <c r="B1" s="3" t="s">
        <v>129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</row>
    <row r="2" spans="1:13" x14ac:dyDescent="0.25">
      <c r="A2" s="39">
        <v>0</v>
      </c>
      <c r="B2" s="39">
        <v>1</v>
      </c>
      <c r="C2" s="39">
        <v>514</v>
      </c>
      <c r="D2" s="39">
        <v>18</v>
      </c>
      <c r="E2" s="39">
        <v>0.23</v>
      </c>
      <c r="F2" s="39">
        <v>70.165499999999994</v>
      </c>
      <c r="G2" s="39">
        <v>101.0086</v>
      </c>
      <c r="H2" s="39">
        <v>578.29610000000002</v>
      </c>
      <c r="I2" s="39">
        <v>20.678699999999999</v>
      </c>
      <c r="J2" s="39">
        <v>0.51770000000000005</v>
      </c>
      <c r="K2" s="39">
        <v>1.9563999999999999</v>
      </c>
      <c r="L2" s="39">
        <v>24.008299999999998</v>
      </c>
      <c r="M2" s="39">
        <v>235.74700000000001</v>
      </c>
    </row>
    <row r="3" spans="1:13" x14ac:dyDescent="0.25">
      <c r="A3" s="39">
        <v>0.1</v>
      </c>
      <c r="B3" s="39">
        <v>1</v>
      </c>
      <c r="C3" s="39">
        <v>514</v>
      </c>
      <c r="D3" s="39">
        <v>18</v>
      </c>
      <c r="E3" s="39">
        <v>0.23</v>
      </c>
      <c r="F3" s="39">
        <v>70.165499999999994</v>
      </c>
      <c r="G3" s="39">
        <v>101.0086</v>
      </c>
      <c r="H3" s="39">
        <v>578.29610000000002</v>
      </c>
      <c r="I3" s="39">
        <v>20.678699999999999</v>
      </c>
      <c r="J3" s="39">
        <v>0.51770000000000005</v>
      </c>
      <c r="K3" s="39">
        <v>1.9563999999999999</v>
      </c>
      <c r="L3" s="39">
        <v>24.008299999999998</v>
      </c>
      <c r="M3" s="39">
        <v>235.74700000000001</v>
      </c>
    </row>
    <row r="4" spans="1:13" x14ac:dyDescent="0.25">
      <c r="A4" s="39">
        <v>0.2</v>
      </c>
      <c r="B4" s="39">
        <v>1</v>
      </c>
      <c r="C4" s="39">
        <v>514</v>
      </c>
      <c r="D4" s="39">
        <v>18</v>
      </c>
      <c r="E4" s="39">
        <v>0.23</v>
      </c>
      <c r="F4" s="39">
        <v>70.165499999999994</v>
      </c>
      <c r="G4" s="39">
        <v>101.0086</v>
      </c>
      <c r="H4" s="39">
        <v>578.29610000000002</v>
      </c>
      <c r="I4" s="39">
        <v>20.678699999999999</v>
      </c>
      <c r="J4" s="39">
        <v>0.51770000000000005</v>
      </c>
      <c r="K4" s="39">
        <v>1.9563999999999999</v>
      </c>
      <c r="L4" s="39">
        <v>24.008299999999998</v>
      </c>
      <c r="M4" s="39">
        <v>235.74700000000001</v>
      </c>
    </row>
    <row r="5" spans="1:13" x14ac:dyDescent="0.25">
      <c r="A5" s="39">
        <v>0.3</v>
      </c>
      <c r="B5" s="39">
        <v>1</v>
      </c>
      <c r="C5" s="39">
        <v>514</v>
      </c>
      <c r="D5" s="39">
        <v>18</v>
      </c>
      <c r="E5" s="39">
        <v>0.23</v>
      </c>
      <c r="F5" s="39">
        <v>70.165499999999994</v>
      </c>
      <c r="G5" s="39">
        <v>101.0086</v>
      </c>
      <c r="H5" s="39">
        <v>578.29610000000002</v>
      </c>
      <c r="I5" s="39">
        <v>20.678699999999999</v>
      </c>
      <c r="J5" s="39">
        <v>0.51770000000000005</v>
      </c>
      <c r="K5" s="39">
        <v>1.9563999999999999</v>
      </c>
      <c r="L5" s="39">
        <v>24.008299999999998</v>
      </c>
      <c r="M5" s="39">
        <v>235.74700000000001</v>
      </c>
    </row>
    <row r="6" spans="1:13" x14ac:dyDescent="0.25">
      <c r="A6" s="39">
        <v>0.4</v>
      </c>
      <c r="B6" s="39">
        <v>1</v>
      </c>
      <c r="C6" s="39">
        <v>514</v>
      </c>
      <c r="D6" s="39">
        <v>18</v>
      </c>
      <c r="E6" s="39">
        <v>0.23</v>
      </c>
      <c r="F6" s="39">
        <v>70.165499999999994</v>
      </c>
      <c r="G6" s="39">
        <v>101.0086</v>
      </c>
      <c r="H6" s="39">
        <v>578.29610000000002</v>
      </c>
      <c r="I6" s="39">
        <v>20.678699999999999</v>
      </c>
      <c r="J6" s="39">
        <v>0.51770000000000005</v>
      </c>
      <c r="K6" s="39">
        <v>1.9563999999999999</v>
      </c>
      <c r="L6" s="39">
        <v>24.008299999999998</v>
      </c>
      <c r="M6" s="39">
        <v>235.74700000000001</v>
      </c>
    </row>
    <row r="7" spans="1:13" x14ac:dyDescent="0.25">
      <c r="A7" s="39">
        <v>0.5</v>
      </c>
      <c r="B7" s="39">
        <v>1</v>
      </c>
      <c r="C7" s="39">
        <v>514</v>
      </c>
      <c r="D7" s="39">
        <v>18</v>
      </c>
      <c r="E7" s="39">
        <v>0.23</v>
      </c>
      <c r="F7" s="39">
        <v>70.165499999999994</v>
      </c>
      <c r="G7" s="39">
        <v>101.0086</v>
      </c>
      <c r="H7" s="39">
        <v>578.29610000000002</v>
      </c>
      <c r="I7" s="39">
        <v>20.678699999999999</v>
      </c>
      <c r="J7" s="39">
        <v>0.51770000000000005</v>
      </c>
      <c r="K7" s="39">
        <v>1.9563999999999999</v>
      </c>
      <c r="L7" s="39">
        <v>24.008299999999998</v>
      </c>
      <c r="M7" s="39">
        <v>235.74700000000001</v>
      </c>
    </row>
    <row r="8" spans="1:13" x14ac:dyDescent="0.25">
      <c r="A8" s="39">
        <v>0.6</v>
      </c>
      <c r="B8" s="39">
        <v>1</v>
      </c>
      <c r="C8" s="39">
        <v>514</v>
      </c>
      <c r="D8" s="39">
        <v>18</v>
      </c>
      <c r="E8" s="39">
        <v>0.23</v>
      </c>
      <c r="F8" s="39">
        <v>70.165499999999994</v>
      </c>
      <c r="G8" s="39">
        <v>101.0086</v>
      </c>
      <c r="H8" s="39">
        <v>578.29610000000002</v>
      </c>
      <c r="I8" s="39">
        <v>20.678699999999999</v>
      </c>
      <c r="J8" s="39">
        <v>0.51770000000000005</v>
      </c>
      <c r="K8" s="39">
        <v>1.9563999999999999</v>
      </c>
      <c r="L8" s="39">
        <v>24.008299999999998</v>
      </c>
      <c r="M8" s="39">
        <v>235.74700000000001</v>
      </c>
    </row>
    <row r="9" spans="1:13" x14ac:dyDescent="0.25">
      <c r="A9" s="39">
        <v>0.7</v>
      </c>
      <c r="B9" s="39">
        <v>1</v>
      </c>
      <c r="C9" s="39">
        <v>514</v>
      </c>
      <c r="D9" s="39">
        <v>18</v>
      </c>
      <c r="E9" s="39">
        <v>0.23</v>
      </c>
      <c r="F9" s="39">
        <v>70.165499999999994</v>
      </c>
      <c r="G9" s="39">
        <v>101.0086</v>
      </c>
      <c r="H9" s="39">
        <v>578.29610000000002</v>
      </c>
      <c r="I9" s="39">
        <v>20.678699999999999</v>
      </c>
      <c r="J9" s="39">
        <v>0.51770000000000005</v>
      </c>
      <c r="K9" s="39">
        <v>1.9563999999999999</v>
      </c>
      <c r="L9" s="39">
        <v>24.008299999999998</v>
      </c>
      <c r="M9" s="39">
        <v>235.74700000000001</v>
      </c>
    </row>
    <row r="10" spans="1:13" x14ac:dyDescent="0.25">
      <c r="A10" s="39">
        <v>0.8</v>
      </c>
      <c r="B10" s="39">
        <v>1</v>
      </c>
      <c r="C10" s="39">
        <v>514</v>
      </c>
      <c r="D10" s="39">
        <v>18</v>
      </c>
      <c r="E10" s="39">
        <v>0.23</v>
      </c>
      <c r="F10" s="39">
        <v>70.165499999999994</v>
      </c>
      <c r="G10" s="39">
        <v>101.0086</v>
      </c>
      <c r="H10" s="39">
        <v>578.29610000000002</v>
      </c>
      <c r="I10" s="39">
        <v>20.678699999999999</v>
      </c>
      <c r="J10" s="39">
        <v>0.51770000000000005</v>
      </c>
      <c r="K10" s="39">
        <v>1.9563999999999999</v>
      </c>
      <c r="L10" s="39">
        <v>24.008299999999998</v>
      </c>
      <c r="M10" s="39">
        <v>235.74700000000001</v>
      </c>
    </row>
    <row r="11" spans="1:13" x14ac:dyDescent="0.25">
      <c r="A11" s="39">
        <v>0.9</v>
      </c>
      <c r="B11" s="39">
        <v>1</v>
      </c>
      <c r="C11" s="39">
        <v>514</v>
      </c>
      <c r="D11" s="39">
        <v>18</v>
      </c>
      <c r="E11" s="39">
        <v>0.23</v>
      </c>
      <c r="F11" s="39">
        <v>70.165499999999994</v>
      </c>
      <c r="G11" s="39">
        <v>101.0086</v>
      </c>
      <c r="H11" s="39">
        <v>578.29610000000002</v>
      </c>
      <c r="I11" s="39">
        <v>20.678699999999999</v>
      </c>
      <c r="J11" s="39">
        <v>0.51770000000000005</v>
      </c>
      <c r="K11" s="39">
        <v>1.9563999999999999</v>
      </c>
      <c r="L11" s="39">
        <v>24.008299999999998</v>
      </c>
      <c r="M11" s="39">
        <v>235.74700000000001</v>
      </c>
    </row>
    <row r="12" spans="1:13" x14ac:dyDescent="0.25">
      <c r="A12" s="39">
        <v>1</v>
      </c>
      <c r="B12" s="39">
        <v>1</v>
      </c>
      <c r="C12" s="39">
        <v>514</v>
      </c>
      <c r="D12" s="39">
        <v>18</v>
      </c>
      <c r="E12" s="39">
        <v>0.23</v>
      </c>
      <c r="F12" s="39">
        <v>70.165499999999994</v>
      </c>
      <c r="G12" s="39">
        <v>101.0086</v>
      </c>
      <c r="H12" s="39">
        <v>578.29610000000002</v>
      </c>
      <c r="I12" s="39">
        <v>20.678699999999999</v>
      </c>
      <c r="J12" s="39">
        <v>0.51770000000000005</v>
      </c>
      <c r="K12" s="39">
        <v>1.9563999999999999</v>
      </c>
      <c r="L12" s="39">
        <v>24.008299999999998</v>
      </c>
      <c r="M12" s="39">
        <v>235.74700000000001</v>
      </c>
    </row>
    <row r="13" spans="1:13" x14ac:dyDescent="0.25">
      <c r="A13" s="39">
        <v>1.1000000000000001</v>
      </c>
      <c r="B13" s="39">
        <v>1</v>
      </c>
      <c r="C13" s="39">
        <v>514</v>
      </c>
      <c r="D13" s="39">
        <v>18</v>
      </c>
      <c r="E13" s="39">
        <v>0.23</v>
      </c>
      <c r="F13" s="39">
        <v>70.165499999999994</v>
      </c>
      <c r="G13" s="39">
        <v>101.0086</v>
      </c>
      <c r="H13" s="39">
        <v>578.29610000000002</v>
      </c>
      <c r="I13" s="39">
        <v>20.678699999999999</v>
      </c>
      <c r="J13" s="39">
        <v>0.51770000000000005</v>
      </c>
      <c r="K13" s="39">
        <v>1.9563999999999999</v>
      </c>
      <c r="L13" s="39">
        <v>24.008299999999998</v>
      </c>
      <c r="M13" s="39">
        <v>235.74700000000001</v>
      </c>
    </row>
    <row r="14" spans="1:13" x14ac:dyDescent="0.25">
      <c r="A14" s="39">
        <v>1.2</v>
      </c>
      <c r="B14" s="39">
        <v>1</v>
      </c>
      <c r="C14" s="39">
        <v>514</v>
      </c>
      <c r="D14" s="39">
        <v>18</v>
      </c>
      <c r="E14" s="39">
        <v>0.23</v>
      </c>
      <c r="F14" s="39">
        <v>70.165499999999994</v>
      </c>
      <c r="G14" s="39">
        <v>101.0086</v>
      </c>
      <c r="H14" s="39">
        <v>578.29610000000002</v>
      </c>
      <c r="I14" s="39">
        <v>20.678699999999999</v>
      </c>
      <c r="J14" s="39">
        <v>0.51770000000000005</v>
      </c>
      <c r="K14" s="39">
        <v>1.9563999999999999</v>
      </c>
      <c r="L14" s="39">
        <v>24.008299999999998</v>
      </c>
      <c r="M14" s="39">
        <v>235.74700000000001</v>
      </c>
    </row>
    <row r="15" spans="1:13" x14ac:dyDescent="0.25">
      <c r="A15" s="39">
        <v>1.3</v>
      </c>
      <c r="B15" s="39">
        <v>1</v>
      </c>
      <c r="C15" s="39">
        <v>514</v>
      </c>
      <c r="D15" s="39">
        <v>18</v>
      </c>
      <c r="E15" s="39">
        <v>0.23</v>
      </c>
      <c r="F15" s="39">
        <v>70.165499999999994</v>
      </c>
      <c r="G15" s="39">
        <v>101.0086</v>
      </c>
      <c r="H15" s="39">
        <v>578.29610000000002</v>
      </c>
      <c r="I15" s="39">
        <v>20.678699999999999</v>
      </c>
      <c r="J15" s="39">
        <v>0.51770000000000005</v>
      </c>
      <c r="K15" s="39">
        <v>1.9563999999999999</v>
      </c>
      <c r="L15" s="39">
        <v>24.008299999999998</v>
      </c>
      <c r="M15" s="39">
        <v>235.74700000000001</v>
      </c>
    </row>
    <row r="16" spans="1:13" x14ac:dyDescent="0.25">
      <c r="A16" s="39">
        <v>1.4</v>
      </c>
      <c r="B16" s="39">
        <v>1</v>
      </c>
      <c r="C16" s="39">
        <v>514</v>
      </c>
      <c r="D16" s="39">
        <v>18</v>
      </c>
      <c r="E16" s="39">
        <v>0.23</v>
      </c>
      <c r="F16" s="39">
        <v>70.165499999999994</v>
      </c>
      <c r="G16" s="39">
        <v>101.0086</v>
      </c>
      <c r="H16" s="39">
        <v>578.29610000000002</v>
      </c>
      <c r="I16" s="39">
        <v>20.678699999999999</v>
      </c>
      <c r="J16" s="39">
        <v>0.51770000000000005</v>
      </c>
      <c r="K16" s="39">
        <v>1.9563999999999999</v>
      </c>
      <c r="L16" s="39">
        <v>24.008299999999998</v>
      </c>
      <c r="M16" s="39">
        <v>235.74700000000001</v>
      </c>
    </row>
    <row r="17" spans="1:13" x14ac:dyDescent="0.25">
      <c r="A17" s="39">
        <v>1.5</v>
      </c>
      <c r="B17" s="39">
        <v>2</v>
      </c>
      <c r="C17" s="39">
        <v>523</v>
      </c>
      <c r="D17" s="39">
        <v>11</v>
      </c>
      <c r="E17" s="39">
        <v>0.13</v>
      </c>
      <c r="F17" s="39">
        <v>68.191800000000001</v>
      </c>
      <c r="G17" s="39">
        <v>100.0488</v>
      </c>
      <c r="H17" s="39">
        <v>595.7192</v>
      </c>
      <c r="I17" s="39">
        <v>23.818100000000001</v>
      </c>
      <c r="J17" s="39">
        <v>0.35410000000000003</v>
      </c>
      <c r="K17" s="39">
        <v>2.694</v>
      </c>
      <c r="L17" s="39">
        <v>24.0931</v>
      </c>
      <c r="M17" s="39">
        <v>235.73079999999999</v>
      </c>
    </row>
    <row r="18" spans="1:13" x14ac:dyDescent="0.25">
      <c r="A18" s="39">
        <v>1.6</v>
      </c>
      <c r="B18" s="39">
        <v>2</v>
      </c>
      <c r="C18" s="39">
        <v>523</v>
      </c>
      <c r="D18" s="39">
        <v>11</v>
      </c>
      <c r="E18" s="39">
        <v>0.13</v>
      </c>
      <c r="F18" s="39">
        <v>68.191800000000001</v>
      </c>
      <c r="G18" s="39">
        <v>100.0488</v>
      </c>
      <c r="H18" s="39">
        <v>595.7192</v>
      </c>
      <c r="I18" s="39">
        <v>23.818100000000001</v>
      </c>
      <c r="J18" s="39">
        <v>0.35410000000000003</v>
      </c>
      <c r="K18" s="39">
        <v>2.694</v>
      </c>
      <c r="L18" s="39">
        <v>24.0931</v>
      </c>
      <c r="M18" s="39">
        <v>235.73079999999999</v>
      </c>
    </row>
    <row r="19" spans="1:13" x14ac:dyDescent="0.25">
      <c r="A19" s="39">
        <v>1.7</v>
      </c>
      <c r="B19" s="39">
        <v>2</v>
      </c>
      <c r="C19" s="39">
        <v>523</v>
      </c>
      <c r="D19" s="39">
        <v>11</v>
      </c>
      <c r="E19" s="39">
        <v>0.13</v>
      </c>
      <c r="F19" s="39">
        <v>68.191800000000001</v>
      </c>
      <c r="G19" s="39">
        <v>100.0488</v>
      </c>
      <c r="H19" s="39">
        <v>595.7192</v>
      </c>
      <c r="I19" s="39">
        <v>23.818100000000001</v>
      </c>
      <c r="J19" s="39">
        <v>0.35410000000000003</v>
      </c>
      <c r="K19" s="39">
        <v>2.694</v>
      </c>
      <c r="L19" s="39">
        <v>24.0931</v>
      </c>
      <c r="M19" s="39">
        <v>235.73079999999999</v>
      </c>
    </row>
    <row r="20" spans="1:13" x14ac:dyDescent="0.25">
      <c r="A20" s="39">
        <v>1.8</v>
      </c>
      <c r="B20" s="39">
        <v>2</v>
      </c>
      <c r="C20" s="39">
        <v>523</v>
      </c>
      <c r="D20" s="39">
        <v>11</v>
      </c>
      <c r="E20" s="39">
        <v>0.13</v>
      </c>
      <c r="F20" s="39">
        <v>68.191800000000001</v>
      </c>
      <c r="G20" s="39">
        <v>100.0488</v>
      </c>
      <c r="H20" s="39">
        <v>595.7192</v>
      </c>
      <c r="I20" s="39">
        <v>23.818100000000001</v>
      </c>
      <c r="J20" s="39">
        <v>0.35410000000000003</v>
      </c>
      <c r="K20" s="39">
        <v>2.694</v>
      </c>
      <c r="L20" s="39">
        <v>24.0931</v>
      </c>
      <c r="M20" s="39">
        <v>235.73079999999999</v>
      </c>
    </row>
    <row r="21" spans="1:13" x14ac:dyDescent="0.25">
      <c r="A21" s="39">
        <v>1.9</v>
      </c>
      <c r="B21" s="39">
        <v>3</v>
      </c>
      <c r="C21" s="39">
        <v>533</v>
      </c>
      <c r="D21" s="39">
        <v>44</v>
      </c>
      <c r="E21" s="39">
        <v>0.11</v>
      </c>
      <c r="F21" s="39">
        <v>89.438400000000001</v>
      </c>
      <c r="G21" s="39">
        <v>124.57680000000001</v>
      </c>
      <c r="H21" s="39">
        <v>497.82920000000001</v>
      </c>
      <c r="I21" s="39">
        <v>71.735699999999994</v>
      </c>
      <c r="J21" s="39">
        <v>7.9299999999999995E-2</v>
      </c>
      <c r="K21" s="39">
        <v>3.0792999999999999</v>
      </c>
      <c r="L21" s="39">
        <v>29.487300000000001</v>
      </c>
      <c r="M21" s="39">
        <v>237.2176</v>
      </c>
    </row>
    <row r="22" spans="1:13" x14ac:dyDescent="0.25">
      <c r="A22" s="39">
        <v>2</v>
      </c>
      <c r="B22" s="39">
        <v>3</v>
      </c>
      <c r="C22" s="39">
        <v>533</v>
      </c>
      <c r="D22" s="39">
        <v>44</v>
      </c>
      <c r="E22" s="39">
        <v>0.11</v>
      </c>
      <c r="F22" s="39">
        <v>89.438400000000001</v>
      </c>
      <c r="G22" s="39">
        <v>124.57680000000001</v>
      </c>
      <c r="H22" s="39">
        <v>497.82920000000001</v>
      </c>
      <c r="I22" s="39">
        <v>71.735699999999994</v>
      </c>
      <c r="J22" s="39">
        <v>7.9299999999999995E-2</v>
      </c>
      <c r="K22" s="39">
        <v>3.0792999999999999</v>
      </c>
      <c r="L22" s="39">
        <v>29.487300000000001</v>
      </c>
      <c r="M22" s="39">
        <v>237.2176</v>
      </c>
    </row>
    <row r="23" spans="1:13" x14ac:dyDescent="0.25">
      <c r="A23" s="39">
        <v>2.1</v>
      </c>
      <c r="B23" s="39">
        <v>3</v>
      </c>
      <c r="C23" s="39">
        <v>533</v>
      </c>
      <c r="D23" s="39">
        <v>44</v>
      </c>
      <c r="E23" s="39">
        <v>0.11</v>
      </c>
      <c r="F23" s="39">
        <v>89.438400000000001</v>
      </c>
      <c r="G23" s="39">
        <v>124.57680000000001</v>
      </c>
      <c r="H23" s="39">
        <v>497.82920000000001</v>
      </c>
      <c r="I23" s="39">
        <v>71.735699999999994</v>
      </c>
      <c r="J23" s="39">
        <v>7.9299999999999995E-2</v>
      </c>
      <c r="K23" s="39">
        <v>3.0792999999999999</v>
      </c>
      <c r="L23" s="39">
        <v>29.487300000000001</v>
      </c>
      <c r="M23" s="39">
        <v>237.2176</v>
      </c>
    </row>
    <row r="24" spans="1:13" x14ac:dyDescent="0.25">
      <c r="A24" s="39">
        <v>2.2000000000000002</v>
      </c>
      <c r="B24" s="39">
        <v>3</v>
      </c>
      <c r="C24" s="39">
        <v>533</v>
      </c>
      <c r="D24" s="39">
        <v>44</v>
      </c>
      <c r="E24" s="39">
        <v>0.11</v>
      </c>
      <c r="F24" s="39">
        <v>89.438400000000001</v>
      </c>
      <c r="G24" s="39">
        <v>124.57680000000001</v>
      </c>
      <c r="H24" s="39">
        <v>497.82920000000001</v>
      </c>
      <c r="I24" s="39">
        <v>71.735699999999994</v>
      </c>
      <c r="J24" s="39">
        <v>7.9299999999999995E-2</v>
      </c>
      <c r="K24" s="39">
        <v>3.0792999999999999</v>
      </c>
      <c r="L24" s="39">
        <v>29.487300000000001</v>
      </c>
      <c r="M24" s="39">
        <v>237.2176</v>
      </c>
    </row>
    <row r="25" spans="1:13" x14ac:dyDescent="0.25">
      <c r="A25" s="39">
        <v>2.2999999999999998</v>
      </c>
      <c r="B25" s="39">
        <v>4</v>
      </c>
      <c r="C25" s="39">
        <v>552</v>
      </c>
      <c r="D25" s="39">
        <v>52</v>
      </c>
      <c r="E25" s="39">
        <v>0.19</v>
      </c>
      <c r="F25" s="39">
        <v>95.251199999999997</v>
      </c>
      <c r="G25" s="39">
        <v>126.771</v>
      </c>
      <c r="H25" s="39">
        <v>502.02620000000002</v>
      </c>
      <c r="I25" s="39">
        <v>78.937399999999997</v>
      </c>
      <c r="J25" s="39">
        <v>0.17069999999999999</v>
      </c>
      <c r="K25" s="39">
        <v>1.6893</v>
      </c>
      <c r="L25" s="39">
        <v>27.3047</v>
      </c>
      <c r="M25" s="39">
        <v>240.2201</v>
      </c>
    </row>
    <row r="26" spans="1:13" x14ac:dyDescent="0.25">
      <c r="A26" s="39">
        <v>2.4</v>
      </c>
      <c r="B26" s="39">
        <v>4</v>
      </c>
      <c r="C26" s="39">
        <v>552</v>
      </c>
      <c r="D26" s="39">
        <v>52</v>
      </c>
      <c r="E26" s="39">
        <v>0.19</v>
      </c>
      <c r="F26" s="39">
        <v>95.251199999999997</v>
      </c>
      <c r="G26" s="39">
        <v>126.771</v>
      </c>
      <c r="H26" s="39">
        <v>502.02620000000002</v>
      </c>
      <c r="I26" s="39">
        <v>78.937399999999997</v>
      </c>
      <c r="J26" s="39">
        <v>0.17069999999999999</v>
      </c>
      <c r="K26" s="39">
        <v>1.6893</v>
      </c>
      <c r="L26" s="39">
        <v>27.3047</v>
      </c>
      <c r="M26" s="39">
        <v>240.2201</v>
      </c>
    </row>
    <row r="27" spans="1:13" x14ac:dyDescent="0.25">
      <c r="A27" s="39">
        <v>2.5</v>
      </c>
      <c r="B27" s="39">
        <v>4</v>
      </c>
      <c r="C27" s="39">
        <v>552</v>
      </c>
      <c r="D27" s="39">
        <v>52</v>
      </c>
      <c r="E27" s="39">
        <v>0.19</v>
      </c>
      <c r="F27" s="39">
        <v>95.251199999999997</v>
      </c>
      <c r="G27" s="39">
        <v>126.771</v>
      </c>
      <c r="H27" s="39">
        <v>502.02620000000002</v>
      </c>
      <c r="I27" s="39">
        <v>78.937399999999997</v>
      </c>
      <c r="J27" s="39">
        <v>0.17069999999999999</v>
      </c>
      <c r="K27" s="39">
        <v>1.6893</v>
      </c>
      <c r="L27" s="39">
        <v>27.3047</v>
      </c>
      <c r="M27" s="39">
        <v>240.2201</v>
      </c>
    </row>
    <row r="28" spans="1:13" x14ac:dyDescent="0.25">
      <c r="A28" s="39">
        <v>2.6</v>
      </c>
      <c r="B28" s="39">
        <v>4</v>
      </c>
      <c r="C28" s="39">
        <v>552</v>
      </c>
      <c r="D28" s="39">
        <v>52</v>
      </c>
      <c r="E28" s="39">
        <v>0.19</v>
      </c>
      <c r="F28" s="39">
        <v>95.251199999999997</v>
      </c>
      <c r="G28" s="39">
        <v>126.771</v>
      </c>
      <c r="H28" s="39">
        <v>502.02620000000002</v>
      </c>
      <c r="I28" s="39">
        <v>78.937399999999997</v>
      </c>
      <c r="J28" s="39">
        <v>0.17069999999999999</v>
      </c>
      <c r="K28" s="39">
        <v>1.6893</v>
      </c>
      <c r="L28" s="39">
        <v>27.3047</v>
      </c>
      <c r="M28" s="39">
        <v>240.2201</v>
      </c>
    </row>
    <row r="29" spans="1:13" x14ac:dyDescent="0.25">
      <c r="A29" s="39">
        <v>2.7</v>
      </c>
      <c r="B29" s="39">
        <v>5</v>
      </c>
      <c r="C29" s="39">
        <v>570</v>
      </c>
      <c r="D29" s="39">
        <v>18</v>
      </c>
      <c r="E29" s="39">
        <v>0.26</v>
      </c>
      <c r="F29" s="39">
        <v>71.839100000000002</v>
      </c>
      <c r="G29" s="39">
        <v>102.8441</v>
      </c>
      <c r="H29" s="39">
        <v>604.79319999999996</v>
      </c>
      <c r="I29" s="39">
        <v>19.9726</v>
      </c>
      <c r="J29" s="39">
        <v>0.60589999999999999</v>
      </c>
      <c r="K29" s="39">
        <v>1.9593</v>
      </c>
      <c r="L29" s="39">
        <v>22.437000000000001</v>
      </c>
      <c r="M29" s="39">
        <v>232.09790000000001</v>
      </c>
    </row>
    <row r="30" spans="1:13" x14ac:dyDescent="0.25">
      <c r="A30" s="39">
        <v>2.8</v>
      </c>
      <c r="B30" s="39">
        <v>5</v>
      </c>
      <c r="C30" s="39">
        <v>570</v>
      </c>
      <c r="D30" s="39">
        <v>18</v>
      </c>
      <c r="E30" s="39">
        <v>0.26</v>
      </c>
      <c r="F30" s="39">
        <v>71.839100000000002</v>
      </c>
      <c r="G30" s="39">
        <v>102.8441</v>
      </c>
      <c r="H30" s="39">
        <v>604.79319999999996</v>
      </c>
      <c r="I30" s="39">
        <v>19.9726</v>
      </c>
      <c r="J30" s="39">
        <v>0.60589999999999999</v>
      </c>
      <c r="K30" s="39">
        <v>1.9593</v>
      </c>
      <c r="L30" s="39">
        <v>22.437000000000001</v>
      </c>
      <c r="M30" s="39">
        <v>232.09790000000001</v>
      </c>
    </row>
    <row r="31" spans="1:13" x14ac:dyDescent="0.25">
      <c r="A31" s="39">
        <v>2.9</v>
      </c>
      <c r="B31" s="39">
        <v>5</v>
      </c>
      <c r="C31" s="39">
        <v>570</v>
      </c>
      <c r="D31" s="39">
        <v>18</v>
      </c>
      <c r="E31" s="39">
        <v>0.26</v>
      </c>
      <c r="F31" s="39">
        <v>71.839100000000002</v>
      </c>
      <c r="G31" s="39">
        <v>102.8441</v>
      </c>
      <c r="H31" s="39">
        <v>604.79319999999996</v>
      </c>
      <c r="I31" s="39">
        <v>19.9726</v>
      </c>
      <c r="J31" s="39">
        <v>0.60589999999999999</v>
      </c>
      <c r="K31" s="39">
        <v>1.9593</v>
      </c>
      <c r="L31" s="39">
        <v>22.437000000000001</v>
      </c>
      <c r="M31" s="39">
        <v>232.09790000000001</v>
      </c>
    </row>
    <row r="32" spans="1:13" x14ac:dyDescent="0.25">
      <c r="A32" s="39">
        <v>3</v>
      </c>
      <c r="B32" s="39">
        <v>5</v>
      </c>
      <c r="C32" s="39">
        <v>570</v>
      </c>
      <c r="D32" s="39">
        <v>18</v>
      </c>
      <c r="E32" s="39">
        <v>0.26</v>
      </c>
      <c r="F32" s="39">
        <v>71.839100000000002</v>
      </c>
      <c r="G32" s="39">
        <v>102.8441</v>
      </c>
      <c r="H32" s="39">
        <v>604.79319999999996</v>
      </c>
      <c r="I32" s="39">
        <v>19.9726</v>
      </c>
      <c r="J32" s="39">
        <v>0.60589999999999999</v>
      </c>
      <c r="K32" s="39">
        <v>1.9593</v>
      </c>
      <c r="L32" s="39">
        <v>22.437000000000001</v>
      </c>
      <c r="M32" s="39">
        <v>232.09790000000001</v>
      </c>
    </row>
    <row r="33" spans="1:13" x14ac:dyDescent="0.25">
      <c r="A33" s="39">
        <v>3.1</v>
      </c>
      <c r="B33" s="39">
        <v>6</v>
      </c>
      <c r="C33" s="39">
        <v>589</v>
      </c>
      <c r="D33" s="39">
        <v>37</v>
      </c>
      <c r="E33" s="39">
        <v>0.27</v>
      </c>
      <c r="F33" s="39">
        <v>83.817999999999998</v>
      </c>
      <c r="G33" s="39">
        <v>114.92019999999999</v>
      </c>
      <c r="H33" s="39">
        <v>547.6653</v>
      </c>
      <c r="I33" s="39">
        <v>33.9101</v>
      </c>
      <c r="J33" s="39">
        <v>0.34989999999999999</v>
      </c>
      <c r="K33" s="39">
        <v>1.7025999999999999</v>
      </c>
      <c r="L33" s="39">
        <v>24.677600000000002</v>
      </c>
      <c r="M33" s="39">
        <v>228.13890000000001</v>
      </c>
    </row>
    <row r="34" spans="1:13" x14ac:dyDescent="0.25">
      <c r="A34" s="39">
        <v>3.2</v>
      </c>
      <c r="B34" s="39">
        <v>6</v>
      </c>
      <c r="C34" s="39">
        <v>589</v>
      </c>
      <c r="D34" s="39">
        <v>37</v>
      </c>
      <c r="E34" s="39">
        <v>0.27</v>
      </c>
      <c r="F34" s="39">
        <v>83.817999999999998</v>
      </c>
      <c r="G34" s="39">
        <v>114.92019999999999</v>
      </c>
      <c r="H34" s="39">
        <v>547.6653</v>
      </c>
      <c r="I34" s="39">
        <v>33.9101</v>
      </c>
      <c r="J34" s="39">
        <v>0.34989999999999999</v>
      </c>
      <c r="K34" s="39">
        <v>1.7025999999999999</v>
      </c>
      <c r="L34" s="39">
        <v>24.677600000000002</v>
      </c>
      <c r="M34" s="39">
        <v>228.13890000000001</v>
      </c>
    </row>
    <row r="35" spans="1:13" x14ac:dyDescent="0.25">
      <c r="A35" s="39">
        <v>3.3</v>
      </c>
      <c r="B35" s="39">
        <v>6</v>
      </c>
      <c r="C35" s="39">
        <v>589</v>
      </c>
      <c r="D35" s="39">
        <v>37</v>
      </c>
      <c r="E35" s="39">
        <v>0.27</v>
      </c>
      <c r="F35" s="39">
        <v>83.817999999999998</v>
      </c>
      <c r="G35" s="39">
        <v>114.92019999999999</v>
      </c>
      <c r="H35" s="39">
        <v>547.6653</v>
      </c>
      <c r="I35" s="39">
        <v>33.9101</v>
      </c>
      <c r="J35" s="39">
        <v>0.34989999999999999</v>
      </c>
      <c r="K35" s="39">
        <v>1.7025999999999999</v>
      </c>
      <c r="L35" s="39">
        <v>24.677600000000002</v>
      </c>
      <c r="M35" s="39">
        <v>228.13890000000001</v>
      </c>
    </row>
    <row r="36" spans="1:13" x14ac:dyDescent="0.25">
      <c r="A36" s="39">
        <v>3.4</v>
      </c>
      <c r="B36" s="39">
        <v>6</v>
      </c>
      <c r="C36" s="39">
        <v>589</v>
      </c>
      <c r="D36" s="39">
        <v>37</v>
      </c>
      <c r="E36" s="39">
        <v>0.27</v>
      </c>
      <c r="F36" s="39">
        <v>83.817999999999998</v>
      </c>
      <c r="G36" s="39">
        <v>114.92019999999999</v>
      </c>
      <c r="H36" s="39">
        <v>547.6653</v>
      </c>
      <c r="I36" s="39">
        <v>33.9101</v>
      </c>
      <c r="J36" s="39">
        <v>0.34989999999999999</v>
      </c>
      <c r="K36" s="39">
        <v>1.7025999999999999</v>
      </c>
      <c r="L36" s="39">
        <v>24.677600000000002</v>
      </c>
      <c r="M36" s="39">
        <v>228.13890000000001</v>
      </c>
    </row>
    <row r="37" spans="1:13" x14ac:dyDescent="0.25">
      <c r="A37" s="39">
        <v>3.5</v>
      </c>
      <c r="B37" s="39">
        <v>7</v>
      </c>
      <c r="C37" s="39">
        <v>598</v>
      </c>
      <c r="D37" s="39">
        <v>49</v>
      </c>
      <c r="E37" s="39">
        <v>0.1</v>
      </c>
      <c r="F37" s="39">
        <v>96.603200000000001</v>
      </c>
      <c r="G37" s="39">
        <v>131.02590000000001</v>
      </c>
      <c r="H37" s="39">
        <v>509.61430000000001</v>
      </c>
      <c r="I37" s="39">
        <v>97.263800000000003</v>
      </c>
      <c r="J37" s="39">
        <v>7.3899999999999993E-2</v>
      </c>
      <c r="K37" s="39">
        <v>3.2715999999999998</v>
      </c>
      <c r="L37" s="39">
        <v>28.964300000000001</v>
      </c>
      <c r="M37" s="39">
        <v>233.62370000000001</v>
      </c>
    </row>
    <row r="38" spans="1:13" x14ac:dyDescent="0.25">
      <c r="A38" s="39">
        <v>3.6</v>
      </c>
      <c r="B38" s="39">
        <v>7</v>
      </c>
      <c r="C38" s="39">
        <v>598</v>
      </c>
      <c r="D38" s="39">
        <v>49</v>
      </c>
      <c r="E38" s="39">
        <v>0.1</v>
      </c>
      <c r="F38" s="39">
        <v>96.603200000000001</v>
      </c>
      <c r="G38" s="39">
        <v>131.02590000000001</v>
      </c>
      <c r="H38" s="39">
        <v>509.61430000000001</v>
      </c>
      <c r="I38" s="39">
        <v>97.263800000000003</v>
      </c>
      <c r="J38" s="39">
        <v>7.3899999999999993E-2</v>
      </c>
      <c r="K38" s="39">
        <v>3.2715999999999998</v>
      </c>
      <c r="L38" s="39">
        <v>28.964300000000001</v>
      </c>
      <c r="M38" s="39">
        <v>233.62370000000001</v>
      </c>
    </row>
    <row r="39" spans="1:13" x14ac:dyDescent="0.25">
      <c r="A39" s="39">
        <v>3.7</v>
      </c>
      <c r="B39" s="39">
        <v>7</v>
      </c>
      <c r="C39" s="39">
        <v>598</v>
      </c>
      <c r="D39" s="39">
        <v>49</v>
      </c>
      <c r="E39" s="39">
        <v>0.1</v>
      </c>
      <c r="F39" s="39">
        <v>96.603200000000001</v>
      </c>
      <c r="G39" s="39">
        <v>131.02590000000001</v>
      </c>
      <c r="H39" s="39">
        <v>509.61430000000001</v>
      </c>
      <c r="I39" s="39">
        <v>97.263800000000003</v>
      </c>
      <c r="J39" s="39">
        <v>7.3899999999999993E-2</v>
      </c>
      <c r="K39" s="39">
        <v>3.2715999999999998</v>
      </c>
      <c r="L39" s="39">
        <v>28.964300000000001</v>
      </c>
      <c r="M39" s="39">
        <v>233.62370000000001</v>
      </c>
    </row>
    <row r="40" spans="1:13" x14ac:dyDescent="0.25">
      <c r="A40" s="39">
        <v>3.8</v>
      </c>
      <c r="B40" s="39">
        <v>7</v>
      </c>
      <c r="C40" s="39">
        <v>598</v>
      </c>
      <c r="D40" s="39">
        <v>49</v>
      </c>
      <c r="E40" s="39">
        <v>0.1</v>
      </c>
      <c r="F40" s="39">
        <v>96.603200000000001</v>
      </c>
      <c r="G40" s="39">
        <v>131.02590000000001</v>
      </c>
      <c r="H40" s="39">
        <v>509.61430000000001</v>
      </c>
      <c r="I40" s="39">
        <v>97.263800000000003</v>
      </c>
      <c r="J40" s="39">
        <v>7.3899999999999993E-2</v>
      </c>
      <c r="K40" s="39">
        <v>3.2715999999999998</v>
      </c>
      <c r="L40" s="39">
        <v>28.964300000000001</v>
      </c>
      <c r="M40" s="39">
        <v>233.62370000000001</v>
      </c>
    </row>
    <row r="41" spans="1:13" x14ac:dyDescent="0.25">
      <c r="A41" s="39">
        <v>3.9</v>
      </c>
      <c r="B41" s="39">
        <v>8</v>
      </c>
      <c r="C41" s="39">
        <v>608</v>
      </c>
      <c r="D41" s="39">
        <v>28</v>
      </c>
      <c r="E41" s="39">
        <v>0.16</v>
      </c>
      <c r="F41" s="39">
        <v>80.523899999999998</v>
      </c>
      <c r="G41" s="39">
        <v>113.9226</v>
      </c>
      <c r="H41" s="39">
        <v>565.34580000000005</v>
      </c>
      <c r="I41" s="39">
        <v>33.267099999999999</v>
      </c>
      <c r="J41" s="39">
        <v>0.1847</v>
      </c>
      <c r="K41" s="39">
        <v>2.8433000000000002</v>
      </c>
      <c r="L41" s="39">
        <v>25.156400000000001</v>
      </c>
      <c r="M41" s="39">
        <v>226.57079999999999</v>
      </c>
    </row>
    <row r="42" spans="1:13" x14ac:dyDescent="0.25">
      <c r="A42" s="39">
        <v>4</v>
      </c>
      <c r="B42" s="39">
        <v>8</v>
      </c>
      <c r="C42" s="39">
        <v>608</v>
      </c>
      <c r="D42" s="39">
        <v>28</v>
      </c>
      <c r="E42" s="39">
        <v>0.16</v>
      </c>
      <c r="F42" s="39">
        <v>80.523899999999998</v>
      </c>
      <c r="G42" s="39">
        <v>113.9226</v>
      </c>
      <c r="H42" s="39">
        <v>565.34580000000005</v>
      </c>
      <c r="I42" s="39">
        <v>33.267099999999999</v>
      </c>
      <c r="J42" s="39">
        <v>0.1847</v>
      </c>
      <c r="K42" s="39">
        <v>2.8433000000000002</v>
      </c>
      <c r="L42" s="39">
        <v>25.156400000000001</v>
      </c>
      <c r="M42" s="39">
        <v>226.57079999999999</v>
      </c>
    </row>
    <row r="43" spans="1:13" x14ac:dyDescent="0.25">
      <c r="A43" s="39">
        <v>4.0999999999999996</v>
      </c>
      <c r="B43" s="39">
        <v>8</v>
      </c>
      <c r="C43" s="39">
        <v>608</v>
      </c>
      <c r="D43" s="39">
        <v>28</v>
      </c>
      <c r="E43" s="39">
        <v>0.16</v>
      </c>
      <c r="F43" s="39">
        <v>80.523899999999998</v>
      </c>
      <c r="G43" s="39">
        <v>113.9226</v>
      </c>
      <c r="H43" s="39">
        <v>565.34580000000005</v>
      </c>
      <c r="I43" s="39">
        <v>33.267099999999999</v>
      </c>
      <c r="J43" s="39">
        <v>0.1847</v>
      </c>
      <c r="K43" s="39">
        <v>2.8433000000000002</v>
      </c>
      <c r="L43" s="39">
        <v>25.156400000000001</v>
      </c>
      <c r="M43" s="39">
        <v>226.57079999999999</v>
      </c>
    </row>
    <row r="44" spans="1:13" x14ac:dyDescent="0.25">
      <c r="A44" s="39">
        <v>4.2</v>
      </c>
      <c r="B44" s="39">
        <v>8</v>
      </c>
      <c r="C44" s="39">
        <v>608</v>
      </c>
      <c r="D44" s="39">
        <v>28</v>
      </c>
      <c r="E44" s="39">
        <v>0.16</v>
      </c>
      <c r="F44" s="39">
        <v>80.523899999999998</v>
      </c>
      <c r="G44" s="39">
        <v>113.9226</v>
      </c>
      <c r="H44" s="39">
        <v>565.34580000000005</v>
      </c>
      <c r="I44" s="39">
        <v>33.267099999999999</v>
      </c>
      <c r="J44" s="39">
        <v>0.1847</v>
      </c>
      <c r="K44" s="39">
        <v>2.8433000000000002</v>
      </c>
      <c r="L44" s="39">
        <v>25.156400000000001</v>
      </c>
      <c r="M44" s="39">
        <v>226.57079999999999</v>
      </c>
    </row>
    <row r="45" spans="1:13" x14ac:dyDescent="0.25">
      <c r="A45" s="39">
        <v>4.3</v>
      </c>
      <c r="B45" s="39">
        <v>9</v>
      </c>
      <c r="C45" s="39">
        <v>627</v>
      </c>
      <c r="D45" s="39">
        <v>13</v>
      </c>
      <c r="E45" s="39">
        <v>0.12</v>
      </c>
      <c r="F45" s="39">
        <v>73.524699999999996</v>
      </c>
      <c r="G45" s="39">
        <v>106.4969</v>
      </c>
      <c r="H45" s="39">
        <v>618.12239999999997</v>
      </c>
      <c r="I45" s="39">
        <v>26.261099999999999</v>
      </c>
      <c r="J45" s="39">
        <v>0.29310000000000003</v>
      </c>
      <c r="K45" s="39">
        <v>3.3220999999999998</v>
      </c>
      <c r="L45" s="39">
        <v>22.748999999999999</v>
      </c>
      <c r="M45" s="39">
        <v>227.012</v>
      </c>
    </row>
    <row r="46" spans="1:13" x14ac:dyDescent="0.25">
      <c r="A46" s="39">
        <v>4.4000000000000004</v>
      </c>
      <c r="B46" s="39">
        <v>9</v>
      </c>
      <c r="C46" s="39">
        <v>627</v>
      </c>
      <c r="D46" s="39">
        <v>13</v>
      </c>
      <c r="E46" s="39">
        <v>0.12</v>
      </c>
      <c r="F46" s="39">
        <v>73.524699999999996</v>
      </c>
      <c r="G46" s="39">
        <v>106.4969</v>
      </c>
      <c r="H46" s="39">
        <v>618.12239999999997</v>
      </c>
      <c r="I46" s="39">
        <v>26.261099999999999</v>
      </c>
      <c r="J46" s="39">
        <v>0.29310000000000003</v>
      </c>
      <c r="K46" s="39">
        <v>3.3220999999999998</v>
      </c>
      <c r="L46" s="39">
        <v>22.748999999999999</v>
      </c>
      <c r="M46" s="39">
        <v>227.012</v>
      </c>
    </row>
    <row r="47" spans="1:13" x14ac:dyDescent="0.25">
      <c r="A47" s="39">
        <v>4.5</v>
      </c>
      <c r="B47" s="39">
        <v>9</v>
      </c>
      <c r="C47" s="39">
        <v>627</v>
      </c>
      <c r="D47" s="39">
        <v>13</v>
      </c>
      <c r="E47" s="39">
        <v>0.12</v>
      </c>
      <c r="F47" s="39">
        <v>73.524699999999996</v>
      </c>
      <c r="G47" s="39">
        <v>106.4969</v>
      </c>
      <c r="H47" s="39">
        <v>618.12239999999997</v>
      </c>
      <c r="I47" s="39">
        <v>26.261099999999999</v>
      </c>
      <c r="J47" s="39">
        <v>0.29310000000000003</v>
      </c>
      <c r="K47" s="39">
        <v>3.3220999999999998</v>
      </c>
      <c r="L47" s="39">
        <v>22.748999999999999</v>
      </c>
      <c r="M47" s="39">
        <v>227.012</v>
      </c>
    </row>
    <row r="48" spans="1:13" x14ac:dyDescent="0.25">
      <c r="A48" s="39">
        <v>4.5999999999999996</v>
      </c>
      <c r="B48" s="39">
        <v>9</v>
      </c>
      <c r="C48" s="39">
        <v>627</v>
      </c>
      <c r="D48" s="39">
        <v>13</v>
      </c>
      <c r="E48" s="39">
        <v>0.12</v>
      </c>
      <c r="F48" s="39">
        <v>73.524699999999996</v>
      </c>
      <c r="G48" s="39">
        <v>106.4969</v>
      </c>
      <c r="H48" s="39">
        <v>618.12239999999997</v>
      </c>
      <c r="I48" s="39">
        <v>26.261099999999999</v>
      </c>
      <c r="J48" s="39">
        <v>0.29310000000000003</v>
      </c>
      <c r="K48" s="39">
        <v>3.3220999999999998</v>
      </c>
      <c r="L48" s="39">
        <v>22.748999999999999</v>
      </c>
      <c r="M48" s="39">
        <v>227.012</v>
      </c>
    </row>
    <row r="49" spans="1:13" x14ac:dyDescent="0.25">
      <c r="A49" s="39">
        <v>4.7</v>
      </c>
      <c r="B49" s="39">
        <v>10</v>
      </c>
      <c r="C49" s="39">
        <v>645</v>
      </c>
      <c r="D49" s="39">
        <v>47</v>
      </c>
      <c r="E49" s="39">
        <v>0.19</v>
      </c>
      <c r="F49" s="39">
        <v>95.153499999999994</v>
      </c>
      <c r="G49" s="39">
        <v>126.7486</v>
      </c>
      <c r="H49" s="39">
        <v>531.10509999999999</v>
      </c>
      <c r="I49" s="39">
        <v>65.624700000000004</v>
      </c>
      <c r="J49" s="39">
        <v>0.1883</v>
      </c>
      <c r="K49" s="39">
        <v>1.9641</v>
      </c>
      <c r="L49" s="39">
        <v>25.2013</v>
      </c>
      <c r="M49" s="39">
        <v>226.66720000000001</v>
      </c>
    </row>
    <row r="50" spans="1:13" x14ac:dyDescent="0.25">
      <c r="A50" s="39">
        <v>4.8</v>
      </c>
      <c r="B50" s="39">
        <v>10</v>
      </c>
      <c r="C50" s="39">
        <v>645</v>
      </c>
      <c r="D50" s="39">
        <v>47</v>
      </c>
      <c r="E50" s="39">
        <v>0.19</v>
      </c>
      <c r="F50" s="39">
        <v>95.153499999999994</v>
      </c>
      <c r="G50" s="39">
        <v>126.7486</v>
      </c>
      <c r="H50" s="39">
        <v>531.10509999999999</v>
      </c>
      <c r="I50" s="39">
        <v>65.624700000000004</v>
      </c>
      <c r="J50" s="39">
        <v>0.1883</v>
      </c>
      <c r="K50" s="39">
        <v>1.9641</v>
      </c>
      <c r="L50" s="39">
        <v>25.2013</v>
      </c>
      <c r="M50" s="39">
        <v>226.66720000000001</v>
      </c>
    </row>
    <row r="51" spans="1:13" x14ac:dyDescent="0.25">
      <c r="A51" s="39">
        <v>4.9000000000000004</v>
      </c>
      <c r="B51" s="39">
        <v>10</v>
      </c>
      <c r="C51" s="39">
        <v>645</v>
      </c>
      <c r="D51" s="39">
        <v>47</v>
      </c>
      <c r="E51" s="39">
        <v>0.19</v>
      </c>
      <c r="F51" s="39">
        <v>95.153499999999994</v>
      </c>
      <c r="G51" s="39">
        <v>126.7486</v>
      </c>
      <c r="H51" s="39">
        <v>531.10509999999999</v>
      </c>
      <c r="I51" s="39">
        <v>65.624700000000004</v>
      </c>
      <c r="J51" s="39">
        <v>0.1883</v>
      </c>
      <c r="K51" s="39">
        <v>1.9641</v>
      </c>
      <c r="L51" s="39">
        <v>25.2013</v>
      </c>
      <c r="M51" s="39">
        <v>226.66720000000001</v>
      </c>
    </row>
    <row r="52" spans="1:13" x14ac:dyDescent="0.25">
      <c r="A52" s="39">
        <v>5</v>
      </c>
      <c r="B52" s="39">
        <v>10</v>
      </c>
      <c r="C52" s="39">
        <v>645</v>
      </c>
      <c r="D52" s="39">
        <v>47</v>
      </c>
      <c r="E52" s="39">
        <v>0.19</v>
      </c>
      <c r="F52" s="39">
        <v>95.153499999999994</v>
      </c>
      <c r="G52" s="39">
        <v>126.7486</v>
      </c>
      <c r="H52" s="39">
        <v>531.10509999999999</v>
      </c>
      <c r="I52" s="39">
        <v>65.624700000000004</v>
      </c>
      <c r="J52" s="39">
        <v>0.1883</v>
      </c>
      <c r="K52" s="39">
        <v>1.9641</v>
      </c>
      <c r="L52" s="39">
        <v>25.2013</v>
      </c>
      <c r="M52" s="39">
        <v>226.66720000000001</v>
      </c>
    </row>
    <row r="53" spans="1:13" x14ac:dyDescent="0.25">
      <c r="A53" s="39">
        <v>5.0999999999999996</v>
      </c>
      <c r="B53" s="39">
        <v>11</v>
      </c>
      <c r="C53" s="39">
        <v>664</v>
      </c>
      <c r="D53" s="39">
        <v>41</v>
      </c>
      <c r="E53" s="39">
        <v>0.11</v>
      </c>
      <c r="F53" s="39">
        <v>93.214699999999993</v>
      </c>
      <c r="G53" s="39">
        <v>127.3496</v>
      </c>
      <c r="H53" s="39">
        <v>535.88829999999996</v>
      </c>
      <c r="I53" s="39">
        <v>66.867400000000004</v>
      </c>
      <c r="J53" s="39">
        <v>9.4399999999999998E-2</v>
      </c>
      <c r="K53" s="39">
        <v>3.5013000000000001</v>
      </c>
      <c r="L53" s="39">
        <v>26.128900000000002</v>
      </c>
      <c r="M53" s="39">
        <v>223.28569999999999</v>
      </c>
    </row>
    <row r="54" spans="1:13" x14ac:dyDescent="0.25">
      <c r="A54" s="39">
        <v>5.2</v>
      </c>
      <c r="B54" s="39">
        <v>11</v>
      </c>
      <c r="C54" s="39">
        <v>664</v>
      </c>
      <c r="D54" s="39">
        <v>41</v>
      </c>
      <c r="E54" s="39">
        <v>0.11</v>
      </c>
      <c r="F54" s="39">
        <v>93.214699999999993</v>
      </c>
      <c r="G54" s="39">
        <v>127.3496</v>
      </c>
      <c r="H54" s="39">
        <v>535.88829999999996</v>
      </c>
      <c r="I54" s="39">
        <v>66.867400000000004</v>
      </c>
      <c r="J54" s="39">
        <v>9.4399999999999998E-2</v>
      </c>
      <c r="K54" s="39">
        <v>3.5013000000000001</v>
      </c>
      <c r="L54" s="39">
        <v>26.128900000000002</v>
      </c>
      <c r="M54" s="39">
        <v>223.28569999999999</v>
      </c>
    </row>
    <row r="55" spans="1:13" x14ac:dyDescent="0.25">
      <c r="A55" s="39">
        <v>5.3</v>
      </c>
      <c r="B55" s="39">
        <v>11</v>
      </c>
      <c r="C55" s="39">
        <v>664</v>
      </c>
      <c r="D55" s="39">
        <v>41</v>
      </c>
      <c r="E55" s="39">
        <v>0.11</v>
      </c>
      <c r="F55" s="39">
        <v>93.214699999999993</v>
      </c>
      <c r="G55" s="39">
        <v>127.3496</v>
      </c>
      <c r="H55" s="39">
        <v>535.88829999999996</v>
      </c>
      <c r="I55" s="39">
        <v>66.867400000000004</v>
      </c>
      <c r="J55" s="39">
        <v>9.4399999999999998E-2</v>
      </c>
      <c r="K55" s="39">
        <v>3.5013000000000001</v>
      </c>
      <c r="L55" s="39">
        <v>26.128900000000002</v>
      </c>
      <c r="M55" s="39">
        <v>223.28569999999999</v>
      </c>
    </row>
    <row r="56" spans="1:13" x14ac:dyDescent="0.25">
      <c r="A56" s="39">
        <v>5.4</v>
      </c>
      <c r="B56" s="39">
        <v>11</v>
      </c>
      <c r="C56" s="39">
        <v>664</v>
      </c>
      <c r="D56" s="39">
        <v>41</v>
      </c>
      <c r="E56" s="39">
        <v>0.11</v>
      </c>
      <c r="F56" s="39">
        <v>93.214699999999993</v>
      </c>
      <c r="G56" s="39">
        <v>127.3496</v>
      </c>
      <c r="H56" s="39">
        <v>535.88829999999996</v>
      </c>
      <c r="I56" s="39">
        <v>66.867400000000004</v>
      </c>
      <c r="J56" s="39">
        <v>9.4399999999999998E-2</v>
      </c>
      <c r="K56" s="39">
        <v>3.5013000000000001</v>
      </c>
      <c r="L56" s="39">
        <v>26.128900000000002</v>
      </c>
      <c r="M56" s="39">
        <v>223.28569999999999</v>
      </c>
    </row>
    <row r="57" spans="1:13" x14ac:dyDescent="0.25">
      <c r="A57" s="39">
        <v>5.5</v>
      </c>
      <c r="B57" s="39">
        <v>12</v>
      </c>
      <c r="C57" s="39">
        <v>673</v>
      </c>
      <c r="D57" s="39">
        <v>46</v>
      </c>
      <c r="E57" s="39">
        <v>0.23</v>
      </c>
      <c r="F57" s="39">
        <v>95.194900000000004</v>
      </c>
      <c r="G57" s="39">
        <v>125.61750000000001</v>
      </c>
      <c r="H57" s="39">
        <v>540.90800000000002</v>
      </c>
      <c r="I57" s="39">
        <v>56.4544</v>
      </c>
      <c r="J57" s="39">
        <v>0.30659999999999998</v>
      </c>
      <c r="K57" s="39">
        <v>1.659</v>
      </c>
      <c r="L57" s="39">
        <v>23.887799999999999</v>
      </c>
      <c r="M57" s="39">
        <v>223.34129999999999</v>
      </c>
    </row>
    <row r="58" spans="1:13" x14ac:dyDescent="0.25">
      <c r="A58" s="39">
        <v>5.6</v>
      </c>
      <c r="B58" s="39">
        <v>12</v>
      </c>
      <c r="C58" s="39">
        <v>673</v>
      </c>
      <c r="D58" s="39">
        <v>46</v>
      </c>
      <c r="E58" s="39">
        <v>0.23</v>
      </c>
      <c r="F58" s="39">
        <v>95.194900000000004</v>
      </c>
      <c r="G58" s="39">
        <v>125.61750000000001</v>
      </c>
      <c r="H58" s="39">
        <v>540.90800000000002</v>
      </c>
      <c r="I58" s="39">
        <v>56.4544</v>
      </c>
      <c r="J58" s="39">
        <v>0.30659999999999998</v>
      </c>
      <c r="K58" s="39">
        <v>1.659</v>
      </c>
      <c r="L58" s="39">
        <v>23.887799999999999</v>
      </c>
      <c r="M58" s="39">
        <v>223.34129999999999</v>
      </c>
    </row>
    <row r="59" spans="1:13" x14ac:dyDescent="0.25">
      <c r="A59" s="39">
        <v>5.7</v>
      </c>
      <c r="B59" s="39">
        <v>12</v>
      </c>
      <c r="C59" s="39">
        <v>673</v>
      </c>
      <c r="D59" s="39">
        <v>46</v>
      </c>
      <c r="E59" s="39">
        <v>0.23</v>
      </c>
      <c r="F59" s="39">
        <v>95.194900000000004</v>
      </c>
      <c r="G59" s="39">
        <v>125.61750000000001</v>
      </c>
      <c r="H59" s="39">
        <v>540.90800000000002</v>
      </c>
      <c r="I59" s="39">
        <v>56.4544</v>
      </c>
      <c r="J59" s="39">
        <v>0.30659999999999998</v>
      </c>
      <c r="K59" s="39">
        <v>1.659</v>
      </c>
      <c r="L59" s="39">
        <v>23.887799999999999</v>
      </c>
      <c r="M59" s="39">
        <v>223.34129999999999</v>
      </c>
    </row>
    <row r="60" spans="1:13" x14ac:dyDescent="0.25">
      <c r="A60" s="39">
        <v>5.8</v>
      </c>
      <c r="B60" s="39">
        <v>12</v>
      </c>
      <c r="C60" s="39">
        <v>673</v>
      </c>
      <c r="D60" s="39">
        <v>46</v>
      </c>
      <c r="E60" s="39">
        <v>0.23</v>
      </c>
      <c r="F60" s="39">
        <v>95.194900000000004</v>
      </c>
      <c r="G60" s="39">
        <v>125.61750000000001</v>
      </c>
      <c r="H60" s="39">
        <v>540.90800000000002</v>
      </c>
      <c r="I60" s="39">
        <v>56.4544</v>
      </c>
      <c r="J60" s="39">
        <v>0.30659999999999998</v>
      </c>
      <c r="K60" s="39">
        <v>1.659</v>
      </c>
      <c r="L60" s="39">
        <v>23.887799999999999</v>
      </c>
      <c r="M60" s="39">
        <v>223.34129999999999</v>
      </c>
    </row>
    <row r="61" spans="1:13" x14ac:dyDescent="0.25">
      <c r="A61" s="39">
        <v>5.9</v>
      </c>
      <c r="B61" s="39">
        <v>13</v>
      </c>
      <c r="C61" s="39">
        <v>683</v>
      </c>
      <c r="D61" s="39">
        <v>25</v>
      </c>
      <c r="E61" s="39">
        <v>0.22</v>
      </c>
      <c r="F61" s="39">
        <v>82.699799999999996</v>
      </c>
      <c r="G61" s="39">
        <v>114.01049999999999</v>
      </c>
      <c r="H61" s="39">
        <v>592.83600000000001</v>
      </c>
      <c r="I61" s="39">
        <v>26.769300000000001</v>
      </c>
      <c r="J61" s="39">
        <v>0.34760000000000002</v>
      </c>
      <c r="K61" s="39">
        <v>2.5059999999999998</v>
      </c>
      <c r="L61" s="39">
        <v>22.484999999999999</v>
      </c>
      <c r="M61" s="39">
        <v>220.6635</v>
      </c>
    </row>
    <row r="62" spans="1:13" x14ac:dyDescent="0.25">
      <c r="A62" s="39">
        <v>6</v>
      </c>
      <c r="B62" s="39">
        <v>13</v>
      </c>
      <c r="C62" s="39">
        <v>683</v>
      </c>
      <c r="D62" s="39">
        <v>25</v>
      </c>
      <c r="E62" s="39">
        <v>0.22</v>
      </c>
      <c r="F62" s="39">
        <v>82.699799999999996</v>
      </c>
      <c r="G62" s="39">
        <v>114.01049999999999</v>
      </c>
      <c r="H62" s="39">
        <v>592.83600000000001</v>
      </c>
      <c r="I62" s="39">
        <v>26.769300000000001</v>
      </c>
      <c r="J62" s="39">
        <v>0.34760000000000002</v>
      </c>
      <c r="K62" s="39">
        <v>2.5059999999999998</v>
      </c>
      <c r="L62" s="39">
        <v>22.484999999999999</v>
      </c>
      <c r="M62" s="39">
        <v>220.6635</v>
      </c>
    </row>
    <row r="63" spans="1:13" x14ac:dyDescent="0.25">
      <c r="A63" s="39">
        <v>6.1</v>
      </c>
      <c r="B63" s="39">
        <v>13</v>
      </c>
      <c r="C63" s="39">
        <v>683</v>
      </c>
      <c r="D63" s="39">
        <v>25</v>
      </c>
      <c r="E63" s="39">
        <v>0.22</v>
      </c>
      <c r="F63" s="39">
        <v>82.699799999999996</v>
      </c>
      <c r="G63" s="39">
        <v>114.01049999999999</v>
      </c>
      <c r="H63" s="39">
        <v>592.83600000000001</v>
      </c>
      <c r="I63" s="39">
        <v>26.769300000000001</v>
      </c>
      <c r="J63" s="39">
        <v>0.34760000000000002</v>
      </c>
      <c r="K63" s="39">
        <v>2.5059999999999998</v>
      </c>
      <c r="L63" s="39">
        <v>22.484999999999999</v>
      </c>
      <c r="M63" s="39">
        <v>220.6635</v>
      </c>
    </row>
    <row r="64" spans="1:13" x14ac:dyDescent="0.25">
      <c r="A64" s="39">
        <v>6.2</v>
      </c>
      <c r="B64" s="39">
        <v>13</v>
      </c>
      <c r="C64" s="39">
        <v>683</v>
      </c>
      <c r="D64" s="39">
        <v>25</v>
      </c>
      <c r="E64" s="39">
        <v>0.22</v>
      </c>
      <c r="F64" s="39">
        <v>82.699799999999996</v>
      </c>
      <c r="G64" s="39">
        <v>114.01049999999999</v>
      </c>
      <c r="H64" s="39">
        <v>592.83600000000001</v>
      </c>
      <c r="I64" s="39">
        <v>26.769300000000001</v>
      </c>
      <c r="J64" s="39">
        <v>0.34760000000000002</v>
      </c>
      <c r="K64" s="39">
        <v>2.5059999999999998</v>
      </c>
      <c r="L64" s="39">
        <v>22.484999999999999</v>
      </c>
      <c r="M64" s="39">
        <v>220.6635</v>
      </c>
    </row>
    <row r="65" spans="1:13" x14ac:dyDescent="0.25">
      <c r="A65" s="39">
        <v>6.3</v>
      </c>
      <c r="B65" s="39">
        <v>14</v>
      </c>
      <c r="C65" s="39">
        <v>702</v>
      </c>
      <c r="D65" s="39">
        <v>33</v>
      </c>
      <c r="E65" s="39">
        <v>0.25</v>
      </c>
      <c r="F65" s="39">
        <v>88.613900000000001</v>
      </c>
      <c r="G65" s="39">
        <v>118.9096</v>
      </c>
      <c r="H65" s="39">
        <v>572.86149999999998</v>
      </c>
      <c r="I65" s="39">
        <v>32.382599999999996</v>
      </c>
      <c r="J65" s="39">
        <v>0.34429999999999999</v>
      </c>
      <c r="K65" s="39">
        <v>2.1526999999999998</v>
      </c>
      <c r="L65" s="39">
        <v>22.732399999999998</v>
      </c>
      <c r="M65" s="39">
        <v>218.61089999999999</v>
      </c>
    </row>
    <row r="66" spans="1:13" x14ac:dyDescent="0.25">
      <c r="A66" s="39">
        <v>6.4</v>
      </c>
      <c r="B66" s="39">
        <v>14</v>
      </c>
      <c r="C66" s="39">
        <v>702</v>
      </c>
      <c r="D66" s="39">
        <v>33</v>
      </c>
      <c r="E66" s="39">
        <v>0.25</v>
      </c>
      <c r="F66" s="39">
        <v>88.613900000000001</v>
      </c>
      <c r="G66" s="39">
        <v>118.9096</v>
      </c>
      <c r="H66" s="39">
        <v>572.86149999999998</v>
      </c>
      <c r="I66" s="39">
        <v>32.382599999999996</v>
      </c>
      <c r="J66" s="39">
        <v>0.34429999999999999</v>
      </c>
      <c r="K66" s="39">
        <v>2.1526999999999998</v>
      </c>
      <c r="L66" s="39">
        <v>22.732399999999998</v>
      </c>
      <c r="M66" s="39">
        <v>218.61089999999999</v>
      </c>
    </row>
    <row r="67" spans="1:13" x14ac:dyDescent="0.25">
      <c r="A67" s="39">
        <v>6.5</v>
      </c>
      <c r="B67" s="39">
        <v>14</v>
      </c>
      <c r="C67" s="39">
        <v>702</v>
      </c>
      <c r="D67" s="39">
        <v>33</v>
      </c>
      <c r="E67" s="39">
        <v>0.25</v>
      </c>
      <c r="F67" s="39">
        <v>88.613900000000001</v>
      </c>
      <c r="G67" s="39">
        <v>118.9096</v>
      </c>
      <c r="H67" s="39">
        <v>572.86149999999998</v>
      </c>
      <c r="I67" s="39">
        <v>32.382599999999996</v>
      </c>
      <c r="J67" s="39">
        <v>0.34429999999999999</v>
      </c>
      <c r="K67" s="39">
        <v>2.1526999999999998</v>
      </c>
      <c r="L67" s="39">
        <v>22.732399999999998</v>
      </c>
      <c r="M67" s="39">
        <v>218.61089999999999</v>
      </c>
    </row>
    <row r="68" spans="1:13" x14ac:dyDescent="0.25">
      <c r="A68" s="39">
        <v>6.6</v>
      </c>
      <c r="B68" s="39">
        <v>14</v>
      </c>
      <c r="C68" s="39">
        <v>702</v>
      </c>
      <c r="D68" s="39">
        <v>33</v>
      </c>
      <c r="E68" s="39">
        <v>0.25</v>
      </c>
      <c r="F68" s="39">
        <v>88.613900000000001</v>
      </c>
      <c r="G68" s="39">
        <v>118.9096</v>
      </c>
      <c r="H68" s="39">
        <v>572.86149999999998</v>
      </c>
      <c r="I68" s="39">
        <v>32.382599999999996</v>
      </c>
      <c r="J68" s="39">
        <v>0.34429999999999999</v>
      </c>
      <c r="K68" s="39">
        <v>2.1526999999999998</v>
      </c>
      <c r="L68" s="39">
        <v>22.732399999999998</v>
      </c>
      <c r="M68" s="39">
        <v>218.61089999999999</v>
      </c>
    </row>
    <row r="69" spans="1:13" x14ac:dyDescent="0.25">
      <c r="A69" s="39">
        <v>6.7</v>
      </c>
      <c r="B69" s="39">
        <v>15</v>
      </c>
      <c r="C69" s="39">
        <v>720</v>
      </c>
      <c r="D69" s="39">
        <v>33</v>
      </c>
      <c r="E69" s="39">
        <v>0.13</v>
      </c>
      <c r="F69" s="39">
        <v>92.108900000000006</v>
      </c>
      <c r="G69" s="39">
        <v>123.9161</v>
      </c>
      <c r="H69" s="39">
        <v>565.39530000000002</v>
      </c>
      <c r="I69" s="39">
        <v>46.001199999999997</v>
      </c>
      <c r="J69" s="39">
        <v>0.1411</v>
      </c>
      <c r="K69" s="39">
        <v>3.6019999999999999</v>
      </c>
      <c r="L69" s="39">
        <v>24.2575</v>
      </c>
      <c r="M69" s="39">
        <v>217.70949999999999</v>
      </c>
    </row>
    <row r="70" spans="1:13" x14ac:dyDescent="0.25">
      <c r="A70" s="39">
        <v>6.8</v>
      </c>
      <c r="B70" s="39">
        <v>15</v>
      </c>
      <c r="C70" s="39">
        <v>720</v>
      </c>
      <c r="D70" s="39">
        <v>33</v>
      </c>
      <c r="E70" s="39">
        <v>0.13</v>
      </c>
      <c r="F70" s="39">
        <v>92.108900000000006</v>
      </c>
      <c r="G70" s="39">
        <v>123.9161</v>
      </c>
      <c r="H70" s="39">
        <v>565.39530000000002</v>
      </c>
      <c r="I70" s="39">
        <v>46.001199999999997</v>
      </c>
      <c r="J70" s="39">
        <v>0.1411</v>
      </c>
      <c r="K70" s="39">
        <v>3.6019999999999999</v>
      </c>
      <c r="L70" s="39">
        <v>24.2575</v>
      </c>
      <c r="M70" s="39">
        <v>217.70949999999999</v>
      </c>
    </row>
    <row r="71" spans="1:13" x14ac:dyDescent="0.25">
      <c r="A71" s="39">
        <v>6.9</v>
      </c>
      <c r="B71" s="39">
        <v>15</v>
      </c>
      <c r="C71" s="39">
        <v>720</v>
      </c>
      <c r="D71" s="39">
        <v>33</v>
      </c>
      <c r="E71" s="39">
        <v>0.13</v>
      </c>
      <c r="F71" s="39">
        <v>92.108900000000006</v>
      </c>
      <c r="G71" s="39">
        <v>123.9161</v>
      </c>
      <c r="H71" s="39">
        <v>565.39530000000002</v>
      </c>
      <c r="I71" s="39">
        <v>46.001199999999997</v>
      </c>
      <c r="J71" s="39">
        <v>0.1411</v>
      </c>
      <c r="K71" s="39">
        <v>3.6019999999999999</v>
      </c>
      <c r="L71" s="39">
        <v>24.2575</v>
      </c>
      <c r="M71" s="39">
        <v>217.70949999999999</v>
      </c>
    </row>
    <row r="72" spans="1:13" x14ac:dyDescent="0.25">
      <c r="A72" s="39">
        <v>7</v>
      </c>
      <c r="B72" s="39">
        <v>15</v>
      </c>
      <c r="C72" s="39">
        <v>720</v>
      </c>
      <c r="D72" s="39">
        <v>33</v>
      </c>
      <c r="E72" s="39">
        <v>0.13</v>
      </c>
      <c r="F72" s="39">
        <v>92.108900000000006</v>
      </c>
      <c r="G72" s="39">
        <v>123.9161</v>
      </c>
      <c r="H72" s="39">
        <v>565.39530000000002</v>
      </c>
      <c r="I72" s="39">
        <v>46.001199999999997</v>
      </c>
      <c r="J72" s="39">
        <v>0.1411</v>
      </c>
      <c r="K72" s="39">
        <v>3.6019999999999999</v>
      </c>
      <c r="L72" s="39">
        <v>24.2575</v>
      </c>
      <c r="M72" s="39">
        <v>217.70949999999999</v>
      </c>
    </row>
    <row r="73" spans="1:13" x14ac:dyDescent="0.25">
      <c r="A73" s="39">
        <v>7.1</v>
      </c>
      <c r="B73" s="39">
        <v>16</v>
      </c>
      <c r="C73" s="39">
        <v>739</v>
      </c>
      <c r="D73" s="39">
        <v>19</v>
      </c>
      <c r="E73" s="39">
        <v>0.14000000000000001</v>
      </c>
      <c r="F73" s="39">
        <v>86.365399999999994</v>
      </c>
      <c r="G73" s="39">
        <v>115.81140000000001</v>
      </c>
      <c r="H73" s="39">
        <v>613.40549999999996</v>
      </c>
      <c r="I73" s="39">
        <v>29.155799999999999</v>
      </c>
      <c r="J73" s="39">
        <v>0.2676</v>
      </c>
      <c r="K73" s="39">
        <v>3.6981000000000002</v>
      </c>
      <c r="L73" s="39">
        <v>22.044499999999999</v>
      </c>
      <c r="M73" s="39">
        <v>216.8655</v>
      </c>
    </row>
    <row r="74" spans="1:13" x14ac:dyDescent="0.25">
      <c r="A74" s="39">
        <v>7.2</v>
      </c>
      <c r="B74" s="39">
        <v>16</v>
      </c>
      <c r="C74" s="39">
        <v>739</v>
      </c>
      <c r="D74" s="39">
        <v>19</v>
      </c>
      <c r="E74" s="39">
        <v>0.14000000000000001</v>
      </c>
      <c r="F74" s="39">
        <v>86.365399999999994</v>
      </c>
      <c r="G74" s="39">
        <v>115.81140000000001</v>
      </c>
      <c r="H74" s="39">
        <v>613.40549999999996</v>
      </c>
      <c r="I74" s="39">
        <v>29.155799999999999</v>
      </c>
      <c r="J74" s="39">
        <v>0.2676</v>
      </c>
      <c r="K74" s="39">
        <v>3.6981000000000002</v>
      </c>
      <c r="L74" s="39">
        <v>22.044499999999999</v>
      </c>
      <c r="M74" s="39">
        <v>216.8655</v>
      </c>
    </row>
    <row r="75" spans="1:13" x14ac:dyDescent="0.25">
      <c r="A75" s="39">
        <v>7.3</v>
      </c>
      <c r="B75" s="39">
        <v>16</v>
      </c>
      <c r="C75" s="39">
        <v>739</v>
      </c>
      <c r="D75" s="39">
        <v>19</v>
      </c>
      <c r="E75" s="39">
        <v>0.14000000000000001</v>
      </c>
      <c r="F75" s="39">
        <v>86.365399999999994</v>
      </c>
      <c r="G75" s="39">
        <v>115.81140000000001</v>
      </c>
      <c r="H75" s="39">
        <v>613.40549999999996</v>
      </c>
      <c r="I75" s="39">
        <v>29.155799999999999</v>
      </c>
      <c r="J75" s="39">
        <v>0.2676</v>
      </c>
      <c r="K75" s="39">
        <v>3.6981000000000002</v>
      </c>
      <c r="L75" s="39">
        <v>22.044499999999999</v>
      </c>
      <c r="M75" s="39">
        <v>216.8655</v>
      </c>
    </row>
    <row r="76" spans="1:13" x14ac:dyDescent="0.25">
      <c r="A76" s="39">
        <v>7.4</v>
      </c>
      <c r="B76" s="39">
        <v>16</v>
      </c>
      <c r="C76" s="39">
        <v>739</v>
      </c>
      <c r="D76" s="39">
        <v>19</v>
      </c>
      <c r="E76" s="39">
        <v>0.14000000000000001</v>
      </c>
      <c r="F76" s="39">
        <v>86.365399999999994</v>
      </c>
      <c r="G76" s="39">
        <v>115.81140000000001</v>
      </c>
      <c r="H76" s="39">
        <v>613.40549999999996</v>
      </c>
      <c r="I76" s="39">
        <v>29.155799999999999</v>
      </c>
      <c r="J76" s="39">
        <v>0.2676</v>
      </c>
      <c r="K76" s="39">
        <v>3.6981000000000002</v>
      </c>
      <c r="L76" s="39">
        <v>22.044499999999999</v>
      </c>
      <c r="M76" s="39">
        <v>216.8655</v>
      </c>
    </row>
    <row r="77" spans="1:13" x14ac:dyDescent="0.25">
      <c r="A77" s="39">
        <v>7.5</v>
      </c>
      <c r="B77" s="39">
        <v>17</v>
      </c>
      <c r="C77" s="39">
        <v>748</v>
      </c>
      <c r="D77" s="39">
        <v>33</v>
      </c>
      <c r="E77" s="39">
        <v>0.17</v>
      </c>
      <c r="F77" s="39">
        <v>94.824100000000001</v>
      </c>
      <c r="G77" s="39">
        <v>123.9693</v>
      </c>
      <c r="H77" s="39">
        <v>574.24950000000001</v>
      </c>
      <c r="I77" s="39">
        <v>40.962899999999998</v>
      </c>
      <c r="J77" s="39">
        <v>0.20530000000000001</v>
      </c>
      <c r="K77" s="39">
        <v>3.0783999999999998</v>
      </c>
      <c r="L77" s="39">
        <v>23.3645</v>
      </c>
      <c r="M77" s="39">
        <v>215.89940000000001</v>
      </c>
    </row>
    <row r="78" spans="1:13" x14ac:dyDescent="0.25">
      <c r="A78" s="39">
        <v>7.6</v>
      </c>
      <c r="B78" s="39">
        <v>17</v>
      </c>
      <c r="C78" s="39">
        <v>748</v>
      </c>
      <c r="D78" s="39">
        <v>33</v>
      </c>
      <c r="E78" s="39">
        <v>0.17</v>
      </c>
      <c r="F78" s="39">
        <v>94.824100000000001</v>
      </c>
      <c r="G78" s="39">
        <v>123.9693</v>
      </c>
      <c r="H78" s="39">
        <v>574.24950000000001</v>
      </c>
      <c r="I78" s="39">
        <v>40.962899999999998</v>
      </c>
      <c r="J78" s="39">
        <v>0.20530000000000001</v>
      </c>
      <c r="K78" s="39">
        <v>3.0783999999999998</v>
      </c>
      <c r="L78" s="39">
        <v>23.3645</v>
      </c>
      <c r="M78" s="39">
        <v>215.89940000000001</v>
      </c>
    </row>
    <row r="79" spans="1:13" x14ac:dyDescent="0.25">
      <c r="A79" s="39">
        <v>7.7</v>
      </c>
      <c r="B79" s="39">
        <v>17</v>
      </c>
      <c r="C79" s="39">
        <v>748</v>
      </c>
      <c r="D79" s="39">
        <v>33</v>
      </c>
      <c r="E79" s="39">
        <v>0.17</v>
      </c>
      <c r="F79" s="39">
        <v>94.824100000000001</v>
      </c>
      <c r="G79" s="39">
        <v>123.9693</v>
      </c>
      <c r="H79" s="39">
        <v>574.24950000000001</v>
      </c>
      <c r="I79" s="39">
        <v>40.962899999999998</v>
      </c>
      <c r="J79" s="39">
        <v>0.20530000000000001</v>
      </c>
      <c r="K79" s="39">
        <v>3.0783999999999998</v>
      </c>
      <c r="L79" s="39">
        <v>23.3645</v>
      </c>
      <c r="M79" s="39">
        <v>215.89940000000001</v>
      </c>
    </row>
    <row r="80" spans="1:13" x14ac:dyDescent="0.25">
      <c r="A80" s="39">
        <v>7.8</v>
      </c>
      <c r="B80" s="39">
        <v>17</v>
      </c>
      <c r="C80" s="39">
        <v>748</v>
      </c>
      <c r="D80" s="39">
        <v>33</v>
      </c>
      <c r="E80" s="39">
        <v>0.17</v>
      </c>
      <c r="F80" s="39">
        <v>94.824100000000001</v>
      </c>
      <c r="G80" s="39">
        <v>123.9693</v>
      </c>
      <c r="H80" s="39">
        <v>574.24950000000001</v>
      </c>
      <c r="I80" s="39">
        <v>40.962899999999998</v>
      </c>
      <c r="J80" s="39">
        <v>0.20530000000000001</v>
      </c>
      <c r="K80" s="39">
        <v>3.0783999999999998</v>
      </c>
      <c r="L80" s="39">
        <v>23.3645</v>
      </c>
      <c r="M80" s="39">
        <v>215.89940000000001</v>
      </c>
    </row>
    <row r="81" spans="1:13" x14ac:dyDescent="0.25">
      <c r="A81" s="39">
        <v>7.9</v>
      </c>
      <c r="B81" s="39">
        <v>18</v>
      </c>
      <c r="C81" s="39">
        <v>758</v>
      </c>
      <c r="D81" s="39">
        <v>47</v>
      </c>
      <c r="E81" s="39">
        <v>0.23</v>
      </c>
      <c r="F81" s="39">
        <v>103.2236</v>
      </c>
      <c r="G81" s="39">
        <v>129.98259999999999</v>
      </c>
      <c r="H81" s="39">
        <v>556.41809999999998</v>
      </c>
      <c r="I81" s="39">
        <v>61.577500000000001</v>
      </c>
      <c r="J81" s="39">
        <v>0.3851</v>
      </c>
      <c r="K81" s="39">
        <v>1.7243999999999999</v>
      </c>
      <c r="L81" s="39">
        <v>22.678999999999998</v>
      </c>
      <c r="M81" s="39">
        <v>218.21899999999999</v>
      </c>
    </row>
    <row r="82" spans="1:13" x14ac:dyDescent="0.25">
      <c r="A82" s="39">
        <v>8</v>
      </c>
      <c r="B82" s="39">
        <v>18</v>
      </c>
      <c r="C82" s="39">
        <v>758</v>
      </c>
      <c r="D82" s="39">
        <v>47</v>
      </c>
      <c r="E82" s="39">
        <v>0.23</v>
      </c>
      <c r="F82" s="39">
        <v>103.2236</v>
      </c>
      <c r="G82" s="39">
        <v>129.98259999999999</v>
      </c>
      <c r="H82" s="39">
        <v>556.41809999999998</v>
      </c>
      <c r="I82" s="39">
        <v>61.577500000000001</v>
      </c>
      <c r="J82" s="39">
        <v>0.3851</v>
      </c>
      <c r="K82" s="39">
        <v>1.7243999999999999</v>
      </c>
      <c r="L82" s="39">
        <v>22.678999999999998</v>
      </c>
      <c r="M82" s="39">
        <v>218.21899999999999</v>
      </c>
    </row>
    <row r="83" spans="1:13" x14ac:dyDescent="0.25">
      <c r="A83" s="39">
        <v>8.1</v>
      </c>
      <c r="B83" s="39">
        <v>18</v>
      </c>
      <c r="C83" s="39">
        <v>758</v>
      </c>
      <c r="D83" s="39">
        <v>47</v>
      </c>
      <c r="E83" s="39">
        <v>0.23</v>
      </c>
      <c r="F83" s="39">
        <v>103.2236</v>
      </c>
      <c r="G83" s="39">
        <v>129.98259999999999</v>
      </c>
      <c r="H83" s="39">
        <v>556.41809999999998</v>
      </c>
      <c r="I83" s="39">
        <v>61.577500000000001</v>
      </c>
      <c r="J83" s="39">
        <v>0.3851</v>
      </c>
      <c r="K83" s="39">
        <v>1.7243999999999999</v>
      </c>
      <c r="L83" s="39">
        <v>22.678999999999998</v>
      </c>
      <c r="M83" s="39">
        <v>218.21899999999999</v>
      </c>
    </row>
    <row r="84" spans="1:13" x14ac:dyDescent="0.25">
      <c r="A84" s="39">
        <v>8.1999999999999993</v>
      </c>
      <c r="B84" s="39">
        <v>18</v>
      </c>
      <c r="C84" s="39">
        <v>758</v>
      </c>
      <c r="D84" s="39">
        <v>47</v>
      </c>
      <c r="E84" s="39">
        <v>0.23</v>
      </c>
      <c r="F84" s="39">
        <v>103.2236</v>
      </c>
      <c r="G84" s="39">
        <v>129.98259999999999</v>
      </c>
      <c r="H84" s="39">
        <v>556.41809999999998</v>
      </c>
      <c r="I84" s="39">
        <v>61.577500000000001</v>
      </c>
      <c r="J84" s="39">
        <v>0.3851</v>
      </c>
      <c r="K84" s="39">
        <v>1.7243999999999999</v>
      </c>
      <c r="L84" s="39">
        <v>22.678999999999998</v>
      </c>
      <c r="M84" s="39">
        <v>218.21899999999999</v>
      </c>
    </row>
    <row r="85" spans="1:13" x14ac:dyDescent="0.25">
      <c r="A85" s="39">
        <v>8.3000000000000007</v>
      </c>
      <c r="B85" s="39">
        <v>19</v>
      </c>
      <c r="C85" s="39">
        <v>777</v>
      </c>
      <c r="D85" s="39">
        <v>40</v>
      </c>
      <c r="E85" s="39">
        <v>0.21</v>
      </c>
      <c r="F85" s="39">
        <v>102.2559</v>
      </c>
      <c r="G85" s="39">
        <v>128.09569999999999</v>
      </c>
      <c r="H85" s="39">
        <v>569.42499999999995</v>
      </c>
      <c r="I85" s="39">
        <v>48.626300000000001</v>
      </c>
      <c r="J85" s="39">
        <v>0.29070000000000001</v>
      </c>
      <c r="K85" s="39">
        <v>2.3403999999999998</v>
      </c>
      <c r="L85" s="39">
        <v>22.7913</v>
      </c>
      <c r="M85" s="39">
        <v>215.27529999999999</v>
      </c>
    </row>
    <row r="86" spans="1:13" x14ac:dyDescent="0.25">
      <c r="A86" s="39">
        <v>8.4</v>
      </c>
      <c r="B86" s="39">
        <v>19</v>
      </c>
      <c r="C86" s="39">
        <v>777</v>
      </c>
      <c r="D86" s="39">
        <v>40</v>
      </c>
      <c r="E86" s="39">
        <v>0.21</v>
      </c>
      <c r="F86" s="39">
        <v>102.2559</v>
      </c>
      <c r="G86" s="39">
        <v>128.09569999999999</v>
      </c>
      <c r="H86" s="39">
        <v>569.42499999999995</v>
      </c>
      <c r="I86" s="39">
        <v>48.626300000000001</v>
      </c>
      <c r="J86" s="39">
        <v>0.29070000000000001</v>
      </c>
      <c r="K86" s="39">
        <v>2.3403999999999998</v>
      </c>
      <c r="L86" s="39">
        <v>22.7913</v>
      </c>
      <c r="M86" s="39">
        <v>215.27529999999999</v>
      </c>
    </row>
    <row r="87" spans="1:13" x14ac:dyDescent="0.25">
      <c r="A87" s="39">
        <v>8.5</v>
      </c>
      <c r="B87" s="39">
        <v>19</v>
      </c>
      <c r="C87" s="39">
        <v>777</v>
      </c>
      <c r="D87" s="39">
        <v>40</v>
      </c>
      <c r="E87" s="39">
        <v>0.21</v>
      </c>
      <c r="F87" s="39">
        <v>102.2559</v>
      </c>
      <c r="G87" s="39">
        <v>128.09569999999999</v>
      </c>
      <c r="H87" s="39">
        <v>569.42499999999995</v>
      </c>
      <c r="I87" s="39">
        <v>48.626300000000001</v>
      </c>
      <c r="J87" s="39">
        <v>0.29070000000000001</v>
      </c>
      <c r="K87" s="39">
        <v>2.3403999999999998</v>
      </c>
      <c r="L87" s="39">
        <v>22.7913</v>
      </c>
      <c r="M87" s="39">
        <v>215.27529999999999</v>
      </c>
    </row>
    <row r="88" spans="1:13" x14ac:dyDescent="0.25">
      <c r="A88" s="39">
        <v>8.6</v>
      </c>
      <c r="B88" s="39">
        <v>19</v>
      </c>
      <c r="C88" s="39">
        <v>777</v>
      </c>
      <c r="D88" s="39">
        <v>40</v>
      </c>
      <c r="E88" s="39">
        <v>0.21</v>
      </c>
      <c r="F88" s="39">
        <v>102.2559</v>
      </c>
      <c r="G88" s="39">
        <v>128.09569999999999</v>
      </c>
      <c r="H88" s="39">
        <v>569.42499999999995</v>
      </c>
      <c r="I88" s="39">
        <v>48.626300000000001</v>
      </c>
      <c r="J88" s="39">
        <v>0.29070000000000001</v>
      </c>
      <c r="K88" s="39">
        <v>2.3403999999999998</v>
      </c>
      <c r="L88" s="39">
        <v>22.7913</v>
      </c>
      <c r="M88" s="39">
        <v>215.27529999999999</v>
      </c>
    </row>
    <row r="89" spans="1:13" x14ac:dyDescent="0.25">
      <c r="A89" s="39">
        <v>8.6999999999999993</v>
      </c>
      <c r="B89" s="39">
        <v>19</v>
      </c>
      <c r="C89" s="39">
        <v>777</v>
      </c>
      <c r="D89" s="39">
        <v>40</v>
      </c>
      <c r="E89" s="39">
        <v>0.21</v>
      </c>
      <c r="F89" s="39">
        <v>102.2559</v>
      </c>
      <c r="G89" s="39">
        <v>128.09569999999999</v>
      </c>
      <c r="H89" s="39">
        <v>569.42499999999995</v>
      </c>
      <c r="I89" s="39">
        <v>48.626300000000001</v>
      </c>
      <c r="J89" s="39">
        <v>0.29070000000000001</v>
      </c>
      <c r="K89" s="39">
        <v>2.3403999999999998</v>
      </c>
      <c r="L89" s="39">
        <v>22.7913</v>
      </c>
      <c r="M89" s="39">
        <v>215.27529999999999</v>
      </c>
    </row>
    <row r="90" spans="1:13" x14ac:dyDescent="0.25">
      <c r="A90" s="39">
        <v>8.8000000000000007</v>
      </c>
      <c r="B90" s="39">
        <v>20</v>
      </c>
      <c r="C90" s="39">
        <v>795</v>
      </c>
      <c r="D90" s="39">
        <v>24</v>
      </c>
      <c r="E90" s="39">
        <v>0.1</v>
      </c>
      <c r="F90" s="39">
        <v>98.692999999999998</v>
      </c>
      <c r="G90" s="39">
        <v>123.3844</v>
      </c>
      <c r="H90" s="39">
        <v>606.99519999999995</v>
      </c>
      <c r="I90" s="39">
        <v>38.7727</v>
      </c>
      <c r="J90" s="39">
        <v>0.16980000000000001</v>
      </c>
      <c r="K90" s="39">
        <v>4.6718000000000002</v>
      </c>
      <c r="L90" s="39">
        <v>22.7438</v>
      </c>
      <c r="M90" s="39">
        <v>213.2859</v>
      </c>
    </row>
    <row r="91" spans="1:13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spans="1:13" x14ac:dyDescent="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spans="1:13" x14ac:dyDescent="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spans="1:13" x14ac:dyDescent="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spans="1:13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spans="1:13" x14ac:dyDescent="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spans="1:13" x14ac:dyDescent="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spans="1:13" x14ac:dyDescent="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spans="1:13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spans="1:13" x14ac:dyDescent="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spans="1:13" x14ac:dyDescent="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spans="1:13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spans="1:13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spans="1:13" x14ac:dyDescent="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spans="1:13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spans="1:13" x14ac:dyDescent="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spans="1:13" x14ac:dyDescent="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</row>
    <row r="108" spans="1:13" x14ac:dyDescent="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spans="1:13" x14ac:dyDescent="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spans="1:13" x14ac:dyDescent="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 spans="1:13" x14ac:dyDescent="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</row>
    <row r="112" spans="1:13" x14ac:dyDescent="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spans="1:13" x14ac:dyDescent="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</row>
    <row r="114" spans="1:13" x14ac:dyDescent="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spans="1:13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 spans="1:13" x14ac:dyDescent="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 spans="1:13" x14ac:dyDescent="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</row>
    <row r="118" spans="1:13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</row>
    <row r="119" spans="1:13" x14ac:dyDescent="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</row>
    <row r="120" spans="1:13" x14ac:dyDescent="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</row>
    <row r="121" spans="1:13" x14ac:dyDescent="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</row>
    <row r="122" spans="1:13" x14ac:dyDescent="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</row>
    <row r="123" spans="1:13" x14ac:dyDescent="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</row>
    <row r="124" spans="1:13" x14ac:dyDescent="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</row>
    <row r="125" spans="1:13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</row>
    <row r="126" spans="1:13" x14ac:dyDescent="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</row>
    <row r="127" spans="1:13" x14ac:dyDescent="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</row>
    <row r="128" spans="1:13" x14ac:dyDescent="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</row>
    <row r="129" spans="1:13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</row>
    <row r="130" spans="1:13" x14ac:dyDescent="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</row>
    <row r="131" spans="1:13" x14ac:dyDescent="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</row>
    <row r="132" spans="1:13" x14ac:dyDescent="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workbookViewId="0">
      <selection activeCell="K18" sqref="K18"/>
    </sheetView>
  </sheetViews>
  <sheetFormatPr defaultRowHeight="15" x14ac:dyDescent="0.25"/>
  <sheetData>
    <row r="1" spans="1:13" x14ac:dyDescent="0.25">
      <c r="A1" t="s">
        <v>128</v>
      </c>
      <c r="B1" t="s">
        <v>129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</row>
    <row r="2" spans="1:13" x14ac:dyDescent="0.25">
      <c r="A2" s="39">
        <v>0</v>
      </c>
      <c r="B2" s="39">
        <v>1</v>
      </c>
      <c r="C2" s="39">
        <v>514</v>
      </c>
      <c r="D2" s="39">
        <v>18</v>
      </c>
      <c r="E2" s="39">
        <v>0.23</v>
      </c>
      <c r="F2" s="39">
        <v>70.165499999999994</v>
      </c>
      <c r="G2" s="39">
        <v>101.0086</v>
      </c>
      <c r="H2" s="39">
        <v>578.29610000000002</v>
      </c>
      <c r="I2" s="39">
        <v>20.678699999999999</v>
      </c>
      <c r="J2" s="39">
        <v>0.51770000000000005</v>
      </c>
      <c r="K2" s="39">
        <v>1.9563999999999999</v>
      </c>
      <c r="L2" s="39">
        <v>24.008299999999998</v>
      </c>
      <c r="M2" s="39">
        <v>235.74700000000001</v>
      </c>
    </row>
    <row r="3" spans="1:13" x14ac:dyDescent="0.25">
      <c r="A3" s="39">
        <v>0.1</v>
      </c>
      <c r="B3" s="39">
        <v>1</v>
      </c>
      <c r="C3" s="39">
        <v>514</v>
      </c>
      <c r="D3" s="39">
        <v>18</v>
      </c>
      <c r="E3" s="39">
        <v>0.23</v>
      </c>
      <c r="F3" s="39">
        <v>70.165499999999994</v>
      </c>
      <c r="G3" s="39">
        <v>101.0086</v>
      </c>
      <c r="H3" s="39">
        <v>578.29610000000002</v>
      </c>
      <c r="I3" s="39">
        <v>20.678699999999999</v>
      </c>
      <c r="J3" s="39">
        <v>0.51770000000000005</v>
      </c>
      <c r="K3" s="39">
        <v>1.9563999999999999</v>
      </c>
      <c r="L3" s="39">
        <v>24.008299999999998</v>
      </c>
      <c r="M3" s="39">
        <v>235.74700000000001</v>
      </c>
    </row>
    <row r="4" spans="1:13" x14ac:dyDescent="0.25">
      <c r="A4" s="39">
        <v>0.2</v>
      </c>
      <c r="B4" s="39">
        <v>1</v>
      </c>
      <c r="C4" s="39">
        <v>514</v>
      </c>
      <c r="D4" s="39">
        <v>18</v>
      </c>
      <c r="E4" s="39">
        <v>0.23</v>
      </c>
      <c r="F4" s="39">
        <v>70.165499999999994</v>
      </c>
      <c r="G4" s="39">
        <v>101.0086</v>
      </c>
      <c r="H4" s="39">
        <v>578.29610000000002</v>
      </c>
      <c r="I4" s="39">
        <v>20.678699999999999</v>
      </c>
      <c r="J4" s="39">
        <v>0.51770000000000005</v>
      </c>
      <c r="K4" s="39">
        <v>1.9563999999999999</v>
      </c>
      <c r="L4" s="39">
        <v>24.008299999999998</v>
      </c>
      <c r="M4" s="39">
        <v>235.74700000000001</v>
      </c>
    </row>
    <row r="5" spans="1:13" x14ac:dyDescent="0.25">
      <c r="A5" s="39">
        <v>0.3</v>
      </c>
      <c r="B5" s="39">
        <v>1</v>
      </c>
      <c r="C5" s="39">
        <v>514</v>
      </c>
      <c r="D5" s="39">
        <v>18</v>
      </c>
      <c r="E5" s="39">
        <v>0.23</v>
      </c>
      <c r="F5" s="39">
        <v>70.165499999999994</v>
      </c>
      <c r="G5" s="39">
        <v>101.0086</v>
      </c>
      <c r="H5" s="39">
        <v>578.29610000000002</v>
      </c>
      <c r="I5" s="39">
        <v>20.678699999999999</v>
      </c>
      <c r="J5" s="39">
        <v>0.51770000000000005</v>
      </c>
      <c r="K5" s="39">
        <v>1.9563999999999999</v>
      </c>
      <c r="L5" s="39">
        <v>24.008299999999998</v>
      </c>
      <c r="M5" s="39">
        <v>235.74700000000001</v>
      </c>
    </row>
    <row r="6" spans="1:13" x14ac:dyDescent="0.25">
      <c r="A6" s="39">
        <v>0.4</v>
      </c>
      <c r="B6" s="39">
        <v>1</v>
      </c>
      <c r="C6" s="39">
        <v>514</v>
      </c>
      <c r="D6" s="39">
        <v>18</v>
      </c>
      <c r="E6" s="39">
        <v>0.23</v>
      </c>
      <c r="F6" s="39">
        <v>70.165499999999994</v>
      </c>
      <c r="G6" s="39">
        <v>101.0086</v>
      </c>
      <c r="H6" s="39">
        <v>578.29610000000002</v>
      </c>
      <c r="I6" s="39">
        <v>20.678699999999999</v>
      </c>
      <c r="J6" s="39">
        <v>0.51770000000000005</v>
      </c>
      <c r="K6" s="39">
        <v>1.9563999999999999</v>
      </c>
      <c r="L6" s="39">
        <v>24.008299999999998</v>
      </c>
      <c r="M6" s="39">
        <v>235.74700000000001</v>
      </c>
    </row>
    <row r="7" spans="1:13" x14ac:dyDescent="0.25">
      <c r="A7" s="39">
        <v>0.5</v>
      </c>
      <c r="B7" s="39">
        <v>1</v>
      </c>
      <c r="C7" s="39">
        <v>514</v>
      </c>
      <c r="D7" s="39">
        <v>18</v>
      </c>
      <c r="E7" s="39">
        <v>0.23</v>
      </c>
      <c r="F7" s="39">
        <v>70.165499999999994</v>
      </c>
      <c r="G7" s="39">
        <v>101.0086</v>
      </c>
      <c r="H7" s="39">
        <v>578.29610000000002</v>
      </c>
      <c r="I7" s="39">
        <v>20.678699999999999</v>
      </c>
      <c r="J7" s="39">
        <v>0.51770000000000005</v>
      </c>
      <c r="K7" s="39">
        <v>1.9563999999999999</v>
      </c>
      <c r="L7" s="39">
        <v>24.008299999999998</v>
      </c>
      <c r="M7" s="39">
        <v>235.74700000000001</v>
      </c>
    </row>
    <row r="8" spans="1:13" x14ac:dyDescent="0.25">
      <c r="A8" s="39">
        <v>0.6</v>
      </c>
      <c r="B8" s="39">
        <v>1</v>
      </c>
      <c r="C8" s="39">
        <v>514</v>
      </c>
      <c r="D8" s="39">
        <v>18</v>
      </c>
      <c r="E8" s="39">
        <v>0.23</v>
      </c>
      <c r="F8" s="39">
        <v>70.165499999999994</v>
      </c>
      <c r="G8" s="39">
        <v>101.0086</v>
      </c>
      <c r="H8" s="39">
        <v>578.29610000000002</v>
      </c>
      <c r="I8" s="39">
        <v>20.678699999999999</v>
      </c>
      <c r="J8" s="39">
        <v>0.51770000000000005</v>
      </c>
      <c r="K8" s="39">
        <v>1.9563999999999999</v>
      </c>
      <c r="L8" s="39">
        <v>24.008299999999998</v>
      </c>
      <c r="M8" s="39">
        <v>235.74700000000001</v>
      </c>
    </row>
    <row r="9" spans="1:13" x14ac:dyDescent="0.25">
      <c r="A9" s="39">
        <v>0.7</v>
      </c>
      <c r="B9" s="39">
        <v>1</v>
      </c>
      <c r="C9" s="39">
        <v>514</v>
      </c>
      <c r="D9" s="39">
        <v>18</v>
      </c>
      <c r="E9" s="39">
        <v>0.23</v>
      </c>
      <c r="F9" s="39">
        <v>70.165499999999994</v>
      </c>
      <c r="G9" s="39">
        <v>101.0086</v>
      </c>
      <c r="H9" s="39">
        <v>578.29610000000002</v>
      </c>
      <c r="I9" s="39">
        <v>20.678699999999999</v>
      </c>
      <c r="J9" s="39">
        <v>0.51770000000000005</v>
      </c>
      <c r="K9" s="39">
        <v>1.9563999999999999</v>
      </c>
      <c r="L9" s="39">
        <v>24.008299999999998</v>
      </c>
      <c r="M9" s="39">
        <v>235.74700000000001</v>
      </c>
    </row>
    <row r="10" spans="1:13" x14ac:dyDescent="0.25">
      <c r="A10" s="39">
        <v>0.8</v>
      </c>
      <c r="B10" s="39">
        <v>1</v>
      </c>
      <c r="C10" s="39">
        <v>514</v>
      </c>
      <c r="D10" s="39">
        <v>18</v>
      </c>
      <c r="E10" s="39">
        <v>0.23</v>
      </c>
      <c r="F10" s="39">
        <v>70.165499999999994</v>
      </c>
      <c r="G10" s="39">
        <v>101.0086</v>
      </c>
      <c r="H10" s="39">
        <v>578.29610000000002</v>
      </c>
      <c r="I10" s="39">
        <v>20.678699999999999</v>
      </c>
      <c r="J10" s="39">
        <v>0.51770000000000005</v>
      </c>
      <c r="K10" s="39">
        <v>1.9563999999999999</v>
      </c>
      <c r="L10" s="39">
        <v>24.008299999999998</v>
      </c>
      <c r="M10" s="39">
        <v>235.74700000000001</v>
      </c>
    </row>
    <row r="11" spans="1:13" x14ac:dyDescent="0.25">
      <c r="A11" s="39">
        <v>0.9</v>
      </c>
      <c r="B11" s="39">
        <v>1</v>
      </c>
      <c r="C11" s="39">
        <v>514</v>
      </c>
      <c r="D11" s="39">
        <v>18</v>
      </c>
      <c r="E11" s="39">
        <v>0.23</v>
      </c>
      <c r="F11" s="39">
        <v>70.165499999999994</v>
      </c>
      <c r="G11" s="39">
        <v>101.0086</v>
      </c>
      <c r="H11" s="39">
        <v>578.29610000000002</v>
      </c>
      <c r="I11" s="39">
        <v>20.678699999999999</v>
      </c>
      <c r="J11" s="39">
        <v>0.51770000000000005</v>
      </c>
      <c r="K11" s="39">
        <v>1.9563999999999999</v>
      </c>
      <c r="L11" s="39">
        <v>24.008299999999998</v>
      </c>
      <c r="M11" s="39">
        <v>235.74700000000001</v>
      </c>
    </row>
    <row r="12" spans="1:13" x14ac:dyDescent="0.25">
      <c r="A12" s="39">
        <v>1</v>
      </c>
      <c r="B12" s="39">
        <v>1</v>
      </c>
      <c r="C12" s="39">
        <v>514</v>
      </c>
      <c r="D12" s="39">
        <v>18</v>
      </c>
      <c r="E12" s="39">
        <v>0.23</v>
      </c>
      <c r="F12" s="39">
        <v>70.165499999999994</v>
      </c>
      <c r="G12" s="39">
        <v>101.0086</v>
      </c>
      <c r="H12" s="39">
        <v>578.29610000000002</v>
      </c>
      <c r="I12" s="39">
        <v>20.678699999999999</v>
      </c>
      <c r="J12" s="39">
        <v>0.51770000000000005</v>
      </c>
      <c r="K12" s="39">
        <v>1.9563999999999999</v>
      </c>
      <c r="L12" s="39">
        <v>24.008299999999998</v>
      </c>
      <c r="M12" s="39">
        <v>235.74700000000001</v>
      </c>
    </row>
    <row r="13" spans="1:13" x14ac:dyDescent="0.25">
      <c r="A13" s="39">
        <v>1.1000000000000001</v>
      </c>
      <c r="B13" s="39">
        <v>1</v>
      </c>
      <c r="C13" s="39">
        <v>514</v>
      </c>
      <c r="D13" s="39">
        <v>18</v>
      </c>
      <c r="E13" s="39">
        <v>0.23</v>
      </c>
      <c r="F13" s="39">
        <v>70.165499999999994</v>
      </c>
      <c r="G13" s="39">
        <v>101.0086</v>
      </c>
      <c r="H13" s="39">
        <v>578.29610000000002</v>
      </c>
      <c r="I13" s="39">
        <v>20.678699999999999</v>
      </c>
      <c r="J13" s="39">
        <v>0.51770000000000005</v>
      </c>
      <c r="K13" s="39">
        <v>1.9563999999999999</v>
      </c>
      <c r="L13" s="39">
        <v>24.008299999999998</v>
      </c>
      <c r="M13" s="39">
        <v>235.74700000000001</v>
      </c>
    </row>
    <row r="14" spans="1:13" x14ac:dyDescent="0.25">
      <c r="A14" s="39">
        <v>1.2</v>
      </c>
      <c r="B14" s="39">
        <v>1</v>
      </c>
      <c r="C14" s="39">
        <v>514</v>
      </c>
      <c r="D14" s="39">
        <v>18</v>
      </c>
      <c r="E14" s="39">
        <v>0.23</v>
      </c>
      <c r="F14" s="39">
        <v>70.165499999999994</v>
      </c>
      <c r="G14" s="39">
        <v>101.0086</v>
      </c>
      <c r="H14" s="39">
        <v>578.29610000000002</v>
      </c>
      <c r="I14" s="39">
        <v>20.678699999999999</v>
      </c>
      <c r="J14" s="39">
        <v>0.51770000000000005</v>
      </c>
      <c r="K14" s="39">
        <v>1.9563999999999999</v>
      </c>
      <c r="L14" s="39">
        <v>24.008299999999998</v>
      </c>
      <c r="M14" s="39">
        <v>235.74700000000001</v>
      </c>
    </row>
    <row r="15" spans="1:13" x14ac:dyDescent="0.25">
      <c r="A15" s="39">
        <v>1.3</v>
      </c>
      <c r="B15" s="39">
        <v>1</v>
      </c>
      <c r="C15" s="39">
        <v>514</v>
      </c>
      <c r="D15" s="39">
        <v>18</v>
      </c>
      <c r="E15" s="39">
        <v>0.23</v>
      </c>
      <c r="F15" s="39">
        <v>70.165499999999994</v>
      </c>
      <c r="G15" s="39">
        <v>101.0086</v>
      </c>
      <c r="H15" s="39">
        <v>578.29610000000002</v>
      </c>
      <c r="I15" s="39">
        <v>20.678699999999999</v>
      </c>
      <c r="J15" s="39">
        <v>0.51770000000000005</v>
      </c>
      <c r="K15" s="39">
        <v>1.9563999999999999</v>
      </c>
      <c r="L15" s="39">
        <v>24.008299999999998</v>
      </c>
      <c r="M15" s="39">
        <v>235.74700000000001</v>
      </c>
    </row>
    <row r="16" spans="1:13" x14ac:dyDescent="0.25">
      <c r="A16" s="39">
        <v>1.4</v>
      </c>
      <c r="B16" s="39">
        <v>1</v>
      </c>
      <c r="C16" s="39">
        <v>514</v>
      </c>
      <c r="D16" s="39">
        <v>18</v>
      </c>
      <c r="E16" s="39">
        <v>0.23</v>
      </c>
      <c r="F16" s="39">
        <v>70.165499999999994</v>
      </c>
      <c r="G16" s="39">
        <v>101.0086</v>
      </c>
      <c r="H16" s="39">
        <v>578.29610000000002</v>
      </c>
      <c r="I16" s="39">
        <v>20.678699999999999</v>
      </c>
      <c r="J16" s="39">
        <v>0.51770000000000005</v>
      </c>
      <c r="K16" s="39">
        <v>1.9563999999999999</v>
      </c>
      <c r="L16" s="39">
        <v>24.008299999999998</v>
      </c>
      <c r="M16" s="39">
        <v>235.74700000000001</v>
      </c>
    </row>
    <row r="17" spans="1:13" x14ac:dyDescent="0.25">
      <c r="A17" s="39">
        <v>1.5</v>
      </c>
      <c r="B17" s="39">
        <v>2</v>
      </c>
      <c r="C17" s="39">
        <v>523</v>
      </c>
      <c r="D17" s="39">
        <v>11</v>
      </c>
      <c r="E17" s="39">
        <v>0.13</v>
      </c>
      <c r="F17" s="39">
        <v>68.191800000000001</v>
      </c>
      <c r="G17" s="39">
        <v>100.0488</v>
      </c>
      <c r="H17" s="39">
        <v>595.7192</v>
      </c>
      <c r="I17" s="39">
        <v>23.818100000000001</v>
      </c>
      <c r="J17" s="39">
        <v>0.35410000000000003</v>
      </c>
      <c r="K17" s="39">
        <v>2.694</v>
      </c>
      <c r="L17" s="39">
        <v>24.0931</v>
      </c>
      <c r="M17" s="39">
        <v>235.73079999999999</v>
      </c>
    </row>
    <row r="18" spans="1:13" x14ac:dyDescent="0.25">
      <c r="A18" s="39">
        <v>1.6</v>
      </c>
      <c r="B18" s="39">
        <v>2</v>
      </c>
      <c r="C18" s="39">
        <v>523</v>
      </c>
      <c r="D18" s="39">
        <v>11</v>
      </c>
      <c r="E18" s="39">
        <v>0.13</v>
      </c>
      <c r="F18" s="39">
        <v>68.191800000000001</v>
      </c>
      <c r="G18" s="39">
        <v>100.0488</v>
      </c>
      <c r="H18" s="39">
        <v>595.7192</v>
      </c>
      <c r="I18" s="39">
        <v>23.818100000000001</v>
      </c>
      <c r="J18" s="39">
        <v>0.35410000000000003</v>
      </c>
      <c r="K18" s="39">
        <v>2.694</v>
      </c>
      <c r="L18" s="39">
        <v>24.0931</v>
      </c>
      <c r="M18" s="39">
        <v>235.73079999999999</v>
      </c>
    </row>
    <row r="19" spans="1:13" x14ac:dyDescent="0.25">
      <c r="A19" s="39">
        <v>1.7</v>
      </c>
      <c r="B19" s="39">
        <v>2</v>
      </c>
      <c r="C19" s="39">
        <v>523</v>
      </c>
      <c r="D19" s="39">
        <v>11</v>
      </c>
      <c r="E19" s="39">
        <v>0.13</v>
      </c>
      <c r="F19" s="39">
        <v>68.191800000000001</v>
      </c>
      <c r="G19" s="39">
        <v>100.0488</v>
      </c>
      <c r="H19" s="39">
        <v>595.7192</v>
      </c>
      <c r="I19" s="39">
        <v>23.818100000000001</v>
      </c>
      <c r="J19" s="39">
        <v>0.35410000000000003</v>
      </c>
      <c r="K19" s="39">
        <v>2.694</v>
      </c>
      <c r="L19" s="39">
        <v>24.0931</v>
      </c>
      <c r="M19" s="39">
        <v>235.73079999999999</v>
      </c>
    </row>
    <row r="20" spans="1:13" x14ac:dyDescent="0.25">
      <c r="A20" s="39">
        <v>1.8</v>
      </c>
      <c r="B20" s="39">
        <v>2</v>
      </c>
      <c r="C20" s="39">
        <v>523</v>
      </c>
      <c r="D20" s="39">
        <v>11</v>
      </c>
      <c r="E20" s="39">
        <v>0.13</v>
      </c>
      <c r="F20" s="39">
        <v>68.191800000000001</v>
      </c>
      <c r="G20" s="39">
        <v>100.0488</v>
      </c>
      <c r="H20" s="39">
        <v>595.7192</v>
      </c>
      <c r="I20" s="39">
        <v>23.818100000000001</v>
      </c>
      <c r="J20" s="39">
        <v>0.35410000000000003</v>
      </c>
      <c r="K20" s="39">
        <v>2.694</v>
      </c>
      <c r="L20" s="39">
        <v>24.0931</v>
      </c>
      <c r="M20" s="39">
        <v>235.73079999999999</v>
      </c>
    </row>
    <row r="21" spans="1:13" x14ac:dyDescent="0.25">
      <c r="A21" s="39">
        <v>1.9</v>
      </c>
      <c r="B21" s="39">
        <v>3</v>
      </c>
      <c r="C21" s="39">
        <v>533</v>
      </c>
      <c r="D21" s="39">
        <v>44</v>
      </c>
      <c r="E21" s="39">
        <v>0.11</v>
      </c>
      <c r="F21" s="39">
        <v>89.438400000000001</v>
      </c>
      <c r="G21" s="39">
        <v>124.57680000000001</v>
      </c>
      <c r="H21" s="39">
        <v>497.82920000000001</v>
      </c>
      <c r="I21" s="39">
        <v>71.735699999999994</v>
      </c>
      <c r="J21" s="39">
        <v>7.9299999999999995E-2</v>
      </c>
      <c r="K21" s="39">
        <v>3.0792999999999999</v>
      </c>
      <c r="L21" s="39">
        <v>29.487300000000001</v>
      </c>
      <c r="M21" s="39">
        <v>237.2176</v>
      </c>
    </row>
    <row r="22" spans="1:13" x14ac:dyDescent="0.25">
      <c r="A22" s="39">
        <v>2</v>
      </c>
      <c r="B22" s="39">
        <v>3</v>
      </c>
      <c r="C22" s="39">
        <v>533</v>
      </c>
      <c r="D22" s="39">
        <v>44</v>
      </c>
      <c r="E22" s="39">
        <v>0.11</v>
      </c>
      <c r="F22" s="39">
        <v>89.438400000000001</v>
      </c>
      <c r="G22" s="39">
        <v>124.57680000000001</v>
      </c>
      <c r="H22" s="39">
        <v>497.82920000000001</v>
      </c>
      <c r="I22" s="39">
        <v>71.735699999999994</v>
      </c>
      <c r="J22" s="39">
        <v>7.9299999999999995E-2</v>
      </c>
      <c r="K22" s="39">
        <v>3.0792999999999999</v>
      </c>
      <c r="L22" s="39">
        <v>29.487300000000001</v>
      </c>
      <c r="M22" s="39">
        <v>237.2176</v>
      </c>
    </row>
    <row r="23" spans="1:13" x14ac:dyDescent="0.25">
      <c r="A23" s="39">
        <v>2.1</v>
      </c>
      <c r="B23" s="39">
        <v>3</v>
      </c>
      <c r="C23" s="39">
        <v>533</v>
      </c>
      <c r="D23" s="39">
        <v>44</v>
      </c>
      <c r="E23" s="39">
        <v>0.11</v>
      </c>
      <c r="F23" s="39">
        <v>89.438400000000001</v>
      </c>
      <c r="G23" s="39">
        <v>124.57680000000001</v>
      </c>
      <c r="H23" s="39">
        <v>497.82920000000001</v>
      </c>
      <c r="I23" s="39">
        <v>71.735699999999994</v>
      </c>
      <c r="J23" s="39">
        <v>7.9299999999999995E-2</v>
      </c>
      <c r="K23" s="39">
        <v>3.0792999999999999</v>
      </c>
      <c r="L23" s="39">
        <v>29.487300000000001</v>
      </c>
      <c r="M23" s="39">
        <v>237.2176</v>
      </c>
    </row>
    <row r="24" spans="1:13" x14ac:dyDescent="0.25">
      <c r="A24" s="39">
        <v>2.2000000000000002</v>
      </c>
      <c r="B24" s="39">
        <v>3</v>
      </c>
      <c r="C24" s="39">
        <v>533</v>
      </c>
      <c r="D24" s="39">
        <v>44</v>
      </c>
      <c r="E24" s="39">
        <v>0.11</v>
      </c>
      <c r="F24" s="39">
        <v>89.438400000000001</v>
      </c>
      <c r="G24" s="39">
        <v>124.57680000000001</v>
      </c>
      <c r="H24" s="39">
        <v>497.82920000000001</v>
      </c>
      <c r="I24" s="39">
        <v>71.735699999999994</v>
      </c>
      <c r="J24" s="39">
        <v>7.9299999999999995E-2</v>
      </c>
      <c r="K24" s="39">
        <v>3.0792999999999999</v>
      </c>
      <c r="L24" s="39">
        <v>29.487300000000001</v>
      </c>
      <c r="M24" s="39">
        <v>237.2176</v>
      </c>
    </row>
    <row r="25" spans="1:13" x14ac:dyDescent="0.25">
      <c r="A25" s="39">
        <v>2.2999999999999998</v>
      </c>
      <c r="B25" s="39">
        <v>4</v>
      </c>
      <c r="C25" s="39">
        <v>542</v>
      </c>
      <c r="D25" s="39">
        <v>22</v>
      </c>
      <c r="E25" s="39">
        <v>0.1</v>
      </c>
      <c r="F25" s="39">
        <v>74.947299999999998</v>
      </c>
      <c r="G25" s="39">
        <v>109.0239</v>
      </c>
      <c r="H25" s="39">
        <v>560.7491</v>
      </c>
      <c r="I25" s="39">
        <v>32.7986</v>
      </c>
      <c r="J25" s="39">
        <v>0.15310000000000001</v>
      </c>
      <c r="K25" s="39">
        <v>3.4047000000000001</v>
      </c>
      <c r="L25" s="39">
        <v>26.474799999999998</v>
      </c>
      <c r="M25" s="39">
        <v>232.11080000000001</v>
      </c>
    </row>
    <row r="26" spans="1:13" x14ac:dyDescent="0.25">
      <c r="A26" s="39">
        <v>2.4</v>
      </c>
      <c r="B26" s="39">
        <v>4</v>
      </c>
      <c r="C26" s="39">
        <v>542</v>
      </c>
      <c r="D26" s="39">
        <v>22</v>
      </c>
      <c r="E26" s="39">
        <v>0.1</v>
      </c>
      <c r="F26" s="39">
        <v>74.947299999999998</v>
      </c>
      <c r="G26" s="39">
        <v>109.0239</v>
      </c>
      <c r="H26" s="39">
        <v>560.7491</v>
      </c>
      <c r="I26" s="39">
        <v>32.7986</v>
      </c>
      <c r="J26" s="39">
        <v>0.15310000000000001</v>
      </c>
      <c r="K26" s="39">
        <v>3.4047000000000001</v>
      </c>
      <c r="L26" s="39">
        <v>26.474799999999998</v>
      </c>
      <c r="M26" s="39">
        <v>232.11080000000001</v>
      </c>
    </row>
    <row r="27" spans="1:13" x14ac:dyDescent="0.25">
      <c r="A27" s="39">
        <v>2.5</v>
      </c>
      <c r="B27" s="39">
        <v>4</v>
      </c>
      <c r="C27" s="39">
        <v>542</v>
      </c>
      <c r="D27" s="39">
        <v>22</v>
      </c>
      <c r="E27" s="39">
        <v>0.1</v>
      </c>
      <c r="F27" s="39">
        <v>74.947299999999998</v>
      </c>
      <c r="G27" s="39">
        <v>109.0239</v>
      </c>
      <c r="H27" s="39">
        <v>560.7491</v>
      </c>
      <c r="I27" s="39">
        <v>32.7986</v>
      </c>
      <c r="J27" s="39">
        <v>0.15310000000000001</v>
      </c>
      <c r="K27" s="39">
        <v>3.4047000000000001</v>
      </c>
      <c r="L27" s="39">
        <v>26.474799999999998</v>
      </c>
      <c r="M27" s="39">
        <v>232.11080000000001</v>
      </c>
    </row>
    <row r="28" spans="1:13" x14ac:dyDescent="0.25">
      <c r="A28" s="39">
        <v>2.6</v>
      </c>
      <c r="B28" s="39">
        <v>4</v>
      </c>
      <c r="C28" s="39">
        <v>542</v>
      </c>
      <c r="D28" s="39">
        <v>22</v>
      </c>
      <c r="E28" s="39">
        <v>0.1</v>
      </c>
      <c r="F28" s="39">
        <v>74.947299999999998</v>
      </c>
      <c r="G28" s="39">
        <v>109.0239</v>
      </c>
      <c r="H28" s="39">
        <v>560.7491</v>
      </c>
      <c r="I28" s="39">
        <v>32.7986</v>
      </c>
      <c r="J28" s="39">
        <v>0.15310000000000001</v>
      </c>
      <c r="K28" s="39">
        <v>3.4047000000000001</v>
      </c>
      <c r="L28" s="39">
        <v>26.474799999999998</v>
      </c>
      <c r="M28" s="39">
        <v>232.11080000000001</v>
      </c>
    </row>
    <row r="29" spans="1:13" x14ac:dyDescent="0.25">
      <c r="A29" s="39">
        <v>2.7</v>
      </c>
      <c r="B29" s="39">
        <v>5</v>
      </c>
      <c r="C29" s="39">
        <v>552</v>
      </c>
      <c r="D29" s="39">
        <v>52</v>
      </c>
      <c r="E29" s="39">
        <v>0.19</v>
      </c>
      <c r="F29" s="39">
        <v>95.251199999999997</v>
      </c>
      <c r="G29" s="39">
        <v>126.771</v>
      </c>
      <c r="H29" s="39">
        <v>502.02620000000002</v>
      </c>
      <c r="I29" s="39">
        <v>78.937399999999997</v>
      </c>
      <c r="J29" s="39">
        <v>0.17069999999999999</v>
      </c>
      <c r="K29" s="39">
        <v>1.6893</v>
      </c>
      <c r="L29" s="39">
        <v>27.3047</v>
      </c>
      <c r="M29" s="39">
        <v>240.2201</v>
      </c>
    </row>
    <row r="30" spans="1:13" x14ac:dyDescent="0.25">
      <c r="A30" s="39">
        <v>2.8</v>
      </c>
      <c r="B30" s="39">
        <v>5</v>
      </c>
      <c r="C30" s="39">
        <v>552</v>
      </c>
      <c r="D30" s="39">
        <v>52</v>
      </c>
      <c r="E30" s="39">
        <v>0.19</v>
      </c>
      <c r="F30" s="39">
        <v>95.251199999999997</v>
      </c>
      <c r="G30" s="39">
        <v>126.771</v>
      </c>
      <c r="H30" s="39">
        <v>502.02620000000002</v>
      </c>
      <c r="I30" s="39">
        <v>78.937399999999997</v>
      </c>
      <c r="J30" s="39">
        <v>0.17069999999999999</v>
      </c>
      <c r="K30" s="39">
        <v>1.6893</v>
      </c>
      <c r="L30" s="39">
        <v>27.3047</v>
      </c>
      <c r="M30" s="39">
        <v>240.2201</v>
      </c>
    </row>
    <row r="31" spans="1:13" x14ac:dyDescent="0.25">
      <c r="A31" s="39">
        <v>2.9</v>
      </c>
      <c r="B31" s="39">
        <v>5</v>
      </c>
      <c r="C31" s="39">
        <v>552</v>
      </c>
      <c r="D31" s="39">
        <v>52</v>
      </c>
      <c r="E31" s="39">
        <v>0.19</v>
      </c>
      <c r="F31" s="39">
        <v>95.251199999999997</v>
      </c>
      <c r="G31" s="39">
        <v>126.771</v>
      </c>
      <c r="H31" s="39">
        <v>502.02620000000002</v>
      </c>
      <c r="I31" s="39">
        <v>78.937399999999997</v>
      </c>
      <c r="J31" s="39">
        <v>0.17069999999999999</v>
      </c>
      <c r="K31" s="39">
        <v>1.6893</v>
      </c>
      <c r="L31" s="39">
        <v>27.3047</v>
      </c>
      <c r="M31" s="39">
        <v>240.2201</v>
      </c>
    </row>
    <row r="32" spans="1:13" x14ac:dyDescent="0.25">
      <c r="A32" s="39">
        <v>3</v>
      </c>
      <c r="B32" s="39">
        <v>5</v>
      </c>
      <c r="C32" s="39">
        <v>552</v>
      </c>
      <c r="D32" s="39">
        <v>52</v>
      </c>
      <c r="E32" s="39">
        <v>0.19</v>
      </c>
      <c r="F32" s="39">
        <v>95.251199999999997</v>
      </c>
      <c r="G32" s="39">
        <v>126.771</v>
      </c>
      <c r="H32" s="39">
        <v>502.02620000000002</v>
      </c>
      <c r="I32" s="39">
        <v>78.937399999999997</v>
      </c>
      <c r="J32" s="39">
        <v>0.17069999999999999</v>
      </c>
      <c r="K32" s="39">
        <v>1.6893</v>
      </c>
      <c r="L32" s="39">
        <v>27.3047</v>
      </c>
      <c r="M32" s="39">
        <v>240.2201</v>
      </c>
    </row>
    <row r="33" spans="1:13" x14ac:dyDescent="0.25">
      <c r="A33" s="39">
        <v>3.1</v>
      </c>
      <c r="B33" s="39">
        <v>6</v>
      </c>
      <c r="C33" s="39">
        <v>561</v>
      </c>
      <c r="D33" s="39">
        <v>41</v>
      </c>
      <c r="E33" s="39">
        <v>0.23</v>
      </c>
      <c r="F33" s="39">
        <v>86.092600000000004</v>
      </c>
      <c r="G33" s="39">
        <v>117.7495</v>
      </c>
      <c r="H33" s="39">
        <v>525.96019999999999</v>
      </c>
      <c r="I33" s="39">
        <v>43.116799999999998</v>
      </c>
      <c r="J33" s="39">
        <v>0.24579999999999999</v>
      </c>
      <c r="K33" s="39">
        <v>1.7321</v>
      </c>
      <c r="L33" s="39">
        <v>26.140899999999998</v>
      </c>
      <c r="M33" s="39">
        <v>231.93209999999999</v>
      </c>
    </row>
    <row r="34" spans="1:13" x14ac:dyDescent="0.25">
      <c r="A34" s="39">
        <v>3.2</v>
      </c>
      <c r="B34" s="39">
        <v>6</v>
      </c>
      <c r="C34" s="39">
        <v>561</v>
      </c>
      <c r="D34" s="39">
        <v>41</v>
      </c>
      <c r="E34" s="39">
        <v>0.23</v>
      </c>
      <c r="F34" s="39">
        <v>86.092600000000004</v>
      </c>
      <c r="G34" s="39">
        <v>117.7495</v>
      </c>
      <c r="H34" s="39">
        <v>525.96019999999999</v>
      </c>
      <c r="I34" s="39">
        <v>43.116799999999998</v>
      </c>
      <c r="J34" s="39">
        <v>0.24579999999999999</v>
      </c>
      <c r="K34" s="39">
        <v>1.7321</v>
      </c>
      <c r="L34" s="39">
        <v>26.140899999999998</v>
      </c>
      <c r="M34" s="39">
        <v>231.93209999999999</v>
      </c>
    </row>
    <row r="35" spans="1:13" x14ac:dyDescent="0.25">
      <c r="A35" s="39">
        <v>3.3</v>
      </c>
      <c r="B35" s="39">
        <v>6</v>
      </c>
      <c r="C35" s="39">
        <v>561</v>
      </c>
      <c r="D35" s="39">
        <v>41</v>
      </c>
      <c r="E35" s="39">
        <v>0.23</v>
      </c>
      <c r="F35" s="39">
        <v>86.092600000000004</v>
      </c>
      <c r="G35" s="39">
        <v>117.7495</v>
      </c>
      <c r="H35" s="39">
        <v>525.96019999999999</v>
      </c>
      <c r="I35" s="39">
        <v>43.116799999999998</v>
      </c>
      <c r="J35" s="39">
        <v>0.24579999999999999</v>
      </c>
      <c r="K35" s="39">
        <v>1.7321</v>
      </c>
      <c r="L35" s="39">
        <v>26.140899999999998</v>
      </c>
      <c r="M35" s="39">
        <v>231.93209999999999</v>
      </c>
    </row>
    <row r="36" spans="1:13" x14ac:dyDescent="0.25">
      <c r="A36" s="39">
        <v>3.4</v>
      </c>
      <c r="B36" s="39">
        <v>6</v>
      </c>
      <c r="C36" s="39">
        <v>561</v>
      </c>
      <c r="D36" s="39">
        <v>41</v>
      </c>
      <c r="E36" s="39">
        <v>0.23</v>
      </c>
      <c r="F36" s="39">
        <v>86.092600000000004</v>
      </c>
      <c r="G36" s="39">
        <v>117.7495</v>
      </c>
      <c r="H36" s="39">
        <v>525.96019999999999</v>
      </c>
      <c r="I36" s="39">
        <v>43.116799999999998</v>
      </c>
      <c r="J36" s="39">
        <v>0.24579999999999999</v>
      </c>
      <c r="K36" s="39">
        <v>1.7321</v>
      </c>
      <c r="L36" s="39">
        <v>26.140899999999998</v>
      </c>
      <c r="M36" s="39">
        <v>231.93209999999999</v>
      </c>
    </row>
    <row r="37" spans="1:13" x14ac:dyDescent="0.25">
      <c r="A37" s="39">
        <v>3.5</v>
      </c>
      <c r="B37" s="39">
        <v>7</v>
      </c>
      <c r="C37" s="39">
        <v>570</v>
      </c>
      <c r="D37" s="39">
        <v>18</v>
      </c>
      <c r="E37" s="39">
        <v>0.26</v>
      </c>
      <c r="F37" s="39">
        <v>71.839100000000002</v>
      </c>
      <c r="G37" s="39">
        <v>102.8441</v>
      </c>
      <c r="H37" s="39">
        <v>604.79319999999996</v>
      </c>
      <c r="I37" s="39">
        <v>19.9726</v>
      </c>
      <c r="J37" s="39">
        <v>0.60589999999999999</v>
      </c>
      <c r="K37" s="39">
        <v>1.9593</v>
      </c>
      <c r="L37" s="39">
        <v>22.437000000000001</v>
      </c>
      <c r="M37" s="39">
        <v>232.09790000000001</v>
      </c>
    </row>
    <row r="38" spans="1:13" x14ac:dyDescent="0.25">
      <c r="A38" s="39">
        <v>3.6</v>
      </c>
      <c r="B38" s="39">
        <v>7</v>
      </c>
      <c r="C38" s="39">
        <v>570</v>
      </c>
      <c r="D38" s="39">
        <v>18</v>
      </c>
      <c r="E38" s="39">
        <v>0.26</v>
      </c>
      <c r="F38" s="39">
        <v>71.839100000000002</v>
      </c>
      <c r="G38" s="39">
        <v>102.8441</v>
      </c>
      <c r="H38" s="39">
        <v>604.79319999999996</v>
      </c>
      <c r="I38" s="39">
        <v>19.9726</v>
      </c>
      <c r="J38" s="39">
        <v>0.60589999999999999</v>
      </c>
      <c r="K38" s="39">
        <v>1.9593</v>
      </c>
      <c r="L38" s="39">
        <v>22.437000000000001</v>
      </c>
      <c r="M38" s="39">
        <v>232.09790000000001</v>
      </c>
    </row>
    <row r="39" spans="1:13" x14ac:dyDescent="0.25">
      <c r="A39" s="39">
        <v>3.7</v>
      </c>
      <c r="B39" s="39">
        <v>7</v>
      </c>
      <c r="C39" s="39">
        <v>570</v>
      </c>
      <c r="D39" s="39">
        <v>18</v>
      </c>
      <c r="E39" s="39">
        <v>0.26</v>
      </c>
      <c r="F39" s="39">
        <v>71.839100000000002</v>
      </c>
      <c r="G39" s="39">
        <v>102.8441</v>
      </c>
      <c r="H39" s="39">
        <v>604.79319999999996</v>
      </c>
      <c r="I39" s="39">
        <v>19.9726</v>
      </c>
      <c r="J39" s="39">
        <v>0.60589999999999999</v>
      </c>
      <c r="K39" s="39">
        <v>1.9593</v>
      </c>
      <c r="L39" s="39">
        <v>22.437000000000001</v>
      </c>
      <c r="M39" s="39">
        <v>232.09790000000001</v>
      </c>
    </row>
    <row r="40" spans="1:13" x14ac:dyDescent="0.25">
      <c r="A40" s="39">
        <v>3.8</v>
      </c>
      <c r="B40" s="39">
        <v>7</v>
      </c>
      <c r="C40" s="39">
        <v>570</v>
      </c>
      <c r="D40" s="39">
        <v>18</v>
      </c>
      <c r="E40" s="39">
        <v>0.26</v>
      </c>
      <c r="F40" s="39">
        <v>71.839100000000002</v>
      </c>
      <c r="G40" s="39">
        <v>102.8441</v>
      </c>
      <c r="H40" s="39">
        <v>604.79319999999996</v>
      </c>
      <c r="I40" s="39">
        <v>19.9726</v>
      </c>
      <c r="J40" s="39">
        <v>0.60589999999999999</v>
      </c>
      <c r="K40" s="39">
        <v>1.9593</v>
      </c>
      <c r="L40" s="39">
        <v>22.437000000000001</v>
      </c>
      <c r="M40" s="39">
        <v>232.09790000000001</v>
      </c>
    </row>
    <row r="41" spans="1:13" x14ac:dyDescent="0.25">
      <c r="A41" s="39">
        <v>3.9</v>
      </c>
      <c r="B41" s="39">
        <v>8</v>
      </c>
      <c r="C41" s="39">
        <v>580</v>
      </c>
      <c r="D41" s="39">
        <v>17</v>
      </c>
      <c r="E41" s="39">
        <v>0.24</v>
      </c>
      <c r="F41" s="39">
        <v>71.966300000000004</v>
      </c>
      <c r="G41" s="39">
        <v>103.2548</v>
      </c>
      <c r="H41" s="39">
        <v>608.9674</v>
      </c>
      <c r="I41" s="39">
        <v>20.4587</v>
      </c>
      <c r="J41" s="39">
        <v>0.57499999999999996</v>
      </c>
      <c r="K41" s="39">
        <v>2.0579999999999998</v>
      </c>
      <c r="L41" s="39">
        <v>22.370100000000001</v>
      </c>
      <c r="M41" s="39">
        <v>231.3655</v>
      </c>
    </row>
    <row r="42" spans="1:13" x14ac:dyDescent="0.25">
      <c r="A42" s="39">
        <v>4</v>
      </c>
      <c r="B42" s="39">
        <v>8</v>
      </c>
      <c r="C42" s="39">
        <v>580</v>
      </c>
      <c r="D42" s="39">
        <v>17</v>
      </c>
      <c r="E42" s="39">
        <v>0.24</v>
      </c>
      <c r="F42" s="39">
        <v>71.966300000000004</v>
      </c>
      <c r="G42" s="39">
        <v>103.2548</v>
      </c>
      <c r="H42" s="39">
        <v>608.9674</v>
      </c>
      <c r="I42" s="39">
        <v>20.4587</v>
      </c>
      <c r="J42" s="39">
        <v>0.57499999999999996</v>
      </c>
      <c r="K42" s="39">
        <v>2.0579999999999998</v>
      </c>
      <c r="L42" s="39">
        <v>22.370100000000001</v>
      </c>
      <c r="M42" s="39">
        <v>231.3655</v>
      </c>
    </row>
    <row r="43" spans="1:13" x14ac:dyDescent="0.25">
      <c r="A43" s="39">
        <v>4.0999999999999996</v>
      </c>
      <c r="B43" s="39">
        <v>8</v>
      </c>
      <c r="C43" s="39">
        <v>580</v>
      </c>
      <c r="D43" s="39">
        <v>17</v>
      </c>
      <c r="E43" s="39">
        <v>0.24</v>
      </c>
      <c r="F43" s="39">
        <v>71.966300000000004</v>
      </c>
      <c r="G43" s="39">
        <v>103.2548</v>
      </c>
      <c r="H43" s="39">
        <v>608.9674</v>
      </c>
      <c r="I43" s="39">
        <v>20.4587</v>
      </c>
      <c r="J43" s="39">
        <v>0.57499999999999996</v>
      </c>
      <c r="K43" s="39">
        <v>2.0579999999999998</v>
      </c>
      <c r="L43" s="39">
        <v>22.370100000000001</v>
      </c>
      <c r="M43" s="39">
        <v>231.3655</v>
      </c>
    </row>
    <row r="44" spans="1:13" x14ac:dyDescent="0.25">
      <c r="A44" s="39">
        <v>4.2</v>
      </c>
      <c r="B44" s="39">
        <v>8</v>
      </c>
      <c r="C44" s="39">
        <v>580</v>
      </c>
      <c r="D44" s="39">
        <v>17</v>
      </c>
      <c r="E44" s="39">
        <v>0.24</v>
      </c>
      <c r="F44" s="39">
        <v>71.966300000000004</v>
      </c>
      <c r="G44" s="39">
        <v>103.2548</v>
      </c>
      <c r="H44" s="39">
        <v>608.9674</v>
      </c>
      <c r="I44" s="39">
        <v>20.4587</v>
      </c>
      <c r="J44" s="39">
        <v>0.57499999999999996</v>
      </c>
      <c r="K44" s="39">
        <v>2.0579999999999998</v>
      </c>
      <c r="L44" s="39">
        <v>22.370100000000001</v>
      </c>
      <c r="M44" s="39">
        <v>231.3655</v>
      </c>
    </row>
    <row r="45" spans="1:13" x14ac:dyDescent="0.25">
      <c r="A45" s="39">
        <v>4.3</v>
      </c>
      <c r="B45" s="39">
        <v>9</v>
      </c>
      <c r="C45" s="39">
        <v>589</v>
      </c>
      <c r="D45" s="39">
        <v>37</v>
      </c>
      <c r="E45" s="39">
        <v>0.27</v>
      </c>
      <c r="F45" s="39">
        <v>83.817999999999998</v>
      </c>
      <c r="G45" s="39">
        <v>114.92019999999999</v>
      </c>
      <c r="H45" s="39">
        <v>547.6653</v>
      </c>
      <c r="I45" s="39">
        <v>33.9101</v>
      </c>
      <c r="J45" s="39">
        <v>0.34989999999999999</v>
      </c>
      <c r="K45" s="39">
        <v>1.7025999999999999</v>
      </c>
      <c r="L45" s="39">
        <v>24.677600000000002</v>
      </c>
      <c r="M45" s="39">
        <v>228.13890000000001</v>
      </c>
    </row>
    <row r="46" spans="1:13" x14ac:dyDescent="0.25">
      <c r="A46" s="39">
        <v>4.4000000000000004</v>
      </c>
      <c r="B46" s="39">
        <v>9</v>
      </c>
      <c r="C46" s="39">
        <v>589</v>
      </c>
      <c r="D46" s="39">
        <v>37</v>
      </c>
      <c r="E46" s="39">
        <v>0.27</v>
      </c>
      <c r="F46" s="39">
        <v>83.817999999999998</v>
      </c>
      <c r="G46" s="39">
        <v>114.92019999999999</v>
      </c>
      <c r="H46" s="39">
        <v>547.6653</v>
      </c>
      <c r="I46" s="39">
        <v>33.9101</v>
      </c>
      <c r="J46" s="39">
        <v>0.34989999999999999</v>
      </c>
      <c r="K46" s="39">
        <v>1.7025999999999999</v>
      </c>
      <c r="L46" s="39">
        <v>24.677600000000002</v>
      </c>
      <c r="M46" s="39">
        <v>228.13890000000001</v>
      </c>
    </row>
    <row r="47" spans="1:13" x14ac:dyDescent="0.25">
      <c r="A47" s="39">
        <v>4.5</v>
      </c>
      <c r="B47" s="39">
        <v>9</v>
      </c>
      <c r="C47" s="39">
        <v>589</v>
      </c>
      <c r="D47" s="39">
        <v>37</v>
      </c>
      <c r="E47" s="39">
        <v>0.27</v>
      </c>
      <c r="F47" s="39">
        <v>83.817999999999998</v>
      </c>
      <c r="G47" s="39">
        <v>114.92019999999999</v>
      </c>
      <c r="H47" s="39">
        <v>547.6653</v>
      </c>
      <c r="I47" s="39">
        <v>33.9101</v>
      </c>
      <c r="J47" s="39">
        <v>0.34989999999999999</v>
      </c>
      <c r="K47" s="39">
        <v>1.7025999999999999</v>
      </c>
      <c r="L47" s="39">
        <v>24.677600000000002</v>
      </c>
      <c r="M47" s="39">
        <v>228.13890000000001</v>
      </c>
    </row>
    <row r="48" spans="1:13" x14ac:dyDescent="0.25">
      <c r="A48" s="39">
        <v>4.5999999999999996</v>
      </c>
      <c r="B48" s="39">
        <v>9</v>
      </c>
      <c r="C48" s="39">
        <v>589</v>
      </c>
      <c r="D48" s="39">
        <v>37</v>
      </c>
      <c r="E48" s="39">
        <v>0.27</v>
      </c>
      <c r="F48" s="39">
        <v>83.817999999999998</v>
      </c>
      <c r="G48" s="39">
        <v>114.92019999999999</v>
      </c>
      <c r="H48" s="39">
        <v>547.6653</v>
      </c>
      <c r="I48" s="39">
        <v>33.9101</v>
      </c>
      <c r="J48" s="39">
        <v>0.34989999999999999</v>
      </c>
      <c r="K48" s="39">
        <v>1.7025999999999999</v>
      </c>
      <c r="L48" s="39">
        <v>24.677600000000002</v>
      </c>
      <c r="M48" s="39">
        <v>228.13890000000001</v>
      </c>
    </row>
    <row r="49" spans="1:13" x14ac:dyDescent="0.25">
      <c r="A49" s="39">
        <v>4.7</v>
      </c>
      <c r="B49" s="39">
        <v>10</v>
      </c>
      <c r="C49" s="39">
        <v>598</v>
      </c>
      <c r="D49" s="39">
        <v>49</v>
      </c>
      <c r="E49" s="39">
        <v>0.1</v>
      </c>
      <c r="F49" s="39">
        <v>96.603200000000001</v>
      </c>
      <c r="G49" s="39">
        <v>131.02590000000001</v>
      </c>
      <c r="H49" s="39">
        <v>509.61430000000001</v>
      </c>
      <c r="I49" s="39">
        <v>97.263800000000003</v>
      </c>
      <c r="J49" s="39">
        <v>7.3899999999999993E-2</v>
      </c>
      <c r="K49" s="39">
        <v>3.2715999999999998</v>
      </c>
      <c r="L49" s="39">
        <v>28.964300000000001</v>
      </c>
      <c r="M49" s="39">
        <v>233.62370000000001</v>
      </c>
    </row>
    <row r="50" spans="1:13" x14ac:dyDescent="0.25">
      <c r="A50" s="39">
        <v>4.8</v>
      </c>
      <c r="B50" s="39">
        <v>10</v>
      </c>
      <c r="C50" s="39">
        <v>598</v>
      </c>
      <c r="D50" s="39">
        <v>49</v>
      </c>
      <c r="E50" s="39">
        <v>0.1</v>
      </c>
      <c r="F50" s="39">
        <v>96.603200000000001</v>
      </c>
      <c r="G50" s="39">
        <v>131.02590000000001</v>
      </c>
      <c r="H50" s="39">
        <v>509.61430000000001</v>
      </c>
      <c r="I50" s="39">
        <v>97.263800000000003</v>
      </c>
      <c r="J50" s="39">
        <v>7.3899999999999993E-2</v>
      </c>
      <c r="K50" s="39">
        <v>3.2715999999999998</v>
      </c>
      <c r="L50" s="39">
        <v>28.964300000000001</v>
      </c>
      <c r="M50" s="39">
        <v>233.62370000000001</v>
      </c>
    </row>
    <row r="51" spans="1:13" x14ac:dyDescent="0.25">
      <c r="A51" s="39">
        <v>4.9000000000000004</v>
      </c>
      <c r="B51" s="39">
        <v>10</v>
      </c>
      <c r="C51" s="39">
        <v>598</v>
      </c>
      <c r="D51" s="39">
        <v>49</v>
      </c>
      <c r="E51" s="39">
        <v>0.1</v>
      </c>
      <c r="F51" s="39">
        <v>96.603200000000001</v>
      </c>
      <c r="G51" s="39">
        <v>131.02590000000001</v>
      </c>
      <c r="H51" s="39">
        <v>509.61430000000001</v>
      </c>
      <c r="I51" s="39">
        <v>97.263800000000003</v>
      </c>
      <c r="J51" s="39">
        <v>7.3899999999999993E-2</v>
      </c>
      <c r="K51" s="39">
        <v>3.2715999999999998</v>
      </c>
      <c r="L51" s="39">
        <v>28.964300000000001</v>
      </c>
      <c r="M51" s="39">
        <v>233.62370000000001</v>
      </c>
    </row>
    <row r="52" spans="1:13" x14ac:dyDescent="0.25">
      <c r="A52" s="39">
        <v>5</v>
      </c>
      <c r="B52" s="39">
        <v>10</v>
      </c>
      <c r="C52" s="39">
        <v>598</v>
      </c>
      <c r="D52" s="39">
        <v>49</v>
      </c>
      <c r="E52" s="39">
        <v>0.1</v>
      </c>
      <c r="F52" s="39">
        <v>96.603200000000001</v>
      </c>
      <c r="G52" s="39">
        <v>131.02590000000001</v>
      </c>
      <c r="H52" s="39">
        <v>509.61430000000001</v>
      </c>
      <c r="I52" s="39">
        <v>97.263800000000003</v>
      </c>
      <c r="J52" s="39">
        <v>7.3899999999999993E-2</v>
      </c>
      <c r="K52" s="39">
        <v>3.2715999999999998</v>
      </c>
      <c r="L52" s="39">
        <v>28.964300000000001</v>
      </c>
      <c r="M52" s="39">
        <v>233.62370000000001</v>
      </c>
    </row>
    <row r="53" spans="1:13" x14ac:dyDescent="0.25">
      <c r="A53" s="39">
        <v>5.0999999999999996</v>
      </c>
      <c r="B53" s="39">
        <v>11</v>
      </c>
      <c r="C53" s="39">
        <v>608</v>
      </c>
      <c r="D53" s="39">
        <v>28</v>
      </c>
      <c r="E53" s="39">
        <v>0.16</v>
      </c>
      <c r="F53" s="39">
        <v>80.523899999999998</v>
      </c>
      <c r="G53" s="39">
        <v>113.9226</v>
      </c>
      <c r="H53" s="39">
        <v>565.34580000000005</v>
      </c>
      <c r="I53" s="39">
        <v>33.267099999999999</v>
      </c>
      <c r="J53" s="39">
        <v>0.1847</v>
      </c>
      <c r="K53" s="39">
        <v>2.8433000000000002</v>
      </c>
      <c r="L53" s="39">
        <v>25.156400000000001</v>
      </c>
      <c r="M53" s="39">
        <v>226.57079999999999</v>
      </c>
    </row>
    <row r="54" spans="1:13" x14ac:dyDescent="0.25">
      <c r="A54" s="39">
        <v>5.2</v>
      </c>
      <c r="B54" s="39">
        <v>11</v>
      </c>
      <c r="C54" s="39">
        <v>608</v>
      </c>
      <c r="D54" s="39">
        <v>28</v>
      </c>
      <c r="E54" s="39">
        <v>0.16</v>
      </c>
      <c r="F54" s="39">
        <v>80.523899999999998</v>
      </c>
      <c r="G54" s="39">
        <v>113.9226</v>
      </c>
      <c r="H54" s="39">
        <v>565.34580000000005</v>
      </c>
      <c r="I54" s="39">
        <v>33.267099999999999</v>
      </c>
      <c r="J54" s="39">
        <v>0.1847</v>
      </c>
      <c r="K54" s="39">
        <v>2.8433000000000002</v>
      </c>
      <c r="L54" s="39">
        <v>25.156400000000001</v>
      </c>
      <c r="M54" s="39">
        <v>226.57079999999999</v>
      </c>
    </row>
    <row r="55" spans="1:13" x14ac:dyDescent="0.25">
      <c r="A55" s="39">
        <v>5.3</v>
      </c>
      <c r="B55" s="39">
        <v>11</v>
      </c>
      <c r="C55" s="39">
        <v>608</v>
      </c>
      <c r="D55" s="39">
        <v>28</v>
      </c>
      <c r="E55" s="39">
        <v>0.16</v>
      </c>
      <c r="F55" s="39">
        <v>80.523899999999998</v>
      </c>
      <c r="G55" s="39">
        <v>113.9226</v>
      </c>
      <c r="H55" s="39">
        <v>565.34580000000005</v>
      </c>
      <c r="I55" s="39">
        <v>33.267099999999999</v>
      </c>
      <c r="J55" s="39">
        <v>0.1847</v>
      </c>
      <c r="K55" s="39">
        <v>2.8433000000000002</v>
      </c>
      <c r="L55" s="39">
        <v>25.156400000000001</v>
      </c>
      <c r="M55" s="39">
        <v>226.57079999999999</v>
      </c>
    </row>
    <row r="56" spans="1:13" x14ac:dyDescent="0.25">
      <c r="A56" s="39">
        <v>5.4</v>
      </c>
      <c r="B56" s="39">
        <v>11</v>
      </c>
      <c r="C56" s="39">
        <v>608</v>
      </c>
      <c r="D56" s="39">
        <v>28</v>
      </c>
      <c r="E56" s="39">
        <v>0.16</v>
      </c>
      <c r="F56" s="39">
        <v>80.523899999999998</v>
      </c>
      <c r="G56" s="39">
        <v>113.9226</v>
      </c>
      <c r="H56" s="39">
        <v>565.34580000000005</v>
      </c>
      <c r="I56" s="39">
        <v>33.267099999999999</v>
      </c>
      <c r="J56" s="39">
        <v>0.1847</v>
      </c>
      <c r="K56" s="39">
        <v>2.8433000000000002</v>
      </c>
      <c r="L56" s="39">
        <v>25.156400000000001</v>
      </c>
      <c r="M56" s="39">
        <v>226.57079999999999</v>
      </c>
    </row>
    <row r="57" spans="1:13" x14ac:dyDescent="0.25">
      <c r="A57" s="39">
        <v>5.5</v>
      </c>
      <c r="B57" s="39">
        <v>12</v>
      </c>
      <c r="C57" s="39">
        <v>617</v>
      </c>
      <c r="D57" s="39">
        <v>40</v>
      </c>
      <c r="E57" s="39">
        <v>0.14000000000000001</v>
      </c>
      <c r="F57" s="39">
        <v>89.460599999999999</v>
      </c>
      <c r="G57" s="39">
        <v>123.2979</v>
      </c>
      <c r="H57" s="39">
        <v>532.24249999999995</v>
      </c>
      <c r="I57" s="39">
        <v>56.131100000000004</v>
      </c>
      <c r="J57" s="39">
        <v>0.1145</v>
      </c>
      <c r="K57" s="39">
        <v>2.8797999999999999</v>
      </c>
      <c r="L57" s="39">
        <v>26.446899999999999</v>
      </c>
      <c r="M57" s="39">
        <v>226.94049999999999</v>
      </c>
    </row>
    <row r="58" spans="1:13" x14ac:dyDescent="0.25">
      <c r="A58" s="39">
        <v>5.6</v>
      </c>
      <c r="B58" s="39">
        <v>12</v>
      </c>
      <c r="C58" s="39">
        <v>617</v>
      </c>
      <c r="D58" s="39">
        <v>40</v>
      </c>
      <c r="E58" s="39">
        <v>0.14000000000000001</v>
      </c>
      <c r="F58" s="39">
        <v>89.460599999999999</v>
      </c>
      <c r="G58" s="39">
        <v>123.2979</v>
      </c>
      <c r="H58" s="39">
        <v>532.24249999999995</v>
      </c>
      <c r="I58" s="39">
        <v>56.131100000000004</v>
      </c>
      <c r="J58" s="39">
        <v>0.1145</v>
      </c>
      <c r="K58" s="39">
        <v>2.8797999999999999</v>
      </c>
      <c r="L58" s="39">
        <v>26.446899999999999</v>
      </c>
      <c r="M58" s="39">
        <v>226.94049999999999</v>
      </c>
    </row>
    <row r="59" spans="1:13" x14ac:dyDescent="0.25">
      <c r="A59" s="39">
        <v>5.7</v>
      </c>
      <c r="B59" s="39">
        <v>12</v>
      </c>
      <c r="C59" s="39">
        <v>617</v>
      </c>
      <c r="D59" s="39">
        <v>40</v>
      </c>
      <c r="E59" s="39">
        <v>0.14000000000000001</v>
      </c>
      <c r="F59" s="39">
        <v>89.460599999999999</v>
      </c>
      <c r="G59" s="39">
        <v>123.2979</v>
      </c>
      <c r="H59" s="39">
        <v>532.24249999999995</v>
      </c>
      <c r="I59" s="39">
        <v>56.131100000000004</v>
      </c>
      <c r="J59" s="39">
        <v>0.1145</v>
      </c>
      <c r="K59" s="39">
        <v>2.8797999999999999</v>
      </c>
      <c r="L59" s="39">
        <v>26.446899999999999</v>
      </c>
      <c r="M59" s="39">
        <v>226.94049999999999</v>
      </c>
    </row>
    <row r="60" spans="1:13" x14ac:dyDescent="0.25">
      <c r="A60" s="39">
        <v>5.8</v>
      </c>
      <c r="B60" s="39">
        <v>12</v>
      </c>
      <c r="C60" s="39">
        <v>617</v>
      </c>
      <c r="D60" s="39">
        <v>40</v>
      </c>
      <c r="E60" s="39">
        <v>0.14000000000000001</v>
      </c>
      <c r="F60" s="39">
        <v>89.460599999999999</v>
      </c>
      <c r="G60" s="39">
        <v>123.2979</v>
      </c>
      <c r="H60" s="39">
        <v>532.24249999999995</v>
      </c>
      <c r="I60" s="39">
        <v>56.131100000000004</v>
      </c>
      <c r="J60" s="39">
        <v>0.1145</v>
      </c>
      <c r="K60" s="39">
        <v>2.8797999999999999</v>
      </c>
      <c r="L60" s="39">
        <v>26.446899999999999</v>
      </c>
      <c r="M60" s="39">
        <v>226.94049999999999</v>
      </c>
    </row>
    <row r="61" spans="1:13" x14ac:dyDescent="0.25">
      <c r="A61" s="39">
        <v>5.9</v>
      </c>
      <c r="B61" s="39">
        <v>13</v>
      </c>
      <c r="C61" s="39">
        <v>627</v>
      </c>
      <c r="D61" s="39">
        <v>13</v>
      </c>
      <c r="E61" s="39">
        <v>0.12</v>
      </c>
      <c r="F61" s="39">
        <v>73.524699999999996</v>
      </c>
      <c r="G61" s="39">
        <v>106.4969</v>
      </c>
      <c r="H61" s="39">
        <v>618.12239999999997</v>
      </c>
      <c r="I61" s="39">
        <v>26.261099999999999</v>
      </c>
      <c r="J61" s="39">
        <v>0.29310000000000003</v>
      </c>
      <c r="K61" s="39">
        <v>3.3220999999999998</v>
      </c>
      <c r="L61" s="39">
        <v>22.748999999999999</v>
      </c>
      <c r="M61" s="39">
        <v>227.012</v>
      </c>
    </row>
    <row r="62" spans="1:13" x14ac:dyDescent="0.25">
      <c r="A62" s="39">
        <v>6</v>
      </c>
      <c r="B62" s="39">
        <v>13</v>
      </c>
      <c r="C62" s="39">
        <v>627</v>
      </c>
      <c r="D62" s="39">
        <v>13</v>
      </c>
      <c r="E62" s="39">
        <v>0.12</v>
      </c>
      <c r="F62" s="39">
        <v>73.524699999999996</v>
      </c>
      <c r="G62" s="39">
        <v>106.4969</v>
      </c>
      <c r="H62" s="39">
        <v>618.12239999999997</v>
      </c>
      <c r="I62" s="39">
        <v>26.261099999999999</v>
      </c>
      <c r="J62" s="39">
        <v>0.29310000000000003</v>
      </c>
      <c r="K62" s="39">
        <v>3.3220999999999998</v>
      </c>
      <c r="L62" s="39">
        <v>22.748999999999999</v>
      </c>
      <c r="M62" s="39">
        <v>227.012</v>
      </c>
    </row>
    <row r="63" spans="1:13" x14ac:dyDescent="0.25">
      <c r="A63" s="39">
        <v>6.1</v>
      </c>
      <c r="B63" s="39">
        <v>13</v>
      </c>
      <c r="C63" s="39">
        <v>627</v>
      </c>
      <c r="D63" s="39">
        <v>13</v>
      </c>
      <c r="E63" s="39">
        <v>0.12</v>
      </c>
      <c r="F63" s="39">
        <v>73.524699999999996</v>
      </c>
      <c r="G63" s="39">
        <v>106.4969</v>
      </c>
      <c r="H63" s="39">
        <v>618.12239999999997</v>
      </c>
      <c r="I63" s="39">
        <v>26.261099999999999</v>
      </c>
      <c r="J63" s="39">
        <v>0.29310000000000003</v>
      </c>
      <c r="K63" s="39">
        <v>3.3220999999999998</v>
      </c>
      <c r="L63" s="39">
        <v>22.748999999999999</v>
      </c>
      <c r="M63" s="39">
        <v>227.012</v>
      </c>
    </row>
    <row r="64" spans="1:13" x14ac:dyDescent="0.25">
      <c r="A64" s="39">
        <v>6.2</v>
      </c>
      <c r="B64" s="39">
        <v>13</v>
      </c>
      <c r="C64" s="39">
        <v>627</v>
      </c>
      <c r="D64" s="39">
        <v>13</v>
      </c>
      <c r="E64" s="39">
        <v>0.12</v>
      </c>
      <c r="F64" s="39">
        <v>73.524699999999996</v>
      </c>
      <c r="G64" s="39">
        <v>106.4969</v>
      </c>
      <c r="H64" s="39">
        <v>618.12239999999997</v>
      </c>
      <c r="I64" s="39">
        <v>26.261099999999999</v>
      </c>
      <c r="J64" s="39">
        <v>0.29310000000000003</v>
      </c>
      <c r="K64" s="39">
        <v>3.3220999999999998</v>
      </c>
      <c r="L64" s="39">
        <v>22.748999999999999</v>
      </c>
      <c r="M64" s="39">
        <v>227.012</v>
      </c>
    </row>
    <row r="65" spans="1:13" x14ac:dyDescent="0.25">
      <c r="A65" s="39">
        <v>6.3</v>
      </c>
      <c r="B65" s="39">
        <v>14</v>
      </c>
      <c r="C65" s="39">
        <v>636</v>
      </c>
      <c r="D65" s="39">
        <v>30</v>
      </c>
      <c r="E65" s="39">
        <v>0.26</v>
      </c>
      <c r="F65" s="39">
        <v>81.833299999999994</v>
      </c>
      <c r="G65" s="39">
        <v>113.30719999999999</v>
      </c>
      <c r="H65" s="39">
        <v>575.19629999999995</v>
      </c>
      <c r="I65" s="39">
        <v>27.7972</v>
      </c>
      <c r="J65" s="39">
        <v>0.36580000000000001</v>
      </c>
      <c r="K65" s="39">
        <v>2.036</v>
      </c>
      <c r="L65" s="39">
        <v>23.259499999999999</v>
      </c>
      <c r="M65" s="39">
        <v>224.05789999999999</v>
      </c>
    </row>
    <row r="66" spans="1:13" x14ac:dyDescent="0.25">
      <c r="A66" s="39">
        <v>6.4</v>
      </c>
      <c r="B66" s="39">
        <v>14</v>
      </c>
      <c r="C66" s="39">
        <v>636</v>
      </c>
      <c r="D66" s="39">
        <v>30</v>
      </c>
      <c r="E66" s="39">
        <v>0.26</v>
      </c>
      <c r="F66" s="39">
        <v>81.833299999999994</v>
      </c>
      <c r="G66" s="39">
        <v>113.30719999999999</v>
      </c>
      <c r="H66" s="39">
        <v>575.19629999999995</v>
      </c>
      <c r="I66" s="39">
        <v>27.7972</v>
      </c>
      <c r="J66" s="39">
        <v>0.36580000000000001</v>
      </c>
      <c r="K66" s="39">
        <v>2.036</v>
      </c>
      <c r="L66" s="39">
        <v>23.259499999999999</v>
      </c>
      <c r="M66" s="39">
        <v>224.05789999999999</v>
      </c>
    </row>
    <row r="67" spans="1:13" x14ac:dyDescent="0.25">
      <c r="A67" s="39">
        <v>6.5</v>
      </c>
      <c r="B67" s="39">
        <v>14</v>
      </c>
      <c r="C67" s="39">
        <v>636</v>
      </c>
      <c r="D67" s="39">
        <v>30</v>
      </c>
      <c r="E67" s="39">
        <v>0.26</v>
      </c>
      <c r="F67" s="39">
        <v>81.833299999999994</v>
      </c>
      <c r="G67" s="39">
        <v>113.30719999999999</v>
      </c>
      <c r="H67" s="39">
        <v>575.19629999999995</v>
      </c>
      <c r="I67" s="39">
        <v>27.7972</v>
      </c>
      <c r="J67" s="39">
        <v>0.36580000000000001</v>
      </c>
      <c r="K67" s="39">
        <v>2.036</v>
      </c>
      <c r="L67" s="39">
        <v>23.259499999999999</v>
      </c>
      <c r="M67" s="39">
        <v>224.05789999999999</v>
      </c>
    </row>
    <row r="68" spans="1:13" x14ac:dyDescent="0.25">
      <c r="A68" s="39">
        <v>6.6</v>
      </c>
      <c r="B68" s="39">
        <v>14</v>
      </c>
      <c r="C68" s="39">
        <v>636</v>
      </c>
      <c r="D68" s="39">
        <v>30</v>
      </c>
      <c r="E68" s="39">
        <v>0.26</v>
      </c>
      <c r="F68" s="39">
        <v>81.833299999999994</v>
      </c>
      <c r="G68" s="39">
        <v>113.30719999999999</v>
      </c>
      <c r="H68" s="39">
        <v>575.19629999999995</v>
      </c>
      <c r="I68" s="39">
        <v>27.7972</v>
      </c>
      <c r="J68" s="39">
        <v>0.36580000000000001</v>
      </c>
      <c r="K68" s="39">
        <v>2.036</v>
      </c>
      <c r="L68" s="39">
        <v>23.259499999999999</v>
      </c>
      <c r="M68" s="39">
        <v>224.05789999999999</v>
      </c>
    </row>
    <row r="69" spans="1:13" x14ac:dyDescent="0.25">
      <c r="A69" s="39">
        <v>6.7</v>
      </c>
      <c r="B69" s="39">
        <v>15</v>
      </c>
      <c r="C69" s="39">
        <v>645</v>
      </c>
      <c r="D69" s="39">
        <v>47</v>
      </c>
      <c r="E69" s="39">
        <v>0.19</v>
      </c>
      <c r="F69" s="39">
        <v>95.153499999999994</v>
      </c>
      <c r="G69" s="39">
        <v>126.7486</v>
      </c>
      <c r="H69" s="39">
        <v>531.10509999999999</v>
      </c>
      <c r="I69" s="39">
        <v>65.624700000000004</v>
      </c>
      <c r="J69" s="39">
        <v>0.1883</v>
      </c>
      <c r="K69" s="39">
        <v>1.9641</v>
      </c>
      <c r="L69" s="39">
        <v>25.2013</v>
      </c>
      <c r="M69" s="39">
        <v>226.66720000000001</v>
      </c>
    </row>
    <row r="70" spans="1:13" x14ac:dyDescent="0.25">
      <c r="A70" s="39">
        <v>6.8</v>
      </c>
      <c r="B70" s="39">
        <v>15</v>
      </c>
      <c r="C70" s="39">
        <v>645</v>
      </c>
      <c r="D70" s="39">
        <v>47</v>
      </c>
      <c r="E70" s="39">
        <v>0.19</v>
      </c>
      <c r="F70" s="39">
        <v>95.153499999999994</v>
      </c>
      <c r="G70" s="39">
        <v>126.7486</v>
      </c>
      <c r="H70" s="39">
        <v>531.10509999999999</v>
      </c>
      <c r="I70" s="39">
        <v>65.624700000000004</v>
      </c>
      <c r="J70" s="39">
        <v>0.1883</v>
      </c>
      <c r="K70" s="39">
        <v>1.9641</v>
      </c>
      <c r="L70" s="39">
        <v>25.2013</v>
      </c>
      <c r="M70" s="39">
        <v>226.66720000000001</v>
      </c>
    </row>
    <row r="71" spans="1:13" x14ac:dyDescent="0.25">
      <c r="A71" s="39">
        <v>6.9</v>
      </c>
      <c r="B71" s="39">
        <v>15</v>
      </c>
      <c r="C71" s="39">
        <v>645</v>
      </c>
      <c r="D71" s="39">
        <v>47</v>
      </c>
      <c r="E71" s="39">
        <v>0.19</v>
      </c>
      <c r="F71" s="39">
        <v>95.153499999999994</v>
      </c>
      <c r="G71" s="39">
        <v>126.7486</v>
      </c>
      <c r="H71" s="39">
        <v>531.10509999999999</v>
      </c>
      <c r="I71" s="39">
        <v>65.624700000000004</v>
      </c>
      <c r="J71" s="39">
        <v>0.1883</v>
      </c>
      <c r="K71" s="39">
        <v>1.9641</v>
      </c>
      <c r="L71" s="39">
        <v>25.2013</v>
      </c>
      <c r="M71" s="39">
        <v>226.66720000000001</v>
      </c>
    </row>
    <row r="72" spans="1:13" x14ac:dyDescent="0.25">
      <c r="A72" s="39">
        <v>7</v>
      </c>
      <c r="B72" s="39">
        <v>15</v>
      </c>
      <c r="C72" s="39">
        <v>645</v>
      </c>
      <c r="D72" s="39">
        <v>47</v>
      </c>
      <c r="E72" s="39">
        <v>0.19</v>
      </c>
      <c r="F72" s="39">
        <v>95.153499999999994</v>
      </c>
      <c r="G72" s="39">
        <v>126.7486</v>
      </c>
      <c r="H72" s="39">
        <v>531.10509999999999</v>
      </c>
      <c r="I72" s="39">
        <v>65.624700000000004</v>
      </c>
      <c r="J72" s="39">
        <v>0.1883</v>
      </c>
      <c r="K72" s="39">
        <v>1.9641</v>
      </c>
      <c r="L72" s="39">
        <v>25.2013</v>
      </c>
      <c r="M72" s="39">
        <v>226.66720000000001</v>
      </c>
    </row>
    <row r="73" spans="1:13" x14ac:dyDescent="0.25">
      <c r="A73" s="39">
        <v>7.1</v>
      </c>
      <c r="B73" s="39">
        <v>16</v>
      </c>
      <c r="C73" s="39">
        <v>664</v>
      </c>
      <c r="D73" s="39">
        <v>41</v>
      </c>
      <c r="E73" s="39">
        <v>0.11</v>
      </c>
      <c r="F73" s="39">
        <v>93.214699999999993</v>
      </c>
      <c r="G73" s="39">
        <v>127.3496</v>
      </c>
      <c r="H73" s="39">
        <v>535.88829999999996</v>
      </c>
      <c r="I73" s="39">
        <v>66.867400000000004</v>
      </c>
      <c r="J73" s="39">
        <v>9.4399999999999998E-2</v>
      </c>
      <c r="K73" s="39">
        <v>3.5013000000000001</v>
      </c>
      <c r="L73" s="39">
        <v>26.128900000000002</v>
      </c>
      <c r="M73" s="39">
        <v>223.28569999999999</v>
      </c>
    </row>
    <row r="74" spans="1:13" x14ac:dyDescent="0.25">
      <c r="A74" s="39">
        <v>7.2</v>
      </c>
      <c r="B74" s="39">
        <v>16</v>
      </c>
      <c r="C74" s="39">
        <v>664</v>
      </c>
      <c r="D74" s="39">
        <v>41</v>
      </c>
      <c r="E74" s="39">
        <v>0.11</v>
      </c>
      <c r="F74" s="39">
        <v>93.214699999999993</v>
      </c>
      <c r="G74" s="39">
        <v>127.3496</v>
      </c>
      <c r="H74" s="39">
        <v>535.88829999999996</v>
      </c>
      <c r="I74" s="39">
        <v>66.867400000000004</v>
      </c>
      <c r="J74" s="39">
        <v>9.4399999999999998E-2</v>
      </c>
      <c r="K74" s="39">
        <v>3.5013000000000001</v>
      </c>
      <c r="L74" s="39">
        <v>26.128900000000002</v>
      </c>
      <c r="M74" s="39">
        <v>223.28569999999999</v>
      </c>
    </row>
    <row r="75" spans="1:13" x14ac:dyDescent="0.25">
      <c r="A75" s="39">
        <v>7.3</v>
      </c>
      <c r="B75" s="39">
        <v>16</v>
      </c>
      <c r="C75" s="39">
        <v>664</v>
      </c>
      <c r="D75" s="39">
        <v>41</v>
      </c>
      <c r="E75" s="39">
        <v>0.11</v>
      </c>
      <c r="F75" s="39">
        <v>93.214699999999993</v>
      </c>
      <c r="G75" s="39">
        <v>127.3496</v>
      </c>
      <c r="H75" s="39">
        <v>535.88829999999996</v>
      </c>
      <c r="I75" s="39">
        <v>66.867400000000004</v>
      </c>
      <c r="J75" s="39">
        <v>9.4399999999999998E-2</v>
      </c>
      <c r="K75" s="39">
        <v>3.5013000000000001</v>
      </c>
      <c r="L75" s="39">
        <v>26.128900000000002</v>
      </c>
      <c r="M75" s="39">
        <v>223.28569999999999</v>
      </c>
    </row>
    <row r="76" spans="1:13" x14ac:dyDescent="0.25">
      <c r="A76" s="39">
        <v>7.4</v>
      </c>
      <c r="B76" s="39">
        <v>16</v>
      </c>
      <c r="C76" s="39">
        <v>664</v>
      </c>
      <c r="D76" s="39">
        <v>41</v>
      </c>
      <c r="E76" s="39">
        <v>0.11</v>
      </c>
      <c r="F76" s="39">
        <v>93.214699999999993</v>
      </c>
      <c r="G76" s="39">
        <v>127.3496</v>
      </c>
      <c r="H76" s="39">
        <v>535.88829999999996</v>
      </c>
      <c r="I76" s="39">
        <v>66.867400000000004</v>
      </c>
      <c r="J76" s="39">
        <v>9.4399999999999998E-2</v>
      </c>
      <c r="K76" s="39">
        <v>3.5013000000000001</v>
      </c>
      <c r="L76" s="39">
        <v>26.128900000000002</v>
      </c>
      <c r="M76" s="39">
        <v>223.28569999999999</v>
      </c>
    </row>
    <row r="77" spans="1:13" x14ac:dyDescent="0.25">
      <c r="A77" s="39">
        <v>7.5</v>
      </c>
      <c r="B77" s="39">
        <v>17</v>
      </c>
      <c r="C77" s="39">
        <v>673</v>
      </c>
      <c r="D77" s="39">
        <v>46</v>
      </c>
      <c r="E77" s="39">
        <v>0.23</v>
      </c>
      <c r="F77" s="39">
        <v>95.194900000000004</v>
      </c>
      <c r="G77" s="39">
        <v>125.61750000000001</v>
      </c>
      <c r="H77" s="39">
        <v>540.90800000000002</v>
      </c>
      <c r="I77" s="39">
        <v>56.4544</v>
      </c>
      <c r="J77" s="39">
        <v>0.30659999999999998</v>
      </c>
      <c r="K77" s="39">
        <v>1.659</v>
      </c>
      <c r="L77" s="39">
        <v>23.887799999999999</v>
      </c>
      <c r="M77" s="39">
        <v>223.34129999999999</v>
      </c>
    </row>
    <row r="78" spans="1:13" x14ac:dyDescent="0.25">
      <c r="A78" s="39">
        <v>7.6</v>
      </c>
      <c r="B78" s="39">
        <v>17</v>
      </c>
      <c r="C78" s="39">
        <v>673</v>
      </c>
      <c r="D78" s="39">
        <v>46</v>
      </c>
      <c r="E78" s="39">
        <v>0.23</v>
      </c>
      <c r="F78" s="39">
        <v>95.194900000000004</v>
      </c>
      <c r="G78" s="39">
        <v>125.61750000000001</v>
      </c>
      <c r="H78" s="39">
        <v>540.90800000000002</v>
      </c>
      <c r="I78" s="39">
        <v>56.4544</v>
      </c>
      <c r="J78" s="39">
        <v>0.30659999999999998</v>
      </c>
      <c r="K78" s="39">
        <v>1.659</v>
      </c>
      <c r="L78" s="39">
        <v>23.887799999999999</v>
      </c>
      <c r="M78" s="39">
        <v>223.34129999999999</v>
      </c>
    </row>
    <row r="79" spans="1:13" x14ac:dyDescent="0.25">
      <c r="A79" s="39">
        <v>7.7</v>
      </c>
      <c r="B79" s="39">
        <v>17</v>
      </c>
      <c r="C79" s="39">
        <v>673</v>
      </c>
      <c r="D79" s="39">
        <v>46</v>
      </c>
      <c r="E79" s="39">
        <v>0.23</v>
      </c>
      <c r="F79" s="39">
        <v>95.194900000000004</v>
      </c>
      <c r="G79" s="39">
        <v>125.61750000000001</v>
      </c>
      <c r="H79" s="39">
        <v>540.90800000000002</v>
      </c>
      <c r="I79" s="39">
        <v>56.4544</v>
      </c>
      <c r="J79" s="39">
        <v>0.30659999999999998</v>
      </c>
      <c r="K79" s="39">
        <v>1.659</v>
      </c>
      <c r="L79" s="39">
        <v>23.887799999999999</v>
      </c>
      <c r="M79" s="39">
        <v>223.34129999999999</v>
      </c>
    </row>
    <row r="80" spans="1:13" x14ac:dyDescent="0.25">
      <c r="A80" s="39">
        <v>7.8</v>
      </c>
      <c r="B80" s="39">
        <v>17</v>
      </c>
      <c r="C80" s="39">
        <v>673</v>
      </c>
      <c r="D80" s="39">
        <v>46</v>
      </c>
      <c r="E80" s="39">
        <v>0.23</v>
      </c>
      <c r="F80" s="39">
        <v>95.194900000000004</v>
      </c>
      <c r="G80" s="39">
        <v>125.61750000000001</v>
      </c>
      <c r="H80" s="39">
        <v>540.90800000000002</v>
      </c>
      <c r="I80" s="39">
        <v>56.4544</v>
      </c>
      <c r="J80" s="39">
        <v>0.30659999999999998</v>
      </c>
      <c r="K80" s="39">
        <v>1.659</v>
      </c>
      <c r="L80" s="39">
        <v>23.887799999999999</v>
      </c>
      <c r="M80" s="39">
        <v>223.34129999999999</v>
      </c>
    </row>
    <row r="81" spans="1:13" x14ac:dyDescent="0.25">
      <c r="A81" s="39">
        <v>7.9</v>
      </c>
      <c r="B81" s="39">
        <v>18</v>
      </c>
      <c r="C81" s="39">
        <v>683</v>
      </c>
      <c r="D81" s="39">
        <v>25</v>
      </c>
      <c r="E81" s="39">
        <v>0.22</v>
      </c>
      <c r="F81" s="39">
        <v>82.699799999999996</v>
      </c>
      <c r="G81" s="39">
        <v>114.01049999999999</v>
      </c>
      <c r="H81" s="39">
        <v>592.83600000000001</v>
      </c>
      <c r="I81" s="39">
        <v>26.769300000000001</v>
      </c>
      <c r="J81" s="39">
        <v>0.34760000000000002</v>
      </c>
      <c r="K81" s="39">
        <v>2.5059999999999998</v>
      </c>
      <c r="L81" s="39">
        <v>22.484999999999999</v>
      </c>
      <c r="M81" s="39">
        <v>220.6635</v>
      </c>
    </row>
    <row r="82" spans="1:13" x14ac:dyDescent="0.25">
      <c r="A82" s="39">
        <v>8</v>
      </c>
      <c r="B82" s="39">
        <v>18</v>
      </c>
      <c r="C82" s="39">
        <v>683</v>
      </c>
      <c r="D82" s="39">
        <v>25</v>
      </c>
      <c r="E82" s="39">
        <v>0.22</v>
      </c>
      <c r="F82" s="39">
        <v>82.699799999999996</v>
      </c>
      <c r="G82" s="39">
        <v>114.01049999999999</v>
      </c>
      <c r="H82" s="39">
        <v>592.83600000000001</v>
      </c>
      <c r="I82" s="39">
        <v>26.769300000000001</v>
      </c>
      <c r="J82" s="39">
        <v>0.34760000000000002</v>
      </c>
      <c r="K82" s="39">
        <v>2.5059999999999998</v>
      </c>
      <c r="L82" s="39">
        <v>22.484999999999999</v>
      </c>
      <c r="M82" s="39">
        <v>220.6635</v>
      </c>
    </row>
    <row r="83" spans="1:13" x14ac:dyDescent="0.25">
      <c r="A83" s="39">
        <v>8.1</v>
      </c>
      <c r="B83" s="39">
        <v>18</v>
      </c>
      <c r="C83" s="39">
        <v>683</v>
      </c>
      <c r="D83" s="39">
        <v>25</v>
      </c>
      <c r="E83" s="39">
        <v>0.22</v>
      </c>
      <c r="F83" s="39">
        <v>82.699799999999996</v>
      </c>
      <c r="G83" s="39">
        <v>114.01049999999999</v>
      </c>
      <c r="H83" s="39">
        <v>592.83600000000001</v>
      </c>
      <c r="I83" s="39">
        <v>26.769300000000001</v>
      </c>
      <c r="J83" s="39">
        <v>0.34760000000000002</v>
      </c>
      <c r="K83" s="39">
        <v>2.5059999999999998</v>
      </c>
      <c r="L83" s="39">
        <v>22.484999999999999</v>
      </c>
      <c r="M83" s="39">
        <v>220.6635</v>
      </c>
    </row>
    <row r="84" spans="1:13" x14ac:dyDescent="0.25">
      <c r="A84" s="39">
        <v>8.1999999999999993</v>
      </c>
      <c r="B84" s="39">
        <v>18</v>
      </c>
      <c r="C84" s="39">
        <v>683</v>
      </c>
      <c r="D84" s="39">
        <v>25</v>
      </c>
      <c r="E84" s="39">
        <v>0.22</v>
      </c>
      <c r="F84" s="39">
        <v>82.699799999999996</v>
      </c>
      <c r="G84" s="39">
        <v>114.01049999999999</v>
      </c>
      <c r="H84" s="39">
        <v>592.83600000000001</v>
      </c>
      <c r="I84" s="39">
        <v>26.769300000000001</v>
      </c>
      <c r="J84" s="39">
        <v>0.34760000000000002</v>
      </c>
      <c r="K84" s="39">
        <v>2.5059999999999998</v>
      </c>
      <c r="L84" s="39">
        <v>22.484999999999999</v>
      </c>
      <c r="M84" s="39">
        <v>220.6635</v>
      </c>
    </row>
    <row r="85" spans="1:13" x14ac:dyDescent="0.25">
      <c r="A85" s="39">
        <v>8.3000000000000007</v>
      </c>
      <c r="B85" s="39">
        <v>19</v>
      </c>
      <c r="C85" s="39">
        <v>692</v>
      </c>
      <c r="D85" s="39">
        <v>47</v>
      </c>
      <c r="E85" s="39">
        <v>0.19</v>
      </c>
      <c r="F85" s="39">
        <v>97.868399999999994</v>
      </c>
      <c r="G85" s="39">
        <v>128.66239999999999</v>
      </c>
      <c r="H85" s="39">
        <v>539.39790000000005</v>
      </c>
      <c r="I85" s="39">
        <v>67.184700000000007</v>
      </c>
      <c r="J85" s="39">
        <v>0.2074</v>
      </c>
      <c r="K85" s="39">
        <v>2.0297999999999998</v>
      </c>
      <c r="L85" s="39">
        <v>24.375599999999999</v>
      </c>
      <c r="M85" s="39">
        <v>222.67740000000001</v>
      </c>
    </row>
    <row r="86" spans="1:13" x14ac:dyDescent="0.25">
      <c r="A86" s="39">
        <v>8.4</v>
      </c>
      <c r="B86" s="39">
        <v>19</v>
      </c>
      <c r="C86" s="39">
        <v>692</v>
      </c>
      <c r="D86" s="39">
        <v>47</v>
      </c>
      <c r="E86" s="39">
        <v>0.19</v>
      </c>
      <c r="F86" s="39">
        <v>97.868399999999994</v>
      </c>
      <c r="G86" s="39">
        <v>128.66239999999999</v>
      </c>
      <c r="H86" s="39">
        <v>539.39790000000005</v>
      </c>
      <c r="I86" s="39">
        <v>67.184700000000007</v>
      </c>
      <c r="J86" s="39">
        <v>0.2074</v>
      </c>
      <c r="K86" s="39">
        <v>2.0297999999999998</v>
      </c>
      <c r="L86" s="39">
        <v>24.375599999999999</v>
      </c>
      <c r="M86" s="39">
        <v>222.67740000000001</v>
      </c>
    </row>
    <row r="87" spans="1:13" x14ac:dyDescent="0.25">
      <c r="A87" s="39">
        <v>8.5</v>
      </c>
      <c r="B87" s="39">
        <v>19</v>
      </c>
      <c r="C87" s="39">
        <v>692</v>
      </c>
      <c r="D87" s="39">
        <v>47</v>
      </c>
      <c r="E87" s="39">
        <v>0.19</v>
      </c>
      <c r="F87" s="39">
        <v>97.868399999999994</v>
      </c>
      <c r="G87" s="39">
        <v>128.66239999999999</v>
      </c>
      <c r="H87" s="39">
        <v>539.39790000000005</v>
      </c>
      <c r="I87" s="39">
        <v>67.184700000000007</v>
      </c>
      <c r="J87" s="39">
        <v>0.2074</v>
      </c>
      <c r="K87" s="39">
        <v>2.0297999999999998</v>
      </c>
      <c r="L87" s="39">
        <v>24.375599999999999</v>
      </c>
      <c r="M87" s="39">
        <v>222.67740000000001</v>
      </c>
    </row>
    <row r="88" spans="1:13" x14ac:dyDescent="0.25">
      <c r="A88" s="39">
        <v>8.6</v>
      </c>
      <c r="B88" s="39">
        <v>19</v>
      </c>
      <c r="C88" s="39">
        <v>692</v>
      </c>
      <c r="D88" s="39">
        <v>47</v>
      </c>
      <c r="E88" s="39">
        <v>0.19</v>
      </c>
      <c r="F88" s="39">
        <v>97.868399999999994</v>
      </c>
      <c r="G88" s="39">
        <v>128.66239999999999</v>
      </c>
      <c r="H88" s="39">
        <v>539.39790000000005</v>
      </c>
      <c r="I88" s="39">
        <v>67.184700000000007</v>
      </c>
      <c r="J88" s="39">
        <v>0.2074</v>
      </c>
      <c r="K88" s="39">
        <v>2.0297999999999998</v>
      </c>
      <c r="L88" s="39">
        <v>24.375599999999999</v>
      </c>
      <c r="M88" s="39">
        <v>222.67740000000001</v>
      </c>
    </row>
    <row r="89" spans="1:13" x14ac:dyDescent="0.25">
      <c r="A89" s="39">
        <v>8.6999999999999993</v>
      </c>
      <c r="B89" s="39">
        <v>19</v>
      </c>
      <c r="C89" s="39">
        <v>692</v>
      </c>
      <c r="D89" s="39">
        <v>47</v>
      </c>
      <c r="E89" s="39">
        <v>0.19</v>
      </c>
      <c r="F89" s="39">
        <v>97.868399999999994</v>
      </c>
      <c r="G89" s="39">
        <v>128.66239999999999</v>
      </c>
      <c r="H89" s="39">
        <v>539.39790000000005</v>
      </c>
      <c r="I89" s="39">
        <v>67.184700000000007</v>
      </c>
      <c r="J89" s="39">
        <v>0.2074</v>
      </c>
      <c r="K89" s="39">
        <v>2.0297999999999998</v>
      </c>
      <c r="L89" s="39">
        <v>24.375599999999999</v>
      </c>
      <c r="M89" s="39">
        <v>222.67740000000001</v>
      </c>
    </row>
    <row r="90" spans="1:13" x14ac:dyDescent="0.25">
      <c r="A90" s="39">
        <v>8.8000000000000007</v>
      </c>
      <c r="B90" s="39">
        <v>20</v>
      </c>
      <c r="C90" s="39">
        <v>702</v>
      </c>
      <c r="D90" s="39">
        <v>33</v>
      </c>
      <c r="E90" s="39">
        <v>0.25</v>
      </c>
      <c r="F90" s="39">
        <v>88.613900000000001</v>
      </c>
      <c r="G90" s="39">
        <v>118.9096</v>
      </c>
      <c r="H90" s="39">
        <v>572.86149999999998</v>
      </c>
      <c r="I90" s="39">
        <v>32.382599999999996</v>
      </c>
      <c r="J90" s="39">
        <v>0.34429999999999999</v>
      </c>
      <c r="K90" s="39">
        <v>2.1526999999999998</v>
      </c>
      <c r="L90" s="39">
        <v>22.732399999999998</v>
      </c>
      <c r="M90" s="39">
        <v>218.61089999999999</v>
      </c>
    </row>
    <row r="91" spans="1:13" x14ac:dyDescent="0.25">
      <c r="A91" s="39">
        <v>8.9</v>
      </c>
      <c r="B91" s="39">
        <v>20</v>
      </c>
      <c r="C91" s="39">
        <v>702</v>
      </c>
      <c r="D91" s="39">
        <v>33</v>
      </c>
      <c r="E91" s="39">
        <v>0.25</v>
      </c>
      <c r="F91" s="39">
        <v>88.613900000000001</v>
      </c>
      <c r="G91" s="39">
        <v>118.9096</v>
      </c>
      <c r="H91" s="39">
        <v>572.86149999999998</v>
      </c>
      <c r="I91" s="39">
        <v>32.382599999999996</v>
      </c>
      <c r="J91" s="39">
        <v>0.34429999999999999</v>
      </c>
      <c r="K91" s="39">
        <v>2.1526999999999998</v>
      </c>
      <c r="L91" s="39">
        <v>22.732399999999998</v>
      </c>
      <c r="M91" s="39">
        <v>218.61089999999999</v>
      </c>
    </row>
    <row r="92" spans="1:13" x14ac:dyDescent="0.25">
      <c r="A92" s="39">
        <v>9</v>
      </c>
      <c r="B92" s="39">
        <v>20</v>
      </c>
      <c r="C92" s="39">
        <v>702</v>
      </c>
      <c r="D92" s="39">
        <v>33</v>
      </c>
      <c r="E92" s="39">
        <v>0.25</v>
      </c>
      <c r="F92" s="39">
        <v>88.613900000000001</v>
      </c>
      <c r="G92" s="39">
        <v>118.9096</v>
      </c>
      <c r="H92" s="39">
        <v>572.86149999999998</v>
      </c>
      <c r="I92" s="39">
        <v>32.382599999999996</v>
      </c>
      <c r="J92" s="39">
        <v>0.34429999999999999</v>
      </c>
      <c r="K92" s="39">
        <v>2.1526999999999998</v>
      </c>
      <c r="L92" s="39">
        <v>22.732399999999998</v>
      </c>
      <c r="M92" s="39">
        <v>218.61089999999999</v>
      </c>
    </row>
    <row r="93" spans="1:13" x14ac:dyDescent="0.25">
      <c r="A93" s="39">
        <v>9.1</v>
      </c>
      <c r="B93" s="39">
        <v>21</v>
      </c>
      <c r="C93" s="39">
        <v>711</v>
      </c>
      <c r="D93" s="39">
        <v>16</v>
      </c>
      <c r="E93" s="39">
        <v>0.11</v>
      </c>
      <c r="F93" s="39">
        <v>81.790300000000002</v>
      </c>
      <c r="G93" s="39">
        <v>113.1951</v>
      </c>
      <c r="H93" s="39">
        <v>616.94680000000005</v>
      </c>
      <c r="I93" s="39">
        <v>29.562000000000001</v>
      </c>
      <c r="J93" s="39">
        <v>0.24129999999999999</v>
      </c>
      <c r="K93" s="39">
        <v>3.9742999999999999</v>
      </c>
      <c r="L93" s="39">
        <v>22.250499999999999</v>
      </c>
      <c r="M93" s="39">
        <v>219.14109999999999</v>
      </c>
    </row>
    <row r="94" spans="1:13" x14ac:dyDescent="0.25">
      <c r="A94" s="39">
        <v>9.1999999999999993</v>
      </c>
      <c r="B94" s="39">
        <v>21</v>
      </c>
      <c r="C94" s="39">
        <v>711</v>
      </c>
      <c r="D94" s="39">
        <v>16</v>
      </c>
      <c r="E94" s="39">
        <v>0.11</v>
      </c>
      <c r="F94" s="39">
        <v>81.790300000000002</v>
      </c>
      <c r="G94" s="39">
        <v>113.1951</v>
      </c>
      <c r="H94" s="39">
        <v>616.94680000000005</v>
      </c>
      <c r="I94" s="39">
        <v>29.562000000000001</v>
      </c>
      <c r="J94" s="39">
        <v>0.24129999999999999</v>
      </c>
      <c r="K94" s="39">
        <v>3.9742999999999999</v>
      </c>
      <c r="L94" s="39">
        <v>22.250499999999999</v>
      </c>
      <c r="M94" s="39">
        <v>219.14109999999999</v>
      </c>
    </row>
    <row r="95" spans="1:13" x14ac:dyDescent="0.25">
      <c r="A95" s="39">
        <v>9.3000000000000007</v>
      </c>
      <c r="B95" s="39">
        <v>21</v>
      </c>
      <c r="C95" s="39">
        <v>711</v>
      </c>
      <c r="D95" s="39">
        <v>16</v>
      </c>
      <c r="E95" s="39">
        <v>0.11</v>
      </c>
      <c r="F95" s="39">
        <v>81.790300000000002</v>
      </c>
      <c r="G95" s="39">
        <v>113.1951</v>
      </c>
      <c r="H95" s="39">
        <v>616.94680000000005</v>
      </c>
      <c r="I95" s="39">
        <v>29.562000000000001</v>
      </c>
      <c r="J95" s="39">
        <v>0.24129999999999999</v>
      </c>
      <c r="K95" s="39">
        <v>3.9742999999999999</v>
      </c>
      <c r="L95" s="39">
        <v>22.250499999999999</v>
      </c>
      <c r="M95" s="39">
        <v>219.14109999999999</v>
      </c>
    </row>
    <row r="96" spans="1:13" x14ac:dyDescent="0.25">
      <c r="A96" s="39">
        <v>9.4</v>
      </c>
      <c r="B96" s="39">
        <v>21</v>
      </c>
      <c r="C96" s="39">
        <v>711</v>
      </c>
      <c r="D96" s="39">
        <v>16</v>
      </c>
      <c r="E96" s="39">
        <v>0.11</v>
      </c>
      <c r="F96" s="39">
        <v>81.790300000000002</v>
      </c>
      <c r="G96" s="39">
        <v>113.1951</v>
      </c>
      <c r="H96" s="39">
        <v>616.94680000000005</v>
      </c>
      <c r="I96" s="39">
        <v>29.562000000000001</v>
      </c>
      <c r="J96" s="39">
        <v>0.24129999999999999</v>
      </c>
      <c r="K96" s="39">
        <v>3.9742999999999999</v>
      </c>
      <c r="L96" s="39">
        <v>22.250499999999999</v>
      </c>
      <c r="M96" s="39">
        <v>219.14109999999999</v>
      </c>
    </row>
    <row r="97" spans="1:13" x14ac:dyDescent="0.25">
      <c r="A97" s="39">
        <v>9.5</v>
      </c>
      <c r="B97" s="39">
        <v>22</v>
      </c>
      <c r="C97" s="39">
        <v>720</v>
      </c>
      <c r="D97" s="39">
        <v>33</v>
      </c>
      <c r="E97" s="39">
        <v>0.13</v>
      </c>
      <c r="F97" s="39">
        <v>92.108900000000006</v>
      </c>
      <c r="G97" s="39">
        <v>123.9161</v>
      </c>
      <c r="H97" s="39">
        <v>565.39530000000002</v>
      </c>
      <c r="I97" s="39">
        <v>46.001199999999997</v>
      </c>
      <c r="J97" s="39">
        <v>0.1411</v>
      </c>
      <c r="K97" s="39">
        <v>3.6019999999999999</v>
      </c>
      <c r="L97" s="39">
        <v>24.2575</v>
      </c>
      <c r="M97" s="39">
        <v>217.70949999999999</v>
      </c>
    </row>
    <row r="98" spans="1:13" x14ac:dyDescent="0.25">
      <c r="A98" s="39">
        <v>9.6</v>
      </c>
      <c r="B98" s="39">
        <v>22</v>
      </c>
      <c r="C98" s="39">
        <v>720</v>
      </c>
      <c r="D98" s="39">
        <v>33</v>
      </c>
      <c r="E98" s="39">
        <v>0.13</v>
      </c>
      <c r="F98" s="39">
        <v>92.108900000000006</v>
      </c>
      <c r="G98" s="39">
        <v>123.9161</v>
      </c>
      <c r="H98" s="39">
        <v>565.39530000000002</v>
      </c>
      <c r="I98" s="39">
        <v>46.001199999999997</v>
      </c>
      <c r="J98" s="39">
        <v>0.1411</v>
      </c>
      <c r="K98" s="39">
        <v>3.6019999999999999</v>
      </c>
      <c r="L98" s="39">
        <v>24.2575</v>
      </c>
      <c r="M98" s="39">
        <v>217.70949999999999</v>
      </c>
    </row>
    <row r="99" spans="1:13" x14ac:dyDescent="0.25">
      <c r="A99" s="39">
        <v>9.6999999999999993</v>
      </c>
      <c r="B99" s="39">
        <v>22</v>
      </c>
      <c r="C99" s="39">
        <v>720</v>
      </c>
      <c r="D99" s="39">
        <v>33</v>
      </c>
      <c r="E99" s="39">
        <v>0.13</v>
      </c>
      <c r="F99" s="39">
        <v>92.108900000000006</v>
      </c>
      <c r="G99" s="39">
        <v>123.9161</v>
      </c>
      <c r="H99" s="39">
        <v>565.39530000000002</v>
      </c>
      <c r="I99" s="39">
        <v>46.001199999999997</v>
      </c>
      <c r="J99" s="39">
        <v>0.1411</v>
      </c>
      <c r="K99" s="39">
        <v>3.6019999999999999</v>
      </c>
      <c r="L99" s="39">
        <v>24.2575</v>
      </c>
      <c r="M99" s="39">
        <v>217.70949999999999</v>
      </c>
    </row>
    <row r="100" spans="1:13" x14ac:dyDescent="0.25">
      <c r="A100" s="39">
        <v>9.8000000000000007</v>
      </c>
      <c r="B100" s="39">
        <v>22</v>
      </c>
      <c r="C100" s="39">
        <v>720</v>
      </c>
      <c r="D100" s="39">
        <v>33</v>
      </c>
      <c r="E100" s="39">
        <v>0.13</v>
      </c>
      <c r="F100" s="39">
        <v>92.108900000000006</v>
      </c>
      <c r="G100" s="39">
        <v>123.9161</v>
      </c>
      <c r="H100" s="39">
        <v>565.39530000000002</v>
      </c>
      <c r="I100" s="39">
        <v>46.001199999999997</v>
      </c>
      <c r="J100" s="39">
        <v>0.1411</v>
      </c>
      <c r="K100" s="39">
        <v>3.6019999999999999</v>
      </c>
      <c r="L100" s="39">
        <v>24.2575</v>
      </c>
      <c r="M100" s="39">
        <v>217.70949999999999</v>
      </c>
    </row>
    <row r="101" spans="1:13" x14ac:dyDescent="0.25">
      <c r="A101" s="39">
        <v>9.9</v>
      </c>
      <c r="B101" s="39">
        <v>23</v>
      </c>
      <c r="C101" s="39">
        <v>730</v>
      </c>
      <c r="D101" s="39">
        <v>31</v>
      </c>
      <c r="E101" s="39">
        <v>0.11</v>
      </c>
      <c r="F101" s="39">
        <v>92.295599999999993</v>
      </c>
      <c r="G101" s="39">
        <v>123.907</v>
      </c>
      <c r="H101" s="39">
        <v>571.12509999999997</v>
      </c>
      <c r="I101" s="39">
        <v>45.975900000000003</v>
      </c>
      <c r="J101" s="39">
        <v>0.13070000000000001</v>
      </c>
      <c r="K101" s="39">
        <v>4.0530999999999997</v>
      </c>
      <c r="L101" s="39">
        <v>24.167899999999999</v>
      </c>
      <c r="M101" s="39">
        <v>216.9864</v>
      </c>
    </row>
    <row r="102" spans="1:13" x14ac:dyDescent="0.25">
      <c r="A102" s="39">
        <v>10</v>
      </c>
      <c r="B102" s="39">
        <v>23</v>
      </c>
      <c r="C102" s="39">
        <v>730</v>
      </c>
      <c r="D102" s="39">
        <v>31</v>
      </c>
      <c r="E102" s="39">
        <v>0.11</v>
      </c>
      <c r="F102" s="39">
        <v>92.295599999999993</v>
      </c>
      <c r="G102" s="39">
        <v>123.907</v>
      </c>
      <c r="H102" s="39">
        <v>571.12509999999997</v>
      </c>
      <c r="I102" s="39">
        <v>45.975900000000003</v>
      </c>
      <c r="J102" s="39">
        <v>0.13070000000000001</v>
      </c>
      <c r="K102" s="39">
        <v>4.0530999999999997</v>
      </c>
      <c r="L102" s="39">
        <v>24.167899999999999</v>
      </c>
      <c r="M102" s="39">
        <v>216.9864</v>
      </c>
    </row>
    <row r="103" spans="1:13" x14ac:dyDescent="0.25">
      <c r="A103" s="39">
        <v>10.1</v>
      </c>
      <c r="B103" s="39">
        <v>23</v>
      </c>
      <c r="C103" s="39">
        <v>730</v>
      </c>
      <c r="D103" s="39">
        <v>31</v>
      </c>
      <c r="E103" s="39">
        <v>0.11</v>
      </c>
      <c r="F103" s="39">
        <v>92.295599999999993</v>
      </c>
      <c r="G103" s="39">
        <v>123.907</v>
      </c>
      <c r="H103" s="39">
        <v>571.12509999999997</v>
      </c>
      <c r="I103" s="39">
        <v>45.975900000000003</v>
      </c>
      <c r="J103" s="39">
        <v>0.13070000000000001</v>
      </c>
      <c r="K103" s="39">
        <v>4.0530999999999997</v>
      </c>
      <c r="L103" s="39">
        <v>24.167899999999999</v>
      </c>
      <c r="M103" s="39">
        <v>216.9864</v>
      </c>
    </row>
    <row r="104" spans="1:13" x14ac:dyDescent="0.25">
      <c r="A104" s="39">
        <v>10.199999999999999</v>
      </c>
      <c r="B104" s="39">
        <v>23</v>
      </c>
      <c r="C104" s="39">
        <v>730</v>
      </c>
      <c r="D104" s="39">
        <v>31</v>
      </c>
      <c r="E104" s="39">
        <v>0.11</v>
      </c>
      <c r="F104" s="39">
        <v>92.295599999999993</v>
      </c>
      <c r="G104" s="39">
        <v>123.907</v>
      </c>
      <c r="H104" s="39">
        <v>571.12509999999997</v>
      </c>
      <c r="I104" s="39">
        <v>45.975900000000003</v>
      </c>
      <c r="J104" s="39">
        <v>0.13070000000000001</v>
      </c>
      <c r="K104" s="39">
        <v>4.0530999999999997</v>
      </c>
      <c r="L104" s="39">
        <v>24.167899999999999</v>
      </c>
      <c r="M104" s="39">
        <v>216.9864</v>
      </c>
    </row>
    <row r="105" spans="1:13" x14ac:dyDescent="0.25">
      <c r="A105" s="39">
        <v>10.3</v>
      </c>
      <c r="B105" s="39">
        <v>24</v>
      </c>
      <c r="C105" s="39">
        <v>739</v>
      </c>
      <c r="D105" s="39">
        <v>19</v>
      </c>
      <c r="E105" s="39">
        <v>0.14000000000000001</v>
      </c>
      <c r="F105" s="39">
        <v>86.365399999999994</v>
      </c>
      <c r="G105" s="39">
        <v>115.81140000000001</v>
      </c>
      <c r="H105" s="39">
        <v>613.40549999999996</v>
      </c>
      <c r="I105" s="39">
        <v>29.155799999999999</v>
      </c>
      <c r="J105" s="39">
        <v>0.2676</v>
      </c>
      <c r="K105" s="39">
        <v>3.6981000000000002</v>
      </c>
      <c r="L105" s="39">
        <v>22.044499999999999</v>
      </c>
      <c r="M105" s="39">
        <v>216.8655</v>
      </c>
    </row>
    <row r="106" spans="1:13" x14ac:dyDescent="0.25">
      <c r="A106" s="39">
        <v>10.4</v>
      </c>
      <c r="B106" s="39">
        <v>24</v>
      </c>
      <c r="C106" s="39">
        <v>739</v>
      </c>
      <c r="D106" s="39">
        <v>19</v>
      </c>
      <c r="E106" s="39">
        <v>0.14000000000000001</v>
      </c>
      <c r="F106" s="39">
        <v>86.365399999999994</v>
      </c>
      <c r="G106" s="39">
        <v>115.81140000000001</v>
      </c>
      <c r="H106" s="39">
        <v>613.40549999999996</v>
      </c>
      <c r="I106" s="39">
        <v>29.155799999999999</v>
      </c>
      <c r="J106" s="39">
        <v>0.2676</v>
      </c>
      <c r="K106" s="39">
        <v>3.6981000000000002</v>
      </c>
      <c r="L106" s="39">
        <v>22.044499999999999</v>
      </c>
      <c r="M106" s="39">
        <v>216.8655</v>
      </c>
    </row>
    <row r="107" spans="1:13" x14ac:dyDescent="0.25">
      <c r="A107" s="39">
        <v>10.5</v>
      </c>
      <c r="B107" s="39">
        <v>24</v>
      </c>
      <c r="C107" s="39">
        <v>739</v>
      </c>
      <c r="D107" s="39">
        <v>19</v>
      </c>
      <c r="E107" s="39">
        <v>0.14000000000000001</v>
      </c>
      <c r="F107" s="39">
        <v>86.365399999999994</v>
      </c>
      <c r="G107" s="39">
        <v>115.81140000000001</v>
      </c>
      <c r="H107" s="39">
        <v>613.40549999999996</v>
      </c>
      <c r="I107" s="39">
        <v>29.155799999999999</v>
      </c>
      <c r="J107" s="39">
        <v>0.2676</v>
      </c>
      <c r="K107" s="39">
        <v>3.6981000000000002</v>
      </c>
      <c r="L107" s="39">
        <v>22.044499999999999</v>
      </c>
      <c r="M107" s="39">
        <v>216.8655</v>
      </c>
    </row>
    <row r="108" spans="1:13" x14ac:dyDescent="0.25">
      <c r="A108" s="39">
        <v>10.6</v>
      </c>
      <c r="B108" s="39">
        <v>24</v>
      </c>
      <c r="C108" s="39">
        <v>739</v>
      </c>
      <c r="D108" s="39">
        <v>19</v>
      </c>
      <c r="E108" s="39">
        <v>0.14000000000000001</v>
      </c>
      <c r="F108" s="39">
        <v>86.365399999999994</v>
      </c>
      <c r="G108" s="39">
        <v>115.81140000000001</v>
      </c>
      <c r="H108" s="39">
        <v>613.40549999999996</v>
      </c>
      <c r="I108" s="39">
        <v>29.155799999999999</v>
      </c>
      <c r="J108" s="39">
        <v>0.2676</v>
      </c>
      <c r="K108" s="39">
        <v>3.6981000000000002</v>
      </c>
      <c r="L108" s="39">
        <v>22.044499999999999</v>
      </c>
      <c r="M108" s="39">
        <v>216.8655</v>
      </c>
    </row>
    <row r="109" spans="1:13" x14ac:dyDescent="0.25">
      <c r="A109" s="39">
        <v>10.7</v>
      </c>
      <c r="B109" s="39">
        <v>25</v>
      </c>
      <c r="C109" s="39">
        <v>748</v>
      </c>
      <c r="D109" s="39">
        <v>33</v>
      </c>
      <c r="E109" s="39">
        <v>0.17</v>
      </c>
      <c r="F109" s="39">
        <v>94.824100000000001</v>
      </c>
      <c r="G109" s="39">
        <v>123.9693</v>
      </c>
      <c r="H109" s="39">
        <v>574.24950000000001</v>
      </c>
      <c r="I109" s="39">
        <v>40.962899999999998</v>
      </c>
      <c r="J109" s="39">
        <v>0.20530000000000001</v>
      </c>
      <c r="K109" s="39">
        <v>3.0783999999999998</v>
      </c>
      <c r="L109" s="39">
        <v>23.3645</v>
      </c>
      <c r="M109" s="39">
        <v>215.89940000000001</v>
      </c>
    </row>
    <row r="110" spans="1:13" x14ac:dyDescent="0.25">
      <c r="A110" s="39">
        <v>10.8</v>
      </c>
      <c r="B110" s="39">
        <v>25</v>
      </c>
      <c r="C110" s="39">
        <v>748</v>
      </c>
      <c r="D110" s="39">
        <v>33</v>
      </c>
      <c r="E110" s="39">
        <v>0.17</v>
      </c>
      <c r="F110" s="39">
        <v>94.824100000000001</v>
      </c>
      <c r="G110" s="39">
        <v>123.9693</v>
      </c>
      <c r="H110" s="39">
        <v>574.24950000000001</v>
      </c>
      <c r="I110" s="39">
        <v>40.962899999999998</v>
      </c>
      <c r="J110" s="39">
        <v>0.20530000000000001</v>
      </c>
      <c r="K110" s="39">
        <v>3.0783999999999998</v>
      </c>
      <c r="L110" s="39">
        <v>23.3645</v>
      </c>
      <c r="M110" s="39">
        <v>215.89940000000001</v>
      </c>
    </row>
    <row r="111" spans="1:13" x14ac:dyDescent="0.25">
      <c r="A111" s="39">
        <v>10.9</v>
      </c>
      <c r="B111" s="39">
        <v>25</v>
      </c>
      <c r="C111" s="39">
        <v>748</v>
      </c>
      <c r="D111" s="39">
        <v>33</v>
      </c>
      <c r="E111" s="39">
        <v>0.17</v>
      </c>
      <c r="F111" s="39">
        <v>94.824100000000001</v>
      </c>
      <c r="G111" s="39">
        <v>123.9693</v>
      </c>
      <c r="H111" s="39">
        <v>574.24950000000001</v>
      </c>
      <c r="I111" s="39">
        <v>40.962899999999998</v>
      </c>
      <c r="J111" s="39">
        <v>0.20530000000000001</v>
      </c>
      <c r="K111" s="39">
        <v>3.0783999999999998</v>
      </c>
      <c r="L111" s="39">
        <v>23.3645</v>
      </c>
      <c r="M111" s="39">
        <v>215.89940000000001</v>
      </c>
    </row>
    <row r="112" spans="1:13" x14ac:dyDescent="0.25">
      <c r="A112" s="39">
        <v>11</v>
      </c>
      <c r="B112" s="39">
        <v>25</v>
      </c>
      <c r="C112" s="39">
        <v>748</v>
      </c>
      <c r="D112" s="39">
        <v>33</v>
      </c>
      <c r="E112" s="39">
        <v>0.17</v>
      </c>
      <c r="F112" s="39">
        <v>94.824100000000001</v>
      </c>
      <c r="G112" s="39">
        <v>123.9693</v>
      </c>
      <c r="H112" s="39">
        <v>574.24950000000001</v>
      </c>
      <c r="I112" s="39">
        <v>40.962899999999998</v>
      </c>
      <c r="J112" s="39">
        <v>0.20530000000000001</v>
      </c>
      <c r="K112" s="39">
        <v>3.0783999999999998</v>
      </c>
      <c r="L112" s="39">
        <v>23.3645</v>
      </c>
      <c r="M112" s="39">
        <v>215.89940000000001</v>
      </c>
    </row>
    <row r="113" spans="1:13" x14ac:dyDescent="0.25">
      <c r="A113" s="39">
        <v>11.1</v>
      </c>
      <c r="B113" s="39">
        <v>26</v>
      </c>
      <c r="C113" s="39">
        <v>758</v>
      </c>
      <c r="D113" s="39">
        <v>47</v>
      </c>
      <c r="E113" s="39">
        <v>0.23</v>
      </c>
      <c r="F113" s="39">
        <v>103.2236</v>
      </c>
      <c r="G113" s="39">
        <v>129.98259999999999</v>
      </c>
      <c r="H113" s="39">
        <v>556.41809999999998</v>
      </c>
      <c r="I113" s="39">
        <v>61.577500000000001</v>
      </c>
      <c r="J113" s="39">
        <v>0.3851</v>
      </c>
      <c r="K113" s="39">
        <v>1.7243999999999999</v>
      </c>
      <c r="L113" s="39">
        <v>22.678999999999998</v>
      </c>
      <c r="M113" s="39">
        <v>218.21899999999999</v>
      </c>
    </row>
    <row r="114" spans="1:13" x14ac:dyDescent="0.25">
      <c r="A114" s="39">
        <v>11.2</v>
      </c>
      <c r="B114" s="39">
        <v>26</v>
      </c>
      <c r="C114" s="39">
        <v>758</v>
      </c>
      <c r="D114" s="39">
        <v>47</v>
      </c>
      <c r="E114" s="39">
        <v>0.23</v>
      </c>
      <c r="F114" s="39">
        <v>103.2236</v>
      </c>
      <c r="G114" s="39">
        <v>129.98259999999999</v>
      </c>
      <c r="H114" s="39">
        <v>556.41809999999998</v>
      </c>
      <c r="I114" s="39">
        <v>61.577500000000001</v>
      </c>
      <c r="J114" s="39">
        <v>0.3851</v>
      </c>
      <c r="K114" s="39">
        <v>1.7243999999999999</v>
      </c>
      <c r="L114" s="39">
        <v>22.678999999999998</v>
      </c>
      <c r="M114" s="39">
        <v>218.21899999999999</v>
      </c>
    </row>
    <row r="115" spans="1:13" x14ac:dyDescent="0.25">
      <c r="A115" s="39">
        <v>11.3</v>
      </c>
      <c r="B115" s="39">
        <v>26</v>
      </c>
      <c r="C115" s="39">
        <v>758</v>
      </c>
      <c r="D115" s="39">
        <v>47</v>
      </c>
      <c r="E115" s="39">
        <v>0.23</v>
      </c>
      <c r="F115" s="39">
        <v>103.2236</v>
      </c>
      <c r="G115" s="39">
        <v>129.98259999999999</v>
      </c>
      <c r="H115" s="39">
        <v>556.41809999999998</v>
      </c>
      <c r="I115" s="39">
        <v>61.577500000000001</v>
      </c>
      <c r="J115" s="39">
        <v>0.3851</v>
      </c>
      <c r="K115" s="39">
        <v>1.7243999999999999</v>
      </c>
      <c r="L115" s="39">
        <v>22.678999999999998</v>
      </c>
      <c r="M115" s="39">
        <v>218.21899999999999</v>
      </c>
    </row>
    <row r="116" spans="1:13" x14ac:dyDescent="0.25">
      <c r="A116" s="39">
        <v>11.4</v>
      </c>
      <c r="B116" s="39">
        <v>26</v>
      </c>
      <c r="C116" s="39">
        <v>758</v>
      </c>
      <c r="D116" s="39">
        <v>47</v>
      </c>
      <c r="E116" s="39">
        <v>0.23</v>
      </c>
      <c r="F116" s="39">
        <v>103.2236</v>
      </c>
      <c r="G116" s="39">
        <v>129.98259999999999</v>
      </c>
      <c r="H116" s="39">
        <v>556.41809999999998</v>
      </c>
      <c r="I116" s="39">
        <v>61.577500000000001</v>
      </c>
      <c r="J116" s="39">
        <v>0.3851</v>
      </c>
      <c r="K116" s="39">
        <v>1.7243999999999999</v>
      </c>
      <c r="L116" s="39">
        <v>22.678999999999998</v>
      </c>
      <c r="M116" s="39">
        <v>218.21899999999999</v>
      </c>
    </row>
    <row r="117" spans="1:13" x14ac:dyDescent="0.25">
      <c r="A117" s="39">
        <v>11.5</v>
      </c>
      <c r="B117" s="39">
        <v>27</v>
      </c>
      <c r="C117" s="39">
        <v>767</v>
      </c>
      <c r="D117" s="39">
        <v>29</v>
      </c>
      <c r="E117" s="39">
        <v>0.22</v>
      </c>
      <c r="F117" s="39">
        <v>94.691000000000003</v>
      </c>
      <c r="G117" s="39">
        <v>121.208</v>
      </c>
      <c r="H117" s="39">
        <v>592.51480000000004</v>
      </c>
      <c r="I117" s="39">
        <v>31.352900000000002</v>
      </c>
      <c r="J117" s="39">
        <v>0.33789999999999998</v>
      </c>
      <c r="K117" s="39">
        <v>2.7021000000000002</v>
      </c>
      <c r="L117" s="39">
        <v>22.038699999999999</v>
      </c>
      <c r="M117" s="39">
        <v>214.7063</v>
      </c>
    </row>
    <row r="118" spans="1:13" x14ac:dyDescent="0.25">
      <c r="A118" s="39">
        <v>11.6</v>
      </c>
      <c r="B118" s="39">
        <v>27</v>
      </c>
      <c r="C118" s="39">
        <v>767</v>
      </c>
      <c r="D118" s="39">
        <v>29</v>
      </c>
      <c r="E118" s="39">
        <v>0.22</v>
      </c>
      <c r="F118" s="39">
        <v>94.691000000000003</v>
      </c>
      <c r="G118" s="39">
        <v>121.208</v>
      </c>
      <c r="H118" s="39">
        <v>592.51480000000004</v>
      </c>
      <c r="I118" s="39">
        <v>31.352900000000002</v>
      </c>
      <c r="J118" s="39">
        <v>0.33789999999999998</v>
      </c>
      <c r="K118" s="39">
        <v>2.7021000000000002</v>
      </c>
      <c r="L118" s="39">
        <v>22.038699999999999</v>
      </c>
      <c r="M118" s="39">
        <v>214.7063</v>
      </c>
    </row>
    <row r="119" spans="1:13" x14ac:dyDescent="0.25">
      <c r="A119" s="39">
        <v>11.7</v>
      </c>
      <c r="B119" s="39">
        <v>27</v>
      </c>
      <c r="C119" s="39">
        <v>767</v>
      </c>
      <c r="D119" s="39">
        <v>29</v>
      </c>
      <c r="E119" s="39">
        <v>0.22</v>
      </c>
      <c r="F119" s="39">
        <v>94.691000000000003</v>
      </c>
      <c r="G119" s="39">
        <v>121.208</v>
      </c>
      <c r="H119" s="39">
        <v>592.51480000000004</v>
      </c>
      <c r="I119" s="39">
        <v>31.352900000000002</v>
      </c>
      <c r="J119" s="39">
        <v>0.33789999999999998</v>
      </c>
      <c r="K119" s="39">
        <v>2.7021000000000002</v>
      </c>
      <c r="L119" s="39">
        <v>22.038699999999999</v>
      </c>
      <c r="M119" s="39">
        <v>214.7063</v>
      </c>
    </row>
    <row r="120" spans="1:13" x14ac:dyDescent="0.25">
      <c r="A120" s="39">
        <v>11.8</v>
      </c>
      <c r="B120" s="39">
        <v>27</v>
      </c>
      <c r="C120" s="39">
        <v>767</v>
      </c>
      <c r="D120" s="39">
        <v>29</v>
      </c>
      <c r="E120" s="39">
        <v>0.22</v>
      </c>
      <c r="F120" s="39">
        <v>94.691000000000003</v>
      </c>
      <c r="G120" s="39">
        <v>121.208</v>
      </c>
      <c r="H120" s="39">
        <v>592.51480000000004</v>
      </c>
      <c r="I120" s="39">
        <v>31.352900000000002</v>
      </c>
      <c r="J120" s="39">
        <v>0.33789999999999998</v>
      </c>
      <c r="K120" s="39">
        <v>2.7021000000000002</v>
      </c>
      <c r="L120" s="39">
        <v>22.038699999999999</v>
      </c>
      <c r="M120" s="39">
        <v>214.7063</v>
      </c>
    </row>
    <row r="121" spans="1:13" x14ac:dyDescent="0.25">
      <c r="A121" s="39">
        <v>11.9</v>
      </c>
      <c r="B121" s="39">
        <v>28</v>
      </c>
      <c r="C121" s="39">
        <v>777</v>
      </c>
      <c r="D121" s="39">
        <v>40</v>
      </c>
      <c r="E121" s="39">
        <v>0.21</v>
      </c>
      <c r="F121" s="39">
        <v>102.2559</v>
      </c>
      <c r="G121" s="39">
        <v>128.09569999999999</v>
      </c>
      <c r="H121" s="39">
        <v>569.42499999999995</v>
      </c>
      <c r="I121" s="39">
        <v>48.626300000000001</v>
      </c>
      <c r="J121" s="39">
        <v>0.29070000000000001</v>
      </c>
      <c r="K121" s="39">
        <v>2.3403999999999998</v>
      </c>
      <c r="L121" s="39">
        <v>22.7913</v>
      </c>
      <c r="M121" s="39">
        <v>215.27529999999999</v>
      </c>
    </row>
    <row r="122" spans="1:13" x14ac:dyDescent="0.25">
      <c r="A122" s="39">
        <v>12</v>
      </c>
      <c r="B122" s="39">
        <v>28</v>
      </c>
      <c r="C122" s="39">
        <v>777</v>
      </c>
      <c r="D122" s="39">
        <v>40</v>
      </c>
      <c r="E122" s="39">
        <v>0.21</v>
      </c>
      <c r="F122" s="39">
        <v>102.2559</v>
      </c>
      <c r="G122" s="39">
        <v>128.09569999999999</v>
      </c>
      <c r="H122" s="39">
        <v>569.42499999999995</v>
      </c>
      <c r="I122" s="39">
        <v>48.626300000000001</v>
      </c>
      <c r="J122" s="39">
        <v>0.29070000000000001</v>
      </c>
      <c r="K122" s="39">
        <v>2.3403999999999998</v>
      </c>
      <c r="L122" s="39">
        <v>22.7913</v>
      </c>
      <c r="M122" s="39">
        <v>215.27529999999999</v>
      </c>
    </row>
    <row r="123" spans="1:13" x14ac:dyDescent="0.25">
      <c r="A123" s="39">
        <v>12.1</v>
      </c>
      <c r="B123" s="39">
        <v>28</v>
      </c>
      <c r="C123" s="39">
        <v>777</v>
      </c>
      <c r="D123" s="39">
        <v>40</v>
      </c>
      <c r="E123" s="39">
        <v>0.21</v>
      </c>
      <c r="F123" s="39">
        <v>102.2559</v>
      </c>
      <c r="G123" s="39">
        <v>128.09569999999999</v>
      </c>
      <c r="H123" s="39">
        <v>569.42499999999995</v>
      </c>
      <c r="I123" s="39">
        <v>48.626300000000001</v>
      </c>
      <c r="J123" s="39">
        <v>0.29070000000000001</v>
      </c>
      <c r="K123" s="39">
        <v>2.3403999999999998</v>
      </c>
      <c r="L123" s="39">
        <v>22.7913</v>
      </c>
      <c r="M123" s="39">
        <v>215.27529999999999</v>
      </c>
    </row>
    <row r="124" spans="1:13" x14ac:dyDescent="0.25">
      <c r="A124" s="39">
        <v>12.2</v>
      </c>
      <c r="B124" s="39">
        <v>28</v>
      </c>
      <c r="C124" s="39">
        <v>777</v>
      </c>
      <c r="D124" s="39">
        <v>40</v>
      </c>
      <c r="E124" s="39">
        <v>0.21</v>
      </c>
      <c r="F124" s="39">
        <v>102.2559</v>
      </c>
      <c r="G124" s="39">
        <v>128.09569999999999</v>
      </c>
      <c r="H124" s="39">
        <v>569.42499999999995</v>
      </c>
      <c r="I124" s="39">
        <v>48.626300000000001</v>
      </c>
      <c r="J124" s="39">
        <v>0.29070000000000001</v>
      </c>
      <c r="K124" s="39">
        <v>2.3403999999999998</v>
      </c>
      <c r="L124" s="39">
        <v>22.7913</v>
      </c>
      <c r="M124" s="39">
        <v>215.27529999999999</v>
      </c>
    </row>
    <row r="125" spans="1:13" x14ac:dyDescent="0.25">
      <c r="A125" s="39">
        <v>12.3</v>
      </c>
      <c r="B125" s="39">
        <v>29</v>
      </c>
      <c r="C125" s="39">
        <v>786</v>
      </c>
      <c r="D125" s="39">
        <v>39</v>
      </c>
      <c r="E125" s="39">
        <v>0.14000000000000001</v>
      </c>
      <c r="F125" s="39">
        <v>104.25109999999999</v>
      </c>
      <c r="G125" s="39">
        <v>130.47790000000001</v>
      </c>
      <c r="H125" s="39">
        <v>570.62260000000003</v>
      </c>
      <c r="I125" s="39">
        <v>58.403799999999997</v>
      </c>
      <c r="J125" s="39">
        <v>0.15310000000000001</v>
      </c>
      <c r="K125" s="39">
        <v>3.4224000000000001</v>
      </c>
      <c r="L125" s="39">
        <v>23.7807</v>
      </c>
      <c r="M125" s="39">
        <v>215.16309999999999</v>
      </c>
    </row>
    <row r="126" spans="1:13" x14ac:dyDescent="0.25">
      <c r="A126" s="39">
        <v>12.4</v>
      </c>
      <c r="B126" s="39">
        <v>29</v>
      </c>
      <c r="C126" s="39">
        <v>786</v>
      </c>
      <c r="D126" s="39">
        <v>39</v>
      </c>
      <c r="E126" s="39">
        <v>0.14000000000000001</v>
      </c>
      <c r="F126" s="39">
        <v>104.25109999999999</v>
      </c>
      <c r="G126" s="39">
        <v>130.47790000000001</v>
      </c>
      <c r="H126" s="39">
        <v>570.62260000000003</v>
      </c>
      <c r="I126" s="39">
        <v>58.403799999999997</v>
      </c>
      <c r="J126" s="39">
        <v>0.15310000000000001</v>
      </c>
      <c r="K126" s="39">
        <v>3.4224000000000001</v>
      </c>
      <c r="L126" s="39">
        <v>23.7807</v>
      </c>
      <c r="M126" s="39">
        <v>215.16309999999999</v>
      </c>
    </row>
    <row r="127" spans="1:13" x14ac:dyDescent="0.25">
      <c r="A127" s="39">
        <v>12.5</v>
      </c>
      <c r="B127" s="39">
        <v>29</v>
      </c>
      <c r="C127" s="39">
        <v>786</v>
      </c>
      <c r="D127" s="39">
        <v>39</v>
      </c>
      <c r="E127" s="39">
        <v>0.14000000000000001</v>
      </c>
      <c r="F127" s="39">
        <v>104.25109999999999</v>
      </c>
      <c r="G127" s="39">
        <v>130.47790000000001</v>
      </c>
      <c r="H127" s="39">
        <v>570.62260000000003</v>
      </c>
      <c r="I127" s="39">
        <v>58.403799999999997</v>
      </c>
      <c r="J127" s="39">
        <v>0.15310000000000001</v>
      </c>
      <c r="K127" s="39">
        <v>3.4224000000000001</v>
      </c>
      <c r="L127" s="39">
        <v>23.7807</v>
      </c>
      <c r="M127" s="39">
        <v>215.16309999999999</v>
      </c>
    </row>
    <row r="128" spans="1:13" x14ac:dyDescent="0.25">
      <c r="A128" s="39">
        <v>12.6</v>
      </c>
      <c r="B128" s="39">
        <v>29</v>
      </c>
      <c r="C128" s="39">
        <v>786</v>
      </c>
      <c r="D128" s="39">
        <v>39</v>
      </c>
      <c r="E128" s="39">
        <v>0.14000000000000001</v>
      </c>
      <c r="F128" s="39">
        <v>104.25109999999999</v>
      </c>
      <c r="G128" s="39">
        <v>130.47790000000001</v>
      </c>
      <c r="H128" s="39">
        <v>570.62260000000003</v>
      </c>
      <c r="I128" s="39">
        <v>58.403799999999997</v>
      </c>
      <c r="J128" s="39">
        <v>0.15310000000000001</v>
      </c>
      <c r="K128" s="39">
        <v>3.4224000000000001</v>
      </c>
      <c r="L128" s="39">
        <v>23.7807</v>
      </c>
      <c r="M128" s="39">
        <v>215.16309999999999</v>
      </c>
    </row>
    <row r="129" spans="1:13" x14ac:dyDescent="0.25">
      <c r="A129" s="39">
        <v>12.7</v>
      </c>
      <c r="B129" s="39">
        <v>30</v>
      </c>
      <c r="C129" s="39">
        <v>795</v>
      </c>
      <c r="D129" s="39">
        <v>24</v>
      </c>
      <c r="E129" s="39">
        <v>0.1</v>
      </c>
      <c r="F129" s="39">
        <v>98.692999999999998</v>
      </c>
      <c r="G129" s="39">
        <v>123.3844</v>
      </c>
      <c r="H129" s="39">
        <v>606.99519999999995</v>
      </c>
      <c r="I129" s="39">
        <v>38.7727</v>
      </c>
      <c r="J129" s="39">
        <v>0.16980000000000001</v>
      </c>
      <c r="K129" s="39">
        <v>4.6718000000000002</v>
      </c>
      <c r="L129" s="39">
        <v>22.7438</v>
      </c>
      <c r="M129" s="39">
        <v>213.2859</v>
      </c>
    </row>
    <row r="130" spans="1:13" x14ac:dyDescent="0.25">
      <c r="A130" s="39">
        <v>12.8</v>
      </c>
      <c r="B130" s="39">
        <v>30</v>
      </c>
      <c r="C130" s="39">
        <v>795</v>
      </c>
      <c r="D130" s="39">
        <v>24</v>
      </c>
      <c r="E130" s="39">
        <v>0.1</v>
      </c>
      <c r="F130" s="39">
        <v>98.692999999999998</v>
      </c>
      <c r="G130" s="39">
        <v>123.3844</v>
      </c>
      <c r="H130" s="39">
        <v>606.99519999999995</v>
      </c>
      <c r="I130" s="39">
        <v>38.7727</v>
      </c>
      <c r="J130" s="39">
        <v>0.16980000000000001</v>
      </c>
      <c r="K130" s="39">
        <v>4.6718000000000002</v>
      </c>
      <c r="L130" s="39">
        <v>22.7438</v>
      </c>
      <c r="M130" s="39">
        <v>213.2859</v>
      </c>
    </row>
    <row r="131" spans="1:13" x14ac:dyDescent="0.25">
      <c r="A131" s="39">
        <v>12.9</v>
      </c>
      <c r="B131" s="39">
        <v>30</v>
      </c>
      <c r="C131" s="39">
        <v>795</v>
      </c>
      <c r="D131" s="39">
        <v>24</v>
      </c>
      <c r="E131" s="39">
        <v>0.1</v>
      </c>
      <c r="F131" s="39">
        <v>98.692999999999998</v>
      </c>
      <c r="G131" s="39">
        <v>123.3844</v>
      </c>
      <c r="H131" s="39">
        <v>606.99519999999995</v>
      </c>
      <c r="I131" s="39">
        <v>38.7727</v>
      </c>
      <c r="J131" s="39">
        <v>0.16980000000000001</v>
      </c>
      <c r="K131" s="39">
        <v>4.6718000000000002</v>
      </c>
      <c r="L131" s="39">
        <v>22.7438</v>
      </c>
      <c r="M131" s="39">
        <v>213.2859</v>
      </c>
    </row>
    <row r="132" spans="1:13" x14ac:dyDescent="0.25">
      <c r="A132" s="39">
        <v>13</v>
      </c>
      <c r="B132" s="39">
        <v>30</v>
      </c>
      <c r="C132" s="39">
        <v>795</v>
      </c>
      <c r="D132" s="39">
        <v>24</v>
      </c>
      <c r="E132" s="39">
        <v>0.1</v>
      </c>
      <c r="F132" s="39">
        <v>98.692999999999998</v>
      </c>
      <c r="G132" s="39">
        <v>123.3844</v>
      </c>
      <c r="H132" s="39">
        <v>606.99519999999995</v>
      </c>
      <c r="I132" s="39">
        <v>38.7727</v>
      </c>
      <c r="J132" s="39">
        <v>0.16980000000000001</v>
      </c>
      <c r="K132" s="39">
        <v>4.6718000000000002</v>
      </c>
      <c r="L132" s="39">
        <v>22.7438</v>
      </c>
      <c r="M132" s="39">
        <v>213.2859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DOE</vt:lpstr>
      <vt:lpstr>Validation 1</vt:lpstr>
      <vt:lpstr>Validation 2</vt:lpstr>
      <vt:lpstr>Consistency check</vt:lpstr>
      <vt:lpstr>Vol Eff Test</vt:lpstr>
      <vt:lpstr>DOE Recheck</vt:lpstr>
      <vt:lpstr>DOE Remodel 20</vt:lpstr>
      <vt:lpstr>DOE Remodel 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Staff/Research Student</cp:lastModifiedBy>
  <dcterms:created xsi:type="dcterms:W3CDTF">2013-04-26T08:51:03Z</dcterms:created>
  <dcterms:modified xsi:type="dcterms:W3CDTF">2013-05-21T08:47:23Z</dcterms:modified>
</cp:coreProperties>
</file>